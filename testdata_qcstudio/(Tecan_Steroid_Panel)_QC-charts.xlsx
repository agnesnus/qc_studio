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7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8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9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10.xml" ContentType="application/vnd.openxmlformats-officedocument.drawing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11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drawings/drawing12.xml" ContentType="application/vnd.openxmlformats-officedocument.drawing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3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14.xml" ContentType="application/vnd.openxmlformats-officedocument.drawing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15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drawings/drawing16.xml" ContentType="application/vnd.openxmlformats-officedocument.drawing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drawings/drawing17.xml" ContentType="application/vnd.openxmlformats-officedocument.drawing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drawings/drawing18.xml" ContentType="application/vnd.openxmlformats-officedocument.drawing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usu.sharepoint.com/sites/NUSHCSALabSetup/Shared Documents/Quality Control/"/>
    </mc:Choice>
  </mc:AlternateContent>
  <xr:revisionPtr revIDLastSave="0" documentId="8_{70C170DF-DFB8-49EF-B5C1-0591670A10F5}" xr6:coauthVersionLast="47" xr6:coauthVersionMax="47" xr10:uidLastSave="{00000000-0000-0000-0000-000000000000}"/>
  <bookViews>
    <workbookView xWindow="-110" yWindow="-110" windowWidth="19420" windowHeight="11500" tabRatio="794" firstSheet="3" activeTab="4" xr2:uid="{E0525FFC-21EF-443D-A88F-96630DE602C0}"/>
  </bookViews>
  <sheets>
    <sheet name=" INDEX" sheetId="4" r:id="rId1"/>
    <sheet name=" TECAN calibrants" sheetId="22" r:id="rId2"/>
    <sheet name=" TECAN QC concentrations" sheetId="23" r:id="rId3"/>
    <sheet name="11-deoxycorticosterone" sheetId="5" r:id="rId4"/>
    <sheet name="11-deoxycortisol" sheetId="6" r:id="rId5"/>
    <sheet name="17-Hydroxyprogesterone" sheetId="7" r:id="rId6"/>
    <sheet name="21-Deoxycortisol" sheetId="8" r:id="rId7"/>
    <sheet name="Aldosterone" sheetId="9" r:id="rId8"/>
    <sheet name="Androstenedione" sheetId="10" r:id="rId9"/>
    <sheet name="Corticosterone" sheetId="11" r:id="rId10"/>
    <sheet name="Cortisol" sheetId="1" r:id="rId11"/>
    <sheet name="Cortisone" sheetId="12" r:id="rId12"/>
    <sheet name="Dexamethasone" sheetId="13" r:id="rId13"/>
    <sheet name="DHEA" sheetId="14" r:id="rId14"/>
    <sheet name="DHEA-S" sheetId="15" r:id="rId15"/>
    <sheet name="DHT" sheetId="16" r:id="rId16"/>
    <sheet name="Progesterone" sheetId="17" r:id="rId17"/>
    <sheet name="Testosterone" sheetId="18" r:id="rId18"/>
    <sheet name="17-Hydroxypregnenolone" sheetId="19" r:id="rId19"/>
    <sheet name="Estradiol" sheetId="20" r:id="rId20"/>
    <sheet name="Estrone" sheetId="21" r:id="rId21"/>
  </sheets>
  <externalReferences>
    <externalReference r:id="rId22"/>
    <externalReference r:id="rId23"/>
  </externalReferences>
  <definedNames>
    <definedName name="___INDEX_SHEET___ASAP_Utilities">' INDEX'!$B$1</definedName>
    <definedName name="_xlnm._FilterDatabase" localSheetId="1" hidden="1">' TECAN calibrants'!$A$1:$A$21</definedName>
    <definedName name="_xlnm._FilterDatabase" localSheetId="2" hidden="1">' TECAN QC concentrations'!$A$1:$A$42</definedName>
    <definedName name="AccLCL">OFFSET([1]Aldosterone!$AE$10,,,COUNT([1]Aldosterone!$AE$10:$AE$114))</definedName>
    <definedName name="AccUCL">OFFSET([1]Aldosterone!$AD$10,,,COUNT([1]Aldosterone!$AD$10:$AD$114))</definedName>
    <definedName name="DATE" localSheetId="1">OFFSET(#REF!,,,COUNT(#REF!))</definedName>
    <definedName name="DATE" localSheetId="3">OFFSET('11-deoxycorticosterone'!$R$14,,,COUNT('11-deoxycorticosterone'!$R$14:$R$120))</definedName>
    <definedName name="DATE" localSheetId="4">OFFSET('11-deoxycortisol'!$R$14,,,COUNT('11-deoxycortisol'!$R$14:$R$120))</definedName>
    <definedName name="DATE" localSheetId="18">OFFSET('17-Hydroxypregnenolone'!$R$14,,,COUNT('17-Hydroxypregnenolone'!$R$14:$R$120))</definedName>
    <definedName name="DATE" localSheetId="5">OFFSET('17-Hydroxyprogesterone'!$R$14,,,COUNT('17-Hydroxyprogesterone'!$R$14:$R$120))</definedName>
    <definedName name="DATE" localSheetId="6">OFFSET('21-Deoxycortisol'!$R$14,,,COUNT('21-Deoxycortisol'!$R$14:$R$120))</definedName>
    <definedName name="DATE" localSheetId="7">OFFSET(Aldosterone!$R$14,,,COUNT(Aldosterone!$R$14:$R$120))</definedName>
    <definedName name="DATE" localSheetId="8">OFFSET(Androstenedione!$R$14,,,COUNT(Androstenedione!$R$14:$R$120))</definedName>
    <definedName name="DATE" localSheetId="9">OFFSET(Corticosterone!$R$14,,,COUNT(Corticosterone!$R$14:$R$120))</definedName>
    <definedName name="DATE" localSheetId="10">OFFSET(Cortisol!$R$14,,,COUNT(Cortisol!$R$14:$R$120))</definedName>
    <definedName name="DATE" localSheetId="11">OFFSET(Cortisone!$R$14,,,COUNT(Cortisone!$R$14:$R$120))</definedName>
    <definedName name="DATE" localSheetId="12">OFFSET(Dexamethasone!$R$14,,,COUNT(Dexamethasone!$R$14:$R$120))</definedName>
    <definedName name="DATE" localSheetId="13">OFFSET(DHEA!$R$14,,,COUNT(DHEA!$R$14:$R$120))</definedName>
    <definedName name="DATE" localSheetId="14">OFFSET('DHEA-S'!$R$14,,,COUNT('DHEA-S'!$R$14:$R$120))</definedName>
    <definedName name="DATE" localSheetId="15">OFFSET(DHT!$R$14,,,COUNT(DHT!$R$14:$R$120))</definedName>
    <definedName name="DATE" localSheetId="19">OFFSET(Estradiol!$R$14,,,COUNT(Estradiol!$R$14:$R$120))</definedName>
    <definedName name="DATE" localSheetId="20">OFFSET(Estrone!$R$14,,,COUNT(Estrone!$R$14:$R$120))</definedName>
    <definedName name="DATE" localSheetId="16">OFFSET(Progesterone!$R$14,,,COUNT(Progesterone!$R$14:$R$120))</definedName>
    <definedName name="DATE" localSheetId="17">OFFSET(Testosterone!$R$14,,,COUNT(Testosterone!$R$14:$R$120))</definedName>
    <definedName name="DATE">OFFSET(#REF!,,,COUNT(#REF!))</definedName>
    <definedName name="HAccuracy" localSheetId="0">OFFSET([1]Aldosterone!$Y$10,,,COUNT([1]Aldosterone!$Y$10:$Y$114))</definedName>
    <definedName name="HAccuracy" localSheetId="3">OFFSET('11-deoxycorticosterone'!$Z$14,,,COUNT('11-deoxycorticosterone'!$Z$14:$Z$120))</definedName>
    <definedName name="HAccuracy" localSheetId="4">OFFSET('11-deoxycortisol'!$Z$14,,,COUNT('11-deoxycortisol'!$Z$14:$Z$120))</definedName>
    <definedName name="HAccuracy" localSheetId="18">OFFSET('17-Hydroxypregnenolone'!$Z$14,,,COUNT('17-Hydroxypregnenolone'!$Z$14:$Z$120))</definedName>
    <definedName name="HAccuracy" localSheetId="5">OFFSET('17-Hydroxyprogesterone'!$Z$14,,,COUNT('17-Hydroxyprogesterone'!$Z$14:$Z$120))</definedName>
    <definedName name="HAccuracy" localSheetId="6">OFFSET('21-Deoxycortisol'!$Z$14,,,COUNT('21-Deoxycortisol'!$Z$14:$Z$120))</definedName>
    <definedName name="HAccuracy" localSheetId="7">OFFSET(Aldosterone!$Z$14,,,COUNT(Aldosterone!$Z$14:$Z$120))</definedName>
    <definedName name="HAccuracy" localSheetId="8">OFFSET(Androstenedione!$Z$14,,,COUNT(Androstenedione!$Z$14:$Z$120))</definedName>
    <definedName name="HAccuracy" localSheetId="9">OFFSET(Corticosterone!$Z$14,,,COUNT(Corticosterone!$Z$14:$Z$120))</definedName>
    <definedName name="HAccuracy" localSheetId="11">OFFSET(Cortisone!$Z$14,,,COUNT(Cortisone!$Z$14:$Z$120))</definedName>
    <definedName name="HAccuracy" localSheetId="12">OFFSET(Dexamethasone!$Z$14,,,COUNT(Dexamethasone!$Z$14:$Z$120))</definedName>
    <definedName name="HAccuracy" localSheetId="13">OFFSET(DHEA!$Z$14,,,COUNT(DHEA!$Z$14:$Z$120))</definedName>
    <definedName name="HAccuracy" localSheetId="14">OFFSET('DHEA-S'!$Z$14,,,COUNT('DHEA-S'!$Z$14:$Z$120))</definedName>
    <definedName name="HAccuracy" localSheetId="15">OFFSET(DHT!$Z$14,,,COUNT(DHT!$Z$14:$Z$120))</definedName>
    <definedName name="HAccuracy" localSheetId="19">OFFSET(Estradiol!$Z$14,,,COUNT(Estradiol!$Z$14:$Z$120))</definedName>
    <definedName name="HAccuracy" localSheetId="20">OFFSET(Estrone!$Z$14,,,COUNT(Estrone!$Z$14:$Z$120))</definedName>
    <definedName name="HAccuracy" localSheetId="16">OFFSET(Progesterone!$Z$14,,,COUNT(Progesterone!$Z$14:$Z$120))</definedName>
    <definedName name="HAccuracy" localSheetId="17">OFFSET(Testosterone!$Z$14,,,COUNT(Testosterone!$Z$14:$Z$120))</definedName>
    <definedName name="HAccuracy">OFFSET(Cortisol!$Z$14,,,COUNT(Cortisol!$Z$14:$Z$120))</definedName>
    <definedName name="HBias">OFFSET([1]Aldosterone!$Y$10,,,COUNT([1]Aldosterone!$Y$10:$Y$114))</definedName>
    <definedName name="Hresult" localSheetId="3">OFFSET('11-deoxycorticosterone'!$U$14,,,COUNT('11-deoxycorticosterone'!$U$14:$U$120))</definedName>
    <definedName name="Hresult" localSheetId="4">OFFSET('11-deoxycortisol'!$U$14,,,COUNT('11-deoxycortisol'!$U$14:$U$120))</definedName>
    <definedName name="Hresult" localSheetId="18">OFFSET('17-Hydroxypregnenolone'!$U$14,,,COUNT('17-Hydroxypregnenolone'!$U$14:$U$120))</definedName>
    <definedName name="Hresult" localSheetId="5">OFFSET('17-Hydroxyprogesterone'!$U$14,,,COUNT('17-Hydroxyprogesterone'!$U$14:$U$120))</definedName>
    <definedName name="Hresult" localSheetId="6">OFFSET('21-Deoxycortisol'!$U$14,,,COUNT('21-Deoxycortisol'!$U$14:$U$120))</definedName>
    <definedName name="Hresult" localSheetId="7">OFFSET(Aldosterone!$U$14,,,COUNT(Aldosterone!$U$14:$U$120))</definedName>
    <definedName name="Hresult" localSheetId="8">OFFSET(Androstenedione!$U$14,,,COUNT(Androstenedione!$U$14:$U$120))</definedName>
    <definedName name="Hresult" localSheetId="9">OFFSET(Corticosterone!$U$14,,,COUNT(Corticosterone!$U$14:$U$120))</definedName>
    <definedName name="Hresult" localSheetId="10">OFFSET(Cortisol!$U$14,,,COUNT(Cortisol!$U$14:$U$120))</definedName>
    <definedName name="Hresult" localSheetId="11">OFFSET(Cortisone!$U$14,,,COUNT(Cortisone!$U$14:$U$120))</definedName>
    <definedName name="Hresult" localSheetId="12">OFFSET(Dexamethasone!$U$14,,,COUNT(Dexamethasone!$U$14:$U$120))</definedName>
    <definedName name="Hresult" localSheetId="13">OFFSET(DHEA!$U$14,,,COUNT(DHEA!$U$14:$U$120))</definedName>
    <definedName name="Hresult" localSheetId="14">OFFSET('DHEA-S'!$U$14,,,COUNT('DHEA-S'!$U$14:$U$120))</definedName>
    <definedName name="Hresult" localSheetId="15">OFFSET(DHT!$U$14,,,COUNT(DHT!$U$14:$U$120))</definedName>
    <definedName name="Hresult" localSheetId="19">OFFSET(Estradiol!$U$14,,,COUNT(Estradiol!$U$14:$U$120))</definedName>
    <definedName name="Hresult" localSheetId="20">OFFSET(Estrone!$U$14,,,COUNT(Estrone!$U$14:$U$120))</definedName>
    <definedName name="Hresult" localSheetId="16">OFFSET(Progesterone!$U$14,,,COUNT(Progesterone!$U$14:$U$120))</definedName>
    <definedName name="Hresult" localSheetId="17">OFFSET(Testosterone!$U$14,,,COUNT(Testosterone!$U$14:$U$120))</definedName>
    <definedName name="LAccuracy" localSheetId="0">OFFSET([1]Aldosterone!$AQ$10,,,COUNT([1]Aldosterone!$AQ$10:$AQ$114))</definedName>
    <definedName name="LAccuracy" localSheetId="3">OFFSET('11-deoxycorticosterone'!$AH$14,,,COUNT('11-deoxycorticosterone'!$AH$14:$AH$120))</definedName>
    <definedName name="LAccuracy" localSheetId="4">OFFSET('11-deoxycortisol'!$AH$14,,,COUNT('11-deoxycortisol'!$AH$14:$AH$120))</definedName>
    <definedName name="LAccuracy" localSheetId="18">OFFSET('17-Hydroxypregnenolone'!$AH$14,,,COUNT('17-Hydroxypregnenolone'!$AH$14:$AH$120))</definedName>
    <definedName name="LAccuracy" localSheetId="5">OFFSET('17-Hydroxyprogesterone'!$AH$14,,,COUNT('17-Hydroxyprogesterone'!$AH$14:$AH$120))</definedName>
    <definedName name="LAccuracy" localSheetId="6">OFFSET('21-Deoxycortisol'!$AH$14,,,COUNT('21-Deoxycortisol'!$AH$14:$AH$120))</definedName>
    <definedName name="LAccuracy" localSheetId="7">OFFSET(Aldosterone!$AH$14,,,COUNT(Aldosterone!$AH$14:$AH$120))</definedName>
    <definedName name="LAccuracy" localSheetId="8">OFFSET(Androstenedione!$AH$14,,,COUNT(Androstenedione!$AH$14:$AH$120))</definedName>
    <definedName name="LAccuracy" localSheetId="9">OFFSET(Corticosterone!$AH$14,,,COUNT(Corticosterone!$AH$14:$AH$120))</definedName>
    <definedName name="LAccuracy" localSheetId="11">OFFSET(Cortisone!$AH$14,,,COUNT(Cortisone!$AH$14:$AH$120))</definedName>
    <definedName name="LAccuracy" localSheetId="12">OFFSET(Dexamethasone!$AH$14,,,COUNT(Dexamethasone!$AH$14:$AH$120))</definedName>
    <definedName name="LAccuracy" localSheetId="13">OFFSET(DHEA!$AH$14,,,COUNT(DHEA!$AH$14:$AH$120))</definedName>
    <definedName name="LAccuracy" localSheetId="14">OFFSET('DHEA-S'!$AH$14,,,COUNT('DHEA-S'!$AH$14:$AH$120))</definedName>
    <definedName name="LAccuracy" localSheetId="15">OFFSET(DHT!$AH$14,,,COUNT(DHT!$AH$14:$AH$120))</definedName>
    <definedName name="LAccuracy" localSheetId="19">OFFSET(Estradiol!$AH$14,,,COUNT(Estradiol!$AH$14:$AH$120))</definedName>
    <definedName name="LAccuracy" localSheetId="20">OFFSET(Estrone!$AH$14,,,COUNT(Estrone!$AH$14:$AH$120))</definedName>
    <definedName name="LAccuracy" localSheetId="16">OFFSET(Progesterone!$AH$14,,,COUNT(Progesterone!$AH$14:$AH$120))</definedName>
    <definedName name="LAccuracy" localSheetId="17">OFFSET(Testosterone!$AH$14,,,COUNT(Testosterone!$AH$14:$AH$120))</definedName>
    <definedName name="LAccuracy">OFFSET(Cortisol!$AH$14,,,COUNT(Cortisol!$AH$14:$AH$120))</definedName>
    <definedName name="LBias">OFFSET([1]Aldosterone!$O$10,,,COUNT([1]Aldosterone!$O$10:$O$114))</definedName>
    <definedName name="Lresult" localSheetId="3">OFFSET('11-deoxycorticosterone'!$AC$14,,,COUNT('11-deoxycorticosterone'!$AB$14:$AH$120))</definedName>
    <definedName name="Lresult" localSheetId="4">OFFSET('11-deoxycortisol'!$AC$14,,,COUNT('11-deoxycortisol'!$AB$14:$AH$120))</definedName>
    <definedName name="Lresult" localSheetId="18">OFFSET('17-Hydroxypregnenolone'!$AC$14,,,COUNT('17-Hydroxypregnenolone'!$AB$14:$AH$120))</definedName>
    <definedName name="Lresult" localSheetId="5">OFFSET('17-Hydroxyprogesterone'!$AC$14,,,COUNT('17-Hydroxyprogesterone'!$AB$14:$AH$120))</definedName>
    <definedName name="Lresult" localSheetId="6">OFFSET('21-Deoxycortisol'!$AC$14,,,COUNT('21-Deoxycortisol'!$AB$14:$AH$120))</definedName>
    <definedName name="Lresult" localSheetId="7">OFFSET(Aldosterone!$AC$14,,,COUNT(Aldosterone!$AB$14:$AH$120))</definedName>
    <definedName name="Lresult" localSheetId="8">OFFSET(Androstenedione!$AC$14,,,COUNT(Androstenedione!$AB$14:$AH$120))</definedName>
    <definedName name="Lresult" localSheetId="9">OFFSET(Corticosterone!$AC$14,,,COUNT(Corticosterone!$AB$14:$AH$120))</definedName>
    <definedName name="Lresult" localSheetId="10">OFFSET(Cortisol!$AC$14,,,COUNT(Cortisol!$AB$14:$AH$120))</definedName>
    <definedName name="Lresult" localSheetId="11">OFFSET(Cortisone!$AC$14,,,COUNT(Cortisone!$AB$14:$AH$120))</definedName>
    <definedName name="Lresult" localSheetId="12">OFFSET(Dexamethasone!$AC$14,,,COUNT(Dexamethasone!$AB$14:$AH$120))</definedName>
    <definedName name="Lresult" localSheetId="13">OFFSET(DHEA!$AC$14,,,COUNT(DHEA!$AB$14:$AH$120))</definedName>
    <definedName name="Lresult" localSheetId="14">OFFSET('DHEA-S'!$AC$14,,,COUNT('DHEA-S'!$AB$14:$AH$120))</definedName>
    <definedName name="Lresult" localSheetId="15">OFFSET(DHT!$AC$14,,,COUNT(DHT!$AB$14:$AH$120))</definedName>
    <definedName name="Lresult" localSheetId="19">OFFSET(Estradiol!$AC$14,,,COUNT(Estradiol!$AB$14:$AH$120))</definedName>
    <definedName name="Lresult" localSheetId="20">OFFSET(Estrone!$AC$14,,,COUNT(Estrone!$AB$14:$AH$120))</definedName>
    <definedName name="Lresult" localSheetId="16">OFFSET(Progesterone!$AC$14,,,COUNT(Progesterone!$AB$14:$AH$120))</definedName>
    <definedName name="Lresult" localSheetId="17">OFFSET(Testosterone!$AC$14,,,COUNT(Testosterone!$AB$14:$AH$120))</definedName>
    <definedName name="Run" localSheetId="3">OFFSET('11-deoxycorticosterone'!$P$14,,,COUNT('11-deoxycorticosterone'!$P$14:$P$120))</definedName>
    <definedName name="Run" localSheetId="4">OFFSET('11-deoxycortisol'!$P$14,,,COUNT('11-deoxycortisol'!$P$14:$P$120))</definedName>
    <definedName name="Run" localSheetId="18">OFFSET('17-Hydroxypregnenolone'!$P$14,,,COUNT('17-Hydroxypregnenolone'!$P$14:$P$120))</definedName>
    <definedName name="Run" localSheetId="5">OFFSET('17-Hydroxyprogesterone'!$P$14,,,COUNT('17-Hydroxyprogesterone'!$P$14:$P$120))</definedName>
    <definedName name="Run" localSheetId="6">OFFSET('21-Deoxycortisol'!$P$14,,,COUNT('21-Deoxycortisol'!$P$14:$P$120))</definedName>
    <definedName name="Run" localSheetId="7">OFFSET(Aldosterone!$P$14,,,COUNT(Aldosterone!$P$14:$P$120))</definedName>
    <definedName name="Run" localSheetId="8">OFFSET(Androstenedione!$P$14,,,COUNT(Androstenedione!$P$14:$P$120))</definedName>
    <definedName name="Run" localSheetId="9">OFFSET(Corticosterone!$P$14,,,COUNT(Corticosterone!$P$14:$P$120))</definedName>
    <definedName name="Run" localSheetId="10">OFFSET(Cortisol!$P$14,,,COUNT(Cortisol!$P$14:$P$120))</definedName>
    <definedName name="Run" localSheetId="11">OFFSET(Cortisone!$P$14,,,COUNT(Cortisone!$P$14:$P$120))</definedName>
    <definedName name="Run" localSheetId="12">OFFSET(Dexamethasone!$P$14,,,COUNT(Dexamethasone!$P$14:$P$120))</definedName>
    <definedName name="Run" localSheetId="13">OFFSET(DHEA!$P$14,,,COUNT(DHEA!$P$14:$P$120))</definedName>
    <definedName name="Run" localSheetId="14">OFFSET('DHEA-S'!$P$14,,,COUNT('DHEA-S'!$P$14:$P$120))</definedName>
    <definedName name="Run" localSheetId="15">OFFSET(DHT!$P$14,,,COUNT(DHT!$P$14:$P$120))</definedName>
    <definedName name="Run" localSheetId="19">OFFSET(Estradiol!$P$14,,,COUNT(Estradiol!$P$14:$P$120))</definedName>
    <definedName name="Run" localSheetId="20">OFFSET(Estrone!$P$14,,,COUNT(Estrone!$P$14:$P$120))</definedName>
    <definedName name="Run" localSheetId="16">OFFSET(Progesterone!$P$14,,,COUNT(Progesterone!$P$14:$P$120))</definedName>
    <definedName name="Run" localSheetId="17">OFFSET(Testosterone!$P$14,,,COUNT(Testosterone!$P$14:$P$120))</definedName>
    <definedName name="Run">OFFSET('[2]11-deoxycorticosterone'!$O$10,,,COUNT('[2]11-deoxycorticosterone'!$O$10:$O$114))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51" i="5" l="1"/>
  <c r="AE51" i="5" s="1"/>
  <c r="AF52" i="5"/>
  <c r="AE52" i="5" s="1"/>
  <c r="X28" i="5"/>
  <c r="Z14" i="6"/>
  <c r="AH120" i="21"/>
  <c r="AF120" i="21"/>
  <c r="Z120" i="21"/>
  <c r="X120" i="21"/>
  <c r="W120" i="21" s="1"/>
  <c r="P120" i="21"/>
  <c r="AH119" i="21"/>
  <c r="AF119" i="21"/>
  <c r="Z119" i="21"/>
  <c r="X119" i="21"/>
  <c r="W119" i="21" s="1"/>
  <c r="P119" i="21"/>
  <c r="AH118" i="21"/>
  <c r="AF118" i="21"/>
  <c r="Z118" i="21"/>
  <c r="X118" i="21"/>
  <c r="W118" i="21" s="1"/>
  <c r="P118" i="21"/>
  <c r="AH117" i="21"/>
  <c r="AF117" i="21"/>
  <c r="Z117" i="21"/>
  <c r="X117" i="21"/>
  <c r="W117" i="21" s="1"/>
  <c r="P117" i="21"/>
  <c r="AH116" i="21"/>
  <c r="AF116" i="21"/>
  <c r="Z116" i="21"/>
  <c r="X116" i="21"/>
  <c r="W116" i="21" s="1"/>
  <c r="P116" i="21"/>
  <c r="AH115" i="21"/>
  <c r="AF115" i="21"/>
  <c r="Z115" i="21"/>
  <c r="X115" i="21"/>
  <c r="W115" i="21" s="1"/>
  <c r="P115" i="21"/>
  <c r="AH114" i="21"/>
  <c r="AF114" i="21"/>
  <c r="Z114" i="21"/>
  <c r="X114" i="21"/>
  <c r="W114" i="21" s="1"/>
  <c r="P114" i="21"/>
  <c r="AH113" i="21"/>
  <c r="AF113" i="21"/>
  <c r="Z113" i="21"/>
  <c r="X113" i="21"/>
  <c r="W113" i="21" s="1"/>
  <c r="P113" i="21"/>
  <c r="AH112" i="21"/>
  <c r="AF112" i="21"/>
  <c r="Z112" i="21"/>
  <c r="X112" i="21"/>
  <c r="W112" i="21" s="1"/>
  <c r="P112" i="21"/>
  <c r="AH111" i="21"/>
  <c r="AF111" i="21"/>
  <c r="Z111" i="21"/>
  <c r="X111" i="21"/>
  <c r="W111" i="21" s="1"/>
  <c r="P111" i="21"/>
  <c r="AH110" i="21"/>
  <c r="AF110" i="21"/>
  <c r="Z110" i="21"/>
  <c r="X110" i="21"/>
  <c r="W110" i="21" s="1"/>
  <c r="P110" i="21"/>
  <c r="AH109" i="21"/>
  <c r="AF109" i="21"/>
  <c r="Z109" i="21"/>
  <c r="X109" i="21"/>
  <c r="W109" i="21" s="1"/>
  <c r="P109" i="21"/>
  <c r="AH108" i="21"/>
  <c r="AF108" i="21"/>
  <c r="Z108" i="21"/>
  <c r="X108" i="21"/>
  <c r="W108" i="21" s="1"/>
  <c r="P108" i="21"/>
  <c r="AH107" i="21"/>
  <c r="AF107" i="21"/>
  <c r="Z107" i="21"/>
  <c r="X107" i="21"/>
  <c r="W107" i="21" s="1"/>
  <c r="P107" i="21"/>
  <c r="AH106" i="21"/>
  <c r="AF106" i="21"/>
  <c r="Z106" i="21"/>
  <c r="X106" i="21"/>
  <c r="W106" i="21" s="1"/>
  <c r="P106" i="21"/>
  <c r="AH105" i="21"/>
  <c r="AF105" i="21"/>
  <c r="Z105" i="21"/>
  <c r="X105" i="21"/>
  <c r="W105" i="21" s="1"/>
  <c r="P105" i="21"/>
  <c r="AH104" i="21"/>
  <c r="AF104" i="21"/>
  <c r="Z104" i="21"/>
  <c r="X104" i="21"/>
  <c r="W104" i="21" s="1"/>
  <c r="P104" i="21"/>
  <c r="AH103" i="21"/>
  <c r="AF103" i="21"/>
  <c r="Z103" i="21"/>
  <c r="X103" i="21"/>
  <c r="W103" i="21" s="1"/>
  <c r="P103" i="21"/>
  <c r="AH102" i="21"/>
  <c r="AF102" i="21"/>
  <c r="Z102" i="21"/>
  <c r="X102" i="21"/>
  <c r="W102" i="21" s="1"/>
  <c r="P102" i="21"/>
  <c r="AH101" i="21"/>
  <c r="AF101" i="21"/>
  <c r="Z101" i="21"/>
  <c r="X101" i="21"/>
  <c r="W101" i="21" s="1"/>
  <c r="P101" i="21"/>
  <c r="AH100" i="21"/>
  <c r="AF100" i="21"/>
  <c r="Z100" i="21"/>
  <c r="X100" i="21"/>
  <c r="W100" i="21" s="1"/>
  <c r="P100" i="21"/>
  <c r="AH99" i="21"/>
  <c r="AF99" i="21"/>
  <c r="Z99" i="21"/>
  <c r="X99" i="21"/>
  <c r="W99" i="21" s="1"/>
  <c r="P99" i="21"/>
  <c r="AH98" i="21"/>
  <c r="AF98" i="21"/>
  <c r="Z98" i="21"/>
  <c r="X98" i="21"/>
  <c r="W98" i="21" s="1"/>
  <c r="P98" i="21"/>
  <c r="AH97" i="21"/>
  <c r="AF97" i="21"/>
  <c r="Z97" i="21"/>
  <c r="X97" i="21"/>
  <c r="W97" i="21" s="1"/>
  <c r="P97" i="21"/>
  <c r="AH96" i="21"/>
  <c r="AF96" i="21"/>
  <c r="Z96" i="21"/>
  <c r="X96" i="21"/>
  <c r="W96" i="21" s="1"/>
  <c r="P96" i="21"/>
  <c r="AH95" i="21"/>
  <c r="AF95" i="21"/>
  <c r="Z95" i="21"/>
  <c r="X95" i="21"/>
  <c r="W95" i="21" s="1"/>
  <c r="P95" i="21"/>
  <c r="AH94" i="21"/>
  <c r="AF94" i="21"/>
  <c r="Z94" i="21"/>
  <c r="X94" i="21"/>
  <c r="W94" i="21" s="1"/>
  <c r="P94" i="21"/>
  <c r="AH93" i="21"/>
  <c r="AF93" i="21"/>
  <c r="Z93" i="21"/>
  <c r="X93" i="21"/>
  <c r="W93" i="21" s="1"/>
  <c r="P93" i="21"/>
  <c r="AH92" i="21"/>
  <c r="AF92" i="21"/>
  <c r="Z92" i="21"/>
  <c r="X92" i="21"/>
  <c r="W92" i="21" s="1"/>
  <c r="P92" i="21"/>
  <c r="AH91" i="21"/>
  <c r="AF91" i="21"/>
  <c r="Z91" i="21"/>
  <c r="X91" i="21"/>
  <c r="W91" i="21" s="1"/>
  <c r="P91" i="21"/>
  <c r="AH90" i="21"/>
  <c r="AF90" i="21"/>
  <c r="Z90" i="21"/>
  <c r="X90" i="21"/>
  <c r="W90" i="21" s="1"/>
  <c r="P90" i="21"/>
  <c r="AH89" i="21"/>
  <c r="AF89" i="21"/>
  <c r="Z89" i="21"/>
  <c r="X89" i="21"/>
  <c r="W89" i="21" s="1"/>
  <c r="P89" i="21"/>
  <c r="AH88" i="21"/>
  <c r="AF88" i="21"/>
  <c r="Z88" i="21"/>
  <c r="X88" i="21"/>
  <c r="W88" i="21" s="1"/>
  <c r="P88" i="21"/>
  <c r="AH87" i="21"/>
  <c r="AF87" i="21"/>
  <c r="Z87" i="21"/>
  <c r="X87" i="21"/>
  <c r="W87" i="21" s="1"/>
  <c r="P87" i="21"/>
  <c r="AH86" i="21"/>
  <c r="AF86" i="21"/>
  <c r="Z86" i="21"/>
  <c r="X86" i="21"/>
  <c r="W86" i="21" s="1"/>
  <c r="P86" i="21"/>
  <c r="AH85" i="21"/>
  <c r="AF85" i="21"/>
  <c r="Z85" i="21"/>
  <c r="X85" i="21"/>
  <c r="W85" i="21" s="1"/>
  <c r="P85" i="21"/>
  <c r="AH84" i="21"/>
  <c r="AF84" i="21"/>
  <c r="Z84" i="21"/>
  <c r="X84" i="21"/>
  <c r="W84" i="21" s="1"/>
  <c r="P84" i="21"/>
  <c r="AH83" i="21"/>
  <c r="AF83" i="21"/>
  <c r="Z83" i="21"/>
  <c r="X83" i="21"/>
  <c r="W83" i="21" s="1"/>
  <c r="P83" i="21"/>
  <c r="AH82" i="21"/>
  <c r="AF82" i="21"/>
  <c r="Z82" i="21"/>
  <c r="X82" i="21"/>
  <c r="W82" i="21" s="1"/>
  <c r="P82" i="21"/>
  <c r="AH81" i="21"/>
  <c r="AF81" i="21"/>
  <c r="Z81" i="21"/>
  <c r="X81" i="21"/>
  <c r="W81" i="21" s="1"/>
  <c r="P81" i="21"/>
  <c r="AH80" i="21"/>
  <c r="AF80" i="21"/>
  <c r="Z80" i="21"/>
  <c r="X80" i="21"/>
  <c r="W80" i="21" s="1"/>
  <c r="P80" i="21"/>
  <c r="AH79" i="21"/>
  <c r="AF79" i="21"/>
  <c r="Z79" i="21"/>
  <c r="X79" i="21"/>
  <c r="W79" i="21" s="1"/>
  <c r="P79" i="21"/>
  <c r="AH78" i="21"/>
  <c r="AF78" i="21"/>
  <c r="Z78" i="21"/>
  <c r="X78" i="21"/>
  <c r="W78" i="21" s="1"/>
  <c r="P78" i="21"/>
  <c r="AH77" i="21"/>
  <c r="AF77" i="21"/>
  <c r="Z77" i="21"/>
  <c r="X77" i="21"/>
  <c r="W77" i="21" s="1"/>
  <c r="P77" i="21"/>
  <c r="AH76" i="21"/>
  <c r="AF76" i="21"/>
  <c r="Z76" i="21"/>
  <c r="X76" i="21"/>
  <c r="W76" i="21" s="1"/>
  <c r="P76" i="21"/>
  <c r="AH75" i="21"/>
  <c r="AF75" i="21"/>
  <c r="Z75" i="21"/>
  <c r="X75" i="21"/>
  <c r="W75" i="21" s="1"/>
  <c r="P75" i="21"/>
  <c r="AH74" i="21"/>
  <c r="AF74" i="21"/>
  <c r="Z74" i="21"/>
  <c r="X74" i="21"/>
  <c r="W74" i="21" s="1"/>
  <c r="P74" i="21"/>
  <c r="AH73" i="21"/>
  <c r="AF73" i="21"/>
  <c r="Z73" i="21"/>
  <c r="X73" i="21"/>
  <c r="W73" i="21" s="1"/>
  <c r="P73" i="21"/>
  <c r="AH72" i="21"/>
  <c r="AF72" i="21"/>
  <c r="Z72" i="21"/>
  <c r="X72" i="21"/>
  <c r="W72" i="21" s="1"/>
  <c r="P72" i="21"/>
  <c r="AH71" i="21"/>
  <c r="AF71" i="21"/>
  <c r="Z71" i="21"/>
  <c r="X71" i="21"/>
  <c r="W71" i="21" s="1"/>
  <c r="P71" i="21"/>
  <c r="AH70" i="21"/>
  <c r="AF70" i="21"/>
  <c r="Z70" i="21"/>
  <c r="X70" i="21"/>
  <c r="W70" i="21"/>
  <c r="P70" i="21"/>
  <c r="AH69" i="21"/>
  <c r="AF69" i="21"/>
  <c r="Z69" i="21"/>
  <c r="X69" i="21"/>
  <c r="W69" i="21" s="1"/>
  <c r="P69" i="21"/>
  <c r="AH68" i="21"/>
  <c r="AF68" i="21"/>
  <c r="Z68" i="21"/>
  <c r="X68" i="21"/>
  <c r="W68" i="21" s="1"/>
  <c r="P68" i="21"/>
  <c r="AH67" i="21"/>
  <c r="AF67" i="21"/>
  <c r="Z67" i="21"/>
  <c r="X67" i="21"/>
  <c r="W67" i="21" s="1"/>
  <c r="P67" i="21"/>
  <c r="AH66" i="21"/>
  <c r="AF66" i="21"/>
  <c r="Z66" i="21"/>
  <c r="X66" i="21"/>
  <c r="W66" i="21" s="1"/>
  <c r="P66" i="21"/>
  <c r="AH65" i="21"/>
  <c r="AF65" i="21"/>
  <c r="AE65" i="21" s="1"/>
  <c r="Z65" i="21"/>
  <c r="X65" i="21"/>
  <c r="W65" i="21" s="1"/>
  <c r="P65" i="21"/>
  <c r="AH64" i="21"/>
  <c r="AF64" i="21"/>
  <c r="AE64" i="21" s="1"/>
  <c r="Z64" i="21"/>
  <c r="X64" i="21"/>
  <c r="W64" i="21" s="1"/>
  <c r="P64" i="21"/>
  <c r="AH63" i="21"/>
  <c r="AF63" i="21"/>
  <c r="AE63" i="21" s="1"/>
  <c r="Z63" i="21"/>
  <c r="X63" i="21"/>
  <c r="W63" i="21" s="1"/>
  <c r="P63" i="21"/>
  <c r="AH62" i="21"/>
  <c r="AF62" i="21"/>
  <c r="AE62" i="21" s="1"/>
  <c r="Z62" i="21"/>
  <c r="X62" i="21"/>
  <c r="W62" i="21" s="1"/>
  <c r="P62" i="21"/>
  <c r="AH61" i="21"/>
  <c r="AF61" i="21"/>
  <c r="AE61" i="21" s="1"/>
  <c r="Z61" i="21"/>
  <c r="X61" i="21"/>
  <c r="W61" i="21" s="1"/>
  <c r="P61" i="21"/>
  <c r="AH60" i="21"/>
  <c r="AF60" i="21"/>
  <c r="AE60" i="21" s="1"/>
  <c r="Z60" i="21"/>
  <c r="X60" i="21"/>
  <c r="W60" i="21" s="1"/>
  <c r="P60" i="21"/>
  <c r="AH59" i="21"/>
  <c r="AF59" i="21"/>
  <c r="AE59" i="21" s="1"/>
  <c r="Z59" i="21"/>
  <c r="X59" i="21"/>
  <c r="W59" i="21" s="1"/>
  <c r="P59" i="21"/>
  <c r="AH58" i="21"/>
  <c r="AF58" i="21"/>
  <c r="AE58" i="21" s="1"/>
  <c r="Z58" i="21"/>
  <c r="X58" i="21"/>
  <c r="W58" i="21"/>
  <c r="P58" i="21"/>
  <c r="AH57" i="21"/>
  <c r="AF57" i="21"/>
  <c r="AE57" i="21" s="1"/>
  <c r="Z57" i="21"/>
  <c r="X57" i="21"/>
  <c r="W57" i="21" s="1"/>
  <c r="P57" i="21"/>
  <c r="AH56" i="21"/>
  <c r="AF56" i="21"/>
  <c r="AE56" i="21" s="1"/>
  <c r="Z56" i="21"/>
  <c r="X56" i="21"/>
  <c r="W56" i="21"/>
  <c r="P56" i="21"/>
  <c r="AH55" i="21"/>
  <c r="AF55" i="21"/>
  <c r="AE55" i="21" s="1"/>
  <c r="Z55" i="21"/>
  <c r="X55" i="21"/>
  <c r="W55" i="21" s="1"/>
  <c r="P55" i="21"/>
  <c r="AH54" i="21"/>
  <c r="AF54" i="21"/>
  <c r="AE54" i="21" s="1"/>
  <c r="Z54" i="21"/>
  <c r="X54" i="21"/>
  <c r="W54" i="21" s="1"/>
  <c r="P54" i="21"/>
  <c r="AH53" i="21"/>
  <c r="AF53" i="21"/>
  <c r="AE53" i="21" s="1"/>
  <c r="Z53" i="21"/>
  <c r="X53" i="21"/>
  <c r="W53" i="21" s="1"/>
  <c r="P53" i="21"/>
  <c r="AH52" i="21"/>
  <c r="AF52" i="21"/>
  <c r="AE52" i="21" s="1"/>
  <c r="Z52" i="21"/>
  <c r="X52" i="21"/>
  <c r="W52" i="21" s="1"/>
  <c r="AH51" i="21"/>
  <c r="AF51" i="21"/>
  <c r="AE51" i="21" s="1"/>
  <c r="Z51" i="21"/>
  <c r="X51" i="21"/>
  <c r="W51" i="21" s="1"/>
  <c r="AH50" i="21"/>
  <c r="AF50" i="21"/>
  <c r="AE50" i="21" s="1"/>
  <c r="Z50" i="21"/>
  <c r="X50" i="21"/>
  <c r="W50" i="21" s="1"/>
  <c r="AH49" i="21"/>
  <c r="AF49" i="21"/>
  <c r="AE49" i="21" s="1"/>
  <c r="Z49" i="21"/>
  <c r="X49" i="21"/>
  <c r="W49" i="21" s="1"/>
  <c r="AH48" i="21"/>
  <c r="AF48" i="21"/>
  <c r="AE48" i="21" s="1"/>
  <c r="Z48" i="21"/>
  <c r="X48" i="21"/>
  <c r="W48" i="21" s="1"/>
  <c r="AH47" i="21"/>
  <c r="AF47" i="21"/>
  <c r="AE47" i="21"/>
  <c r="Z47" i="21"/>
  <c r="X47" i="21"/>
  <c r="W47" i="21" s="1"/>
  <c r="AH46" i="21"/>
  <c r="AF46" i="21"/>
  <c r="AE46" i="21" s="1"/>
  <c r="Z46" i="21"/>
  <c r="X46" i="21"/>
  <c r="W46" i="21" s="1"/>
  <c r="AH45" i="21"/>
  <c r="AF45" i="21"/>
  <c r="AE45" i="21" s="1"/>
  <c r="Z45" i="21"/>
  <c r="X45" i="21"/>
  <c r="W45" i="21" s="1"/>
  <c r="AH44" i="21"/>
  <c r="AF44" i="21"/>
  <c r="AE44" i="21" s="1"/>
  <c r="Z44" i="21"/>
  <c r="X44" i="21"/>
  <c r="W44" i="21" s="1"/>
  <c r="AH43" i="21"/>
  <c r="AF43" i="21"/>
  <c r="AE43" i="21" s="1"/>
  <c r="Z43" i="21"/>
  <c r="X43" i="21"/>
  <c r="W43" i="21" s="1"/>
  <c r="AH42" i="21"/>
  <c r="AF42" i="21"/>
  <c r="AE42" i="21" s="1"/>
  <c r="Z42" i="21"/>
  <c r="X42" i="21"/>
  <c r="W42" i="21" s="1"/>
  <c r="AH41" i="21"/>
  <c r="AF41" i="21"/>
  <c r="AE41" i="21" s="1"/>
  <c r="Z41" i="21"/>
  <c r="X41" i="21"/>
  <c r="W41" i="21" s="1"/>
  <c r="AH40" i="21"/>
  <c r="AF40" i="21"/>
  <c r="AE40" i="21" s="1"/>
  <c r="Z40" i="21"/>
  <c r="X40" i="21"/>
  <c r="W40" i="21"/>
  <c r="AH39" i="21"/>
  <c r="AF39" i="21"/>
  <c r="AE39" i="21" s="1"/>
  <c r="Z39" i="21"/>
  <c r="X39" i="21"/>
  <c r="W39" i="21" s="1"/>
  <c r="AH38" i="21"/>
  <c r="AF38" i="21"/>
  <c r="AE38" i="21" s="1"/>
  <c r="Z38" i="21"/>
  <c r="X38" i="21"/>
  <c r="W38" i="21" s="1"/>
  <c r="AH37" i="21"/>
  <c r="AF37" i="21"/>
  <c r="AE37" i="21" s="1"/>
  <c r="Z37" i="21"/>
  <c r="X37" i="21"/>
  <c r="W37" i="21" s="1"/>
  <c r="AH36" i="21"/>
  <c r="AF36" i="21"/>
  <c r="AE36" i="21"/>
  <c r="Z36" i="21"/>
  <c r="X36" i="21"/>
  <c r="W36" i="21" s="1"/>
  <c r="AH35" i="21"/>
  <c r="AF35" i="21"/>
  <c r="AE35" i="21" s="1"/>
  <c r="Z35" i="21"/>
  <c r="X35" i="21"/>
  <c r="W35" i="21" s="1"/>
  <c r="AH34" i="21"/>
  <c r="AF34" i="21"/>
  <c r="AE34" i="21" s="1"/>
  <c r="Z34" i="21"/>
  <c r="X34" i="21"/>
  <c r="W34" i="21" s="1"/>
  <c r="AH33" i="21"/>
  <c r="AF33" i="21"/>
  <c r="AE33" i="21"/>
  <c r="Z33" i="21"/>
  <c r="X33" i="21"/>
  <c r="W33" i="21" s="1"/>
  <c r="AH32" i="21"/>
  <c r="AF32" i="21"/>
  <c r="AE32" i="21" s="1"/>
  <c r="Z32" i="21"/>
  <c r="X32" i="21"/>
  <c r="W32" i="21" s="1"/>
  <c r="AH31" i="21"/>
  <c r="AF31" i="21"/>
  <c r="AE31" i="21"/>
  <c r="Z31" i="21"/>
  <c r="X31" i="21"/>
  <c r="W31" i="21" s="1"/>
  <c r="AH30" i="21"/>
  <c r="AF30" i="21"/>
  <c r="AE30" i="21" s="1"/>
  <c r="Z30" i="21"/>
  <c r="X30" i="21"/>
  <c r="W30" i="21" s="1"/>
  <c r="AH29" i="21"/>
  <c r="AF29" i="21"/>
  <c r="AE29" i="21" s="1"/>
  <c r="Z29" i="21"/>
  <c r="X29" i="21"/>
  <c r="W29" i="21" s="1"/>
  <c r="AH28" i="21"/>
  <c r="AF28" i="21"/>
  <c r="AE28" i="21" s="1"/>
  <c r="Z28" i="21"/>
  <c r="X28" i="21"/>
  <c r="W28" i="21" s="1"/>
  <c r="AH27" i="21"/>
  <c r="AF27" i="21"/>
  <c r="AE27" i="21" s="1"/>
  <c r="Z27" i="21"/>
  <c r="X27" i="21"/>
  <c r="W27" i="21" s="1"/>
  <c r="AH26" i="21"/>
  <c r="AF26" i="21"/>
  <c r="AE26" i="21" s="1"/>
  <c r="Z26" i="21"/>
  <c r="X26" i="21"/>
  <c r="W26" i="21" s="1"/>
  <c r="AH25" i="21"/>
  <c r="AF25" i="21"/>
  <c r="AE25" i="21" s="1"/>
  <c r="Z25" i="21"/>
  <c r="X25" i="21"/>
  <c r="W25" i="21" s="1"/>
  <c r="AH24" i="21"/>
  <c r="AF24" i="21"/>
  <c r="AE24" i="21" s="1"/>
  <c r="Z24" i="21"/>
  <c r="X24" i="21"/>
  <c r="W24" i="21" s="1"/>
  <c r="AH23" i="21"/>
  <c r="AF23" i="21"/>
  <c r="AE23" i="21" s="1"/>
  <c r="Z23" i="21"/>
  <c r="X23" i="21"/>
  <c r="W23" i="21" s="1"/>
  <c r="AH22" i="21"/>
  <c r="AF22" i="21"/>
  <c r="AE22" i="21" s="1"/>
  <c r="Z22" i="21"/>
  <c r="X22" i="21"/>
  <c r="W22" i="21" s="1"/>
  <c r="AH21" i="21"/>
  <c r="AF21" i="21"/>
  <c r="AE21" i="21" s="1"/>
  <c r="Z21" i="21"/>
  <c r="X21" i="21"/>
  <c r="W21" i="21" s="1"/>
  <c r="AH20" i="21"/>
  <c r="AF20" i="21"/>
  <c r="AE20" i="21"/>
  <c r="Z20" i="21"/>
  <c r="X20" i="21"/>
  <c r="W20" i="21" s="1"/>
  <c r="AH19" i="21"/>
  <c r="AF19" i="21"/>
  <c r="AE19" i="21" s="1"/>
  <c r="Z19" i="21"/>
  <c r="X19" i="21"/>
  <c r="W19" i="21" s="1"/>
  <c r="AH18" i="21"/>
  <c r="AF18" i="21"/>
  <c r="AE18" i="21" s="1"/>
  <c r="Z18" i="21"/>
  <c r="X18" i="21"/>
  <c r="W18" i="21" s="1"/>
  <c r="AH17" i="21"/>
  <c r="AF17" i="21"/>
  <c r="AE17" i="21"/>
  <c r="Z17" i="21"/>
  <c r="X17" i="21"/>
  <c r="W17" i="21" s="1"/>
  <c r="AH16" i="21"/>
  <c r="AF16" i="21"/>
  <c r="AE16" i="21" s="1"/>
  <c r="Z16" i="21"/>
  <c r="X16" i="21"/>
  <c r="W16" i="21" s="1"/>
  <c r="AH15" i="21"/>
  <c r="AF15" i="21"/>
  <c r="AE15" i="21" s="1"/>
  <c r="Z15" i="21"/>
  <c r="X15" i="21"/>
  <c r="W15" i="21" s="1"/>
  <c r="P15" i="21"/>
  <c r="AH14" i="21"/>
  <c r="AF14" i="21"/>
  <c r="AE14" i="21" s="1"/>
  <c r="Z14" i="21"/>
  <c r="X14" i="21"/>
  <c r="W14" i="21" s="1"/>
  <c r="AC11" i="21"/>
  <c r="AB11" i="21" s="1"/>
  <c r="T3" i="21"/>
  <c r="P3" i="21"/>
  <c r="AH120" i="20"/>
  <c r="AF120" i="20"/>
  <c r="Z120" i="20"/>
  <c r="X120" i="20"/>
  <c r="W120" i="20" s="1"/>
  <c r="P120" i="20"/>
  <c r="AH119" i="20"/>
  <c r="AF119" i="20"/>
  <c r="Z119" i="20"/>
  <c r="X119" i="20"/>
  <c r="W119" i="20" s="1"/>
  <c r="P119" i="20"/>
  <c r="AH118" i="20"/>
  <c r="AF118" i="20"/>
  <c r="Z118" i="20"/>
  <c r="X118" i="20"/>
  <c r="W118" i="20" s="1"/>
  <c r="P118" i="20"/>
  <c r="AH117" i="20"/>
  <c r="AF117" i="20"/>
  <c r="Z117" i="20"/>
  <c r="X117" i="20"/>
  <c r="W117" i="20" s="1"/>
  <c r="P117" i="20"/>
  <c r="AH116" i="20"/>
  <c r="AF116" i="20"/>
  <c r="Z116" i="20"/>
  <c r="X116" i="20"/>
  <c r="W116" i="20" s="1"/>
  <c r="P116" i="20"/>
  <c r="AH115" i="20"/>
  <c r="AF115" i="20"/>
  <c r="Z115" i="20"/>
  <c r="X115" i="20"/>
  <c r="W115" i="20" s="1"/>
  <c r="P115" i="20"/>
  <c r="AH114" i="20"/>
  <c r="AF114" i="20"/>
  <c r="Z114" i="20"/>
  <c r="X114" i="20"/>
  <c r="W114" i="20" s="1"/>
  <c r="P114" i="20"/>
  <c r="AH113" i="20"/>
  <c r="AF113" i="20"/>
  <c r="Z113" i="20"/>
  <c r="X113" i="20"/>
  <c r="W113" i="20" s="1"/>
  <c r="P113" i="20"/>
  <c r="AH112" i="20"/>
  <c r="AF112" i="20"/>
  <c r="Z112" i="20"/>
  <c r="X112" i="20"/>
  <c r="W112" i="20" s="1"/>
  <c r="P112" i="20"/>
  <c r="AH111" i="20"/>
  <c r="AF111" i="20"/>
  <c r="Z111" i="20"/>
  <c r="X111" i="20"/>
  <c r="W111" i="20" s="1"/>
  <c r="P111" i="20"/>
  <c r="AH110" i="20"/>
  <c r="AF110" i="20"/>
  <c r="Z110" i="20"/>
  <c r="X110" i="20"/>
  <c r="W110" i="20" s="1"/>
  <c r="P110" i="20"/>
  <c r="AH109" i="20"/>
  <c r="AF109" i="20"/>
  <c r="Z109" i="20"/>
  <c r="X109" i="20"/>
  <c r="W109" i="20" s="1"/>
  <c r="P109" i="20"/>
  <c r="AH108" i="20"/>
  <c r="AF108" i="20"/>
  <c r="Z108" i="20"/>
  <c r="X108" i="20"/>
  <c r="W108" i="20" s="1"/>
  <c r="P108" i="20"/>
  <c r="AH107" i="20"/>
  <c r="AF107" i="20"/>
  <c r="Z107" i="20"/>
  <c r="X107" i="20"/>
  <c r="W107" i="20"/>
  <c r="P107" i="20"/>
  <c r="AH106" i="20"/>
  <c r="AF106" i="20"/>
  <c r="Z106" i="20"/>
  <c r="X106" i="20"/>
  <c r="W106" i="20" s="1"/>
  <c r="P106" i="20"/>
  <c r="AH105" i="20"/>
  <c r="AF105" i="20"/>
  <c r="Z105" i="20"/>
  <c r="X105" i="20"/>
  <c r="W105" i="20"/>
  <c r="P105" i="20"/>
  <c r="AH104" i="20"/>
  <c r="AF104" i="20"/>
  <c r="Z104" i="20"/>
  <c r="X104" i="20"/>
  <c r="W104" i="20" s="1"/>
  <c r="P104" i="20"/>
  <c r="AH103" i="20"/>
  <c r="AF103" i="20"/>
  <c r="Z103" i="20"/>
  <c r="X103" i="20"/>
  <c r="W103" i="20" s="1"/>
  <c r="P103" i="20"/>
  <c r="AH102" i="20"/>
  <c r="AF102" i="20"/>
  <c r="Z102" i="20"/>
  <c r="X102" i="20"/>
  <c r="W102" i="20" s="1"/>
  <c r="P102" i="20"/>
  <c r="AH101" i="20"/>
  <c r="AF101" i="20"/>
  <c r="Z101" i="20"/>
  <c r="X101" i="20"/>
  <c r="W101" i="20" s="1"/>
  <c r="P101" i="20"/>
  <c r="AH100" i="20"/>
  <c r="AF100" i="20"/>
  <c r="Z100" i="20"/>
  <c r="X100" i="20"/>
  <c r="W100" i="20" s="1"/>
  <c r="P100" i="20"/>
  <c r="AH99" i="20"/>
  <c r="AF99" i="20"/>
  <c r="Z99" i="20"/>
  <c r="X99" i="20"/>
  <c r="W99" i="20" s="1"/>
  <c r="P99" i="20"/>
  <c r="AH98" i="20"/>
  <c r="AF98" i="20"/>
  <c r="Z98" i="20"/>
  <c r="X98" i="20"/>
  <c r="W98" i="20" s="1"/>
  <c r="P98" i="20"/>
  <c r="AH97" i="20"/>
  <c r="AF97" i="20"/>
  <c r="Z97" i="20"/>
  <c r="X97" i="20"/>
  <c r="W97" i="20" s="1"/>
  <c r="P97" i="20"/>
  <c r="AH96" i="20"/>
  <c r="AF96" i="20"/>
  <c r="Z96" i="20"/>
  <c r="X96" i="20"/>
  <c r="W96" i="20" s="1"/>
  <c r="P96" i="20"/>
  <c r="AH95" i="20"/>
  <c r="AF95" i="20"/>
  <c r="Z95" i="20"/>
  <c r="X95" i="20"/>
  <c r="W95" i="20" s="1"/>
  <c r="P95" i="20"/>
  <c r="AH94" i="20"/>
  <c r="AF94" i="20"/>
  <c r="Z94" i="20"/>
  <c r="X94" i="20"/>
  <c r="W94" i="20" s="1"/>
  <c r="P94" i="20"/>
  <c r="AH93" i="20"/>
  <c r="AF93" i="20"/>
  <c r="Z93" i="20"/>
  <c r="X93" i="20"/>
  <c r="W93" i="20" s="1"/>
  <c r="P93" i="20"/>
  <c r="AH92" i="20"/>
  <c r="AF92" i="20"/>
  <c r="Z92" i="20"/>
  <c r="X92" i="20"/>
  <c r="W92" i="20" s="1"/>
  <c r="P92" i="20"/>
  <c r="AH91" i="20"/>
  <c r="AF91" i="20"/>
  <c r="Z91" i="20"/>
  <c r="X91" i="20"/>
  <c r="W91" i="20" s="1"/>
  <c r="P91" i="20"/>
  <c r="AH90" i="20"/>
  <c r="AF90" i="20"/>
  <c r="Z90" i="20"/>
  <c r="X90" i="20"/>
  <c r="W90" i="20" s="1"/>
  <c r="P90" i="20"/>
  <c r="AH89" i="20"/>
  <c r="AF89" i="20"/>
  <c r="Z89" i="20"/>
  <c r="X89" i="20"/>
  <c r="W89" i="20" s="1"/>
  <c r="P89" i="20"/>
  <c r="AH88" i="20"/>
  <c r="AF88" i="20"/>
  <c r="Z88" i="20"/>
  <c r="X88" i="20"/>
  <c r="W88" i="20" s="1"/>
  <c r="P88" i="20"/>
  <c r="AH87" i="20"/>
  <c r="AF87" i="20"/>
  <c r="Z87" i="20"/>
  <c r="X87" i="20"/>
  <c r="W87" i="20" s="1"/>
  <c r="P87" i="20"/>
  <c r="AH86" i="20"/>
  <c r="AF86" i="20"/>
  <c r="Z86" i="20"/>
  <c r="X86" i="20"/>
  <c r="W86" i="20" s="1"/>
  <c r="P86" i="20"/>
  <c r="AH85" i="20"/>
  <c r="AF85" i="20"/>
  <c r="Z85" i="20"/>
  <c r="X85" i="20"/>
  <c r="W85" i="20" s="1"/>
  <c r="P85" i="20"/>
  <c r="AH84" i="20"/>
  <c r="AF84" i="20"/>
  <c r="Z84" i="20"/>
  <c r="X84" i="20"/>
  <c r="W84" i="20" s="1"/>
  <c r="P84" i="20"/>
  <c r="AH83" i="20"/>
  <c r="AF83" i="20"/>
  <c r="Z83" i="20"/>
  <c r="X83" i="20"/>
  <c r="W83" i="20" s="1"/>
  <c r="P83" i="20"/>
  <c r="AH82" i="20"/>
  <c r="AF82" i="20"/>
  <c r="Z82" i="20"/>
  <c r="X82" i="20"/>
  <c r="W82" i="20" s="1"/>
  <c r="P82" i="20"/>
  <c r="AH81" i="20"/>
  <c r="AF81" i="20"/>
  <c r="Z81" i="20"/>
  <c r="X81" i="20"/>
  <c r="W81" i="20" s="1"/>
  <c r="P81" i="20"/>
  <c r="AH80" i="20"/>
  <c r="AF80" i="20"/>
  <c r="Z80" i="20"/>
  <c r="X80" i="20"/>
  <c r="W80" i="20" s="1"/>
  <c r="P80" i="20"/>
  <c r="AH79" i="20"/>
  <c r="AF79" i="20"/>
  <c r="Z79" i="20"/>
  <c r="X79" i="20"/>
  <c r="W79" i="20" s="1"/>
  <c r="P79" i="20"/>
  <c r="AH78" i="20"/>
  <c r="AF78" i="20"/>
  <c r="Z78" i="20"/>
  <c r="X78" i="20"/>
  <c r="W78" i="20" s="1"/>
  <c r="P78" i="20"/>
  <c r="AH77" i="20"/>
  <c r="AF77" i="20"/>
  <c r="Z77" i="20"/>
  <c r="X77" i="20"/>
  <c r="W77" i="20" s="1"/>
  <c r="P77" i="20"/>
  <c r="AH76" i="20"/>
  <c r="AF76" i="20"/>
  <c r="Z76" i="20"/>
  <c r="X76" i="20"/>
  <c r="W76" i="20" s="1"/>
  <c r="P76" i="20"/>
  <c r="AH75" i="20"/>
  <c r="AF75" i="20"/>
  <c r="Z75" i="20"/>
  <c r="X75" i="20"/>
  <c r="W75" i="20" s="1"/>
  <c r="P75" i="20"/>
  <c r="AH74" i="20"/>
  <c r="AF74" i="20"/>
  <c r="Z74" i="20"/>
  <c r="X74" i="20"/>
  <c r="W74" i="20" s="1"/>
  <c r="P74" i="20"/>
  <c r="AH73" i="20"/>
  <c r="AF73" i="20"/>
  <c r="AE73" i="20" s="1"/>
  <c r="Z73" i="20"/>
  <c r="X73" i="20"/>
  <c r="W73" i="20"/>
  <c r="P73" i="20"/>
  <c r="AH72" i="20"/>
  <c r="AF72" i="20"/>
  <c r="AE72" i="20" s="1"/>
  <c r="Z72" i="20"/>
  <c r="X72" i="20"/>
  <c r="W72" i="20" s="1"/>
  <c r="P72" i="20"/>
  <c r="AH71" i="20"/>
  <c r="AF71" i="20"/>
  <c r="AE71" i="20" s="1"/>
  <c r="Z71" i="20"/>
  <c r="X71" i="20"/>
  <c r="W71" i="20" s="1"/>
  <c r="P71" i="20"/>
  <c r="AH70" i="20"/>
  <c r="AF70" i="20"/>
  <c r="AE70" i="20" s="1"/>
  <c r="Z70" i="20"/>
  <c r="X70" i="20"/>
  <c r="W70" i="20" s="1"/>
  <c r="P70" i="20"/>
  <c r="AH69" i="20"/>
  <c r="AF69" i="20"/>
  <c r="AE69" i="20" s="1"/>
  <c r="Z69" i="20"/>
  <c r="X69" i="20"/>
  <c r="W69" i="20" s="1"/>
  <c r="P69" i="20"/>
  <c r="AH68" i="20"/>
  <c r="AF68" i="20"/>
  <c r="AE68" i="20" s="1"/>
  <c r="Z68" i="20"/>
  <c r="X68" i="20"/>
  <c r="W68" i="20" s="1"/>
  <c r="P68" i="20"/>
  <c r="AH67" i="20"/>
  <c r="AF67" i="20"/>
  <c r="AE67" i="20" s="1"/>
  <c r="Z67" i="20"/>
  <c r="X67" i="20"/>
  <c r="W67" i="20" s="1"/>
  <c r="P67" i="20"/>
  <c r="AH66" i="20"/>
  <c r="AF66" i="20"/>
  <c r="AE66" i="20" s="1"/>
  <c r="Z66" i="20"/>
  <c r="X66" i="20"/>
  <c r="W66" i="20" s="1"/>
  <c r="P66" i="20"/>
  <c r="AH65" i="20"/>
  <c r="AF65" i="20"/>
  <c r="AE65" i="20" s="1"/>
  <c r="Z65" i="20"/>
  <c r="X65" i="20"/>
  <c r="W65" i="20" s="1"/>
  <c r="P65" i="20"/>
  <c r="AH64" i="20"/>
  <c r="AF64" i="20"/>
  <c r="AE64" i="20" s="1"/>
  <c r="Z64" i="20"/>
  <c r="X64" i="20"/>
  <c r="W64" i="20" s="1"/>
  <c r="P64" i="20"/>
  <c r="AH63" i="20"/>
  <c r="AF63" i="20"/>
  <c r="AE63" i="20" s="1"/>
  <c r="Z63" i="20"/>
  <c r="X63" i="20"/>
  <c r="W63" i="20" s="1"/>
  <c r="P63" i="20"/>
  <c r="AH62" i="20"/>
  <c r="AF62" i="20"/>
  <c r="AE62" i="20" s="1"/>
  <c r="Z62" i="20"/>
  <c r="X62" i="20"/>
  <c r="W62" i="20" s="1"/>
  <c r="P62" i="20"/>
  <c r="AH61" i="20"/>
  <c r="AF61" i="20"/>
  <c r="AE61" i="20" s="1"/>
  <c r="Z61" i="20"/>
  <c r="X61" i="20"/>
  <c r="W61" i="20" s="1"/>
  <c r="P61" i="20"/>
  <c r="AH60" i="20"/>
  <c r="AF60" i="20"/>
  <c r="AE60" i="20" s="1"/>
  <c r="Z60" i="20"/>
  <c r="X60" i="20"/>
  <c r="W60" i="20" s="1"/>
  <c r="P60" i="20"/>
  <c r="AH59" i="20"/>
  <c r="AF59" i="20"/>
  <c r="AE59" i="20" s="1"/>
  <c r="Z59" i="20"/>
  <c r="X59" i="20"/>
  <c r="W59" i="20"/>
  <c r="P59" i="20"/>
  <c r="AH58" i="20"/>
  <c r="AF58" i="20"/>
  <c r="AE58" i="20" s="1"/>
  <c r="Z58" i="20"/>
  <c r="X58" i="20"/>
  <c r="W58" i="20" s="1"/>
  <c r="P58" i="20"/>
  <c r="AH57" i="20"/>
  <c r="AF57" i="20"/>
  <c r="AE57" i="20" s="1"/>
  <c r="Z57" i="20"/>
  <c r="X57" i="20"/>
  <c r="W57" i="20" s="1"/>
  <c r="P57" i="20"/>
  <c r="AH56" i="20"/>
  <c r="AF56" i="20"/>
  <c r="AE56" i="20" s="1"/>
  <c r="Z56" i="20"/>
  <c r="X56" i="20"/>
  <c r="W56" i="20" s="1"/>
  <c r="P56" i="20"/>
  <c r="AH55" i="20"/>
  <c r="AF55" i="20"/>
  <c r="AE55" i="20" s="1"/>
  <c r="Z55" i="20"/>
  <c r="X55" i="20"/>
  <c r="W55" i="20" s="1"/>
  <c r="P55" i="20"/>
  <c r="AH54" i="20"/>
  <c r="AF54" i="20"/>
  <c r="AE54" i="20" s="1"/>
  <c r="Z54" i="20"/>
  <c r="X54" i="20"/>
  <c r="W54" i="20" s="1"/>
  <c r="P54" i="20"/>
  <c r="AH53" i="20"/>
  <c r="AF53" i="20"/>
  <c r="AE53" i="20" s="1"/>
  <c r="Z53" i="20"/>
  <c r="X53" i="20"/>
  <c r="W53" i="20" s="1"/>
  <c r="P53" i="20"/>
  <c r="AH52" i="20"/>
  <c r="AF52" i="20"/>
  <c r="AE52" i="20" s="1"/>
  <c r="Z52" i="20"/>
  <c r="X52" i="20"/>
  <c r="W52" i="20" s="1"/>
  <c r="AH51" i="20"/>
  <c r="AF51" i="20"/>
  <c r="AE51" i="20"/>
  <c r="Z51" i="20"/>
  <c r="X51" i="20"/>
  <c r="W51" i="20" s="1"/>
  <c r="AH50" i="20"/>
  <c r="AF50" i="20"/>
  <c r="AE50" i="20" s="1"/>
  <c r="Z50" i="20"/>
  <c r="X50" i="20"/>
  <c r="W50" i="20" s="1"/>
  <c r="AH49" i="20"/>
  <c r="AF49" i="20"/>
  <c r="AE49" i="20" s="1"/>
  <c r="Z49" i="20"/>
  <c r="X49" i="20"/>
  <c r="W49" i="20" s="1"/>
  <c r="AH48" i="20"/>
  <c r="AF48" i="20"/>
  <c r="AE48" i="20" s="1"/>
  <c r="Z48" i="20"/>
  <c r="X48" i="20"/>
  <c r="W48" i="20" s="1"/>
  <c r="AH47" i="20"/>
  <c r="AF47" i="20"/>
  <c r="AE47" i="20" s="1"/>
  <c r="Z47" i="20"/>
  <c r="X47" i="20"/>
  <c r="W47" i="20" s="1"/>
  <c r="AH46" i="20"/>
  <c r="AF46" i="20"/>
  <c r="AE46" i="20" s="1"/>
  <c r="Z46" i="20"/>
  <c r="X46" i="20"/>
  <c r="W46" i="20" s="1"/>
  <c r="AH45" i="20"/>
  <c r="AF45" i="20"/>
  <c r="AE45" i="20" s="1"/>
  <c r="Z45" i="20"/>
  <c r="X45" i="20"/>
  <c r="W45" i="20" s="1"/>
  <c r="AH44" i="20"/>
  <c r="AF44" i="20"/>
  <c r="AE44" i="20" s="1"/>
  <c r="Z44" i="20"/>
  <c r="X44" i="20"/>
  <c r="W44" i="20" s="1"/>
  <c r="AH43" i="20"/>
  <c r="AF43" i="20"/>
  <c r="AE43" i="20" s="1"/>
  <c r="Z43" i="20"/>
  <c r="X43" i="20"/>
  <c r="W43" i="20" s="1"/>
  <c r="AH42" i="20"/>
  <c r="AF42" i="20"/>
  <c r="AE42" i="20" s="1"/>
  <c r="Z42" i="20"/>
  <c r="X42" i="20"/>
  <c r="W42" i="20" s="1"/>
  <c r="AH41" i="20"/>
  <c r="AF41" i="20"/>
  <c r="AE41" i="20" s="1"/>
  <c r="Z41" i="20"/>
  <c r="X41" i="20"/>
  <c r="W41" i="20" s="1"/>
  <c r="AH40" i="20"/>
  <c r="AF40" i="20"/>
  <c r="AE40" i="20" s="1"/>
  <c r="Z40" i="20"/>
  <c r="X40" i="20"/>
  <c r="W40" i="20" s="1"/>
  <c r="AH39" i="20"/>
  <c r="AF39" i="20"/>
  <c r="AE39" i="20" s="1"/>
  <c r="Z39" i="20"/>
  <c r="X39" i="20"/>
  <c r="W39" i="20" s="1"/>
  <c r="AH38" i="20"/>
  <c r="AF38" i="20"/>
  <c r="AE38" i="20"/>
  <c r="Z38" i="20"/>
  <c r="X38" i="20"/>
  <c r="W38" i="20" s="1"/>
  <c r="AH37" i="20"/>
  <c r="AF37" i="20"/>
  <c r="AE37" i="20" s="1"/>
  <c r="Z37" i="20"/>
  <c r="X37" i="20"/>
  <c r="W37" i="20" s="1"/>
  <c r="AH36" i="20"/>
  <c r="AF36" i="20"/>
  <c r="AE36" i="20" s="1"/>
  <c r="Z36" i="20"/>
  <c r="X36" i="20"/>
  <c r="W36" i="20" s="1"/>
  <c r="AH35" i="20"/>
  <c r="AF35" i="20"/>
  <c r="AE35" i="20" s="1"/>
  <c r="Z35" i="20"/>
  <c r="X35" i="20"/>
  <c r="W35" i="20" s="1"/>
  <c r="AH34" i="20"/>
  <c r="AF34" i="20"/>
  <c r="AE34" i="20" s="1"/>
  <c r="Z34" i="20"/>
  <c r="X34" i="20"/>
  <c r="W34" i="20" s="1"/>
  <c r="AH33" i="20"/>
  <c r="AF33" i="20"/>
  <c r="AE33" i="20" s="1"/>
  <c r="Z33" i="20"/>
  <c r="X33" i="20"/>
  <c r="W33" i="20" s="1"/>
  <c r="AH32" i="20"/>
  <c r="AF32" i="20"/>
  <c r="AE32" i="20" s="1"/>
  <c r="Z32" i="20"/>
  <c r="X32" i="20"/>
  <c r="W32" i="20" s="1"/>
  <c r="AH31" i="20"/>
  <c r="AF31" i="20"/>
  <c r="AE31" i="20" s="1"/>
  <c r="Z31" i="20"/>
  <c r="X31" i="20"/>
  <c r="W31" i="20" s="1"/>
  <c r="AH30" i="20"/>
  <c r="AF30" i="20"/>
  <c r="AE30" i="20" s="1"/>
  <c r="Z30" i="20"/>
  <c r="X30" i="20"/>
  <c r="W30" i="20" s="1"/>
  <c r="AH29" i="20"/>
  <c r="AF29" i="20"/>
  <c r="AE29" i="20" s="1"/>
  <c r="Z29" i="20"/>
  <c r="X29" i="20"/>
  <c r="W29" i="20" s="1"/>
  <c r="AH28" i="20"/>
  <c r="AF28" i="20"/>
  <c r="AE28" i="20" s="1"/>
  <c r="Z28" i="20"/>
  <c r="X28" i="20"/>
  <c r="W28" i="20" s="1"/>
  <c r="AH27" i="20"/>
  <c r="AF27" i="20"/>
  <c r="AE27" i="20" s="1"/>
  <c r="Z27" i="20"/>
  <c r="X27" i="20"/>
  <c r="W27" i="20" s="1"/>
  <c r="AH26" i="20"/>
  <c r="AF26" i="20"/>
  <c r="AE26" i="20" s="1"/>
  <c r="Z26" i="20"/>
  <c r="X26" i="20"/>
  <c r="W26" i="20" s="1"/>
  <c r="AH25" i="20"/>
  <c r="AF25" i="20"/>
  <c r="AE25" i="20" s="1"/>
  <c r="Z25" i="20"/>
  <c r="X25" i="20"/>
  <c r="W25" i="20" s="1"/>
  <c r="AH24" i="20"/>
  <c r="AF24" i="20"/>
  <c r="AE24" i="20" s="1"/>
  <c r="Z24" i="20"/>
  <c r="X24" i="20"/>
  <c r="W24" i="20" s="1"/>
  <c r="AH23" i="20"/>
  <c r="AF23" i="20"/>
  <c r="AE23" i="20" s="1"/>
  <c r="Z23" i="20"/>
  <c r="X23" i="20"/>
  <c r="W23" i="20" s="1"/>
  <c r="AH22" i="20"/>
  <c r="AF22" i="20"/>
  <c r="AE22" i="20" s="1"/>
  <c r="Z22" i="20"/>
  <c r="X22" i="20"/>
  <c r="W22" i="20" s="1"/>
  <c r="AH21" i="20"/>
  <c r="AF21" i="20"/>
  <c r="AE21" i="20" s="1"/>
  <c r="Z21" i="20"/>
  <c r="X21" i="20"/>
  <c r="W21" i="20" s="1"/>
  <c r="AH20" i="20"/>
  <c r="AF20" i="20"/>
  <c r="AE20" i="20" s="1"/>
  <c r="Z20" i="20"/>
  <c r="X20" i="20"/>
  <c r="W20" i="20" s="1"/>
  <c r="AH19" i="20"/>
  <c r="AF19" i="20"/>
  <c r="AE19" i="20" s="1"/>
  <c r="Z19" i="20"/>
  <c r="X19" i="20"/>
  <c r="W19" i="20" s="1"/>
  <c r="AH18" i="20"/>
  <c r="AF18" i="20"/>
  <c r="AE18" i="20" s="1"/>
  <c r="Z18" i="20"/>
  <c r="X18" i="20"/>
  <c r="W18" i="20" s="1"/>
  <c r="AH17" i="20"/>
  <c r="AF17" i="20"/>
  <c r="AE17" i="20" s="1"/>
  <c r="Z17" i="20"/>
  <c r="X17" i="20"/>
  <c r="W17" i="20" s="1"/>
  <c r="AH16" i="20"/>
  <c r="AF16" i="20"/>
  <c r="AE16" i="20" s="1"/>
  <c r="Z16" i="20"/>
  <c r="X16" i="20"/>
  <c r="W16" i="20" s="1"/>
  <c r="AH15" i="20"/>
  <c r="AF15" i="20"/>
  <c r="AE15" i="20" s="1"/>
  <c r="Z15" i="20"/>
  <c r="X15" i="20"/>
  <c r="W15" i="20" s="1"/>
  <c r="P15" i="20"/>
  <c r="P16" i="20" s="1"/>
  <c r="P17" i="20" s="1"/>
  <c r="P18" i="20" s="1"/>
  <c r="P19" i="20" s="1"/>
  <c r="P20" i="20" s="1"/>
  <c r="P21" i="20" s="1"/>
  <c r="P22" i="20" s="1"/>
  <c r="P23" i="20" s="1"/>
  <c r="P24" i="20" s="1"/>
  <c r="P25" i="20" s="1"/>
  <c r="P26" i="20" s="1"/>
  <c r="P27" i="20" s="1"/>
  <c r="P28" i="20" s="1"/>
  <c r="P29" i="20" s="1"/>
  <c r="P30" i="20" s="1"/>
  <c r="P31" i="20" s="1"/>
  <c r="P32" i="20" s="1"/>
  <c r="P33" i="20" s="1"/>
  <c r="P34" i="20" s="1"/>
  <c r="P35" i="20" s="1"/>
  <c r="P36" i="20" s="1"/>
  <c r="P37" i="20" s="1"/>
  <c r="P38" i="20" s="1"/>
  <c r="P39" i="20" s="1"/>
  <c r="P40" i="20" s="1"/>
  <c r="P41" i="20" s="1"/>
  <c r="P42" i="20" s="1"/>
  <c r="P43" i="20" s="1"/>
  <c r="P44" i="20" s="1"/>
  <c r="P45" i="20" s="1"/>
  <c r="P46" i="20" s="1"/>
  <c r="P47" i="20" s="1"/>
  <c r="P48" i="20" s="1"/>
  <c r="P49" i="20" s="1"/>
  <c r="P50" i="20" s="1"/>
  <c r="P51" i="20" s="1"/>
  <c r="P52" i="20" s="1"/>
  <c r="AH14" i="20"/>
  <c r="AF14" i="20"/>
  <c r="AE14" i="20" s="1"/>
  <c r="Z14" i="20"/>
  <c r="X14" i="20"/>
  <c r="W14" i="20" s="1"/>
  <c r="AC11" i="20"/>
  <c r="AB11" i="20"/>
  <c r="T3" i="20"/>
  <c r="P3" i="20"/>
  <c r="AH120" i="19"/>
  <c r="AF120" i="19"/>
  <c r="Z120" i="19"/>
  <c r="X120" i="19"/>
  <c r="W120" i="19" s="1"/>
  <c r="P120" i="19"/>
  <c r="AH119" i="19"/>
  <c r="AF119" i="19"/>
  <c r="Z119" i="19"/>
  <c r="X119" i="19"/>
  <c r="W119" i="19" s="1"/>
  <c r="P119" i="19"/>
  <c r="AH118" i="19"/>
  <c r="AF118" i="19"/>
  <c r="Z118" i="19"/>
  <c r="X118" i="19"/>
  <c r="W118" i="19" s="1"/>
  <c r="P118" i="19"/>
  <c r="AH117" i="19"/>
  <c r="AF117" i="19"/>
  <c r="Z117" i="19"/>
  <c r="X117" i="19"/>
  <c r="W117" i="19"/>
  <c r="P117" i="19"/>
  <c r="AH116" i="19"/>
  <c r="AF116" i="19"/>
  <c r="Z116" i="19"/>
  <c r="X116" i="19"/>
  <c r="W116" i="19" s="1"/>
  <c r="P116" i="19"/>
  <c r="AH115" i="19"/>
  <c r="AF115" i="19"/>
  <c r="Z115" i="19"/>
  <c r="X115" i="19"/>
  <c r="W115" i="19" s="1"/>
  <c r="P115" i="19"/>
  <c r="AH114" i="19"/>
  <c r="AF114" i="19"/>
  <c r="Z114" i="19"/>
  <c r="X114" i="19"/>
  <c r="W114" i="19" s="1"/>
  <c r="P114" i="19"/>
  <c r="AH113" i="19"/>
  <c r="AF113" i="19"/>
  <c r="Z113" i="19"/>
  <c r="X113" i="19"/>
  <c r="W113" i="19"/>
  <c r="P113" i="19"/>
  <c r="AH112" i="19"/>
  <c r="AF112" i="19"/>
  <c r="Z112" i="19"/>
  <c r="X112" i="19"/>
  <c r="W112" i="19" s="1"/>
  <c r="P112" i="19"/>
  <c r="AH111" i="19"/>
  <c r="AF111" i="19"/>
  <c r="Z111" i="19"/>
  <c r="X111" i="19"/>
  <c r="W111" i="19" s="1"/>
  <c r="P111" i="19"/>
  <c r="AH110" i="19"/>
  <c r="AF110" i="19"/>
  <c r="Z110" i="19"/>
  <c r="X110" i="19"/>
  <c r="W110" i="19" s="1"/>
  <c r="P110" i="19"/>
  <c r="AH109" i="19"/>
  <c r="AF109" i="19"/>
  <c r="Z109" i="19"/>
  <c r="X109" i="19"/>
  <c r="W109" i="19" s="1"/>
  <c r="P109" i="19"/>
  <c r="AH108" i="19"/>
  <c r="AF108" i="19"/>
  <c r="Z108" i="19"/>
  <c r="X108" i="19"/>
  <c r="W108" i="19" s="1"/>
  <c r="P108" i="19"/>
  <c r="AH107" i="19"/>
  <c r="AF107" i="19"/>
  <c r="Z107" i="19"/>
  <c r="X107" i="19"/>
  <c r="W107" i="19"/>
  <c r="P107" i="19"/>
  <c r="AH106" i="19"/>
  <c r="AF106" i="19"/>
  <c r="Z106" i="19"/>
  <c r="X106" i="19"/>
  <c r="W106" i="19" s="1"/>
  <c r="P106" i="19"/>
  <c r="AH105" i="19"/>
  <c r="AF105" i="19"/>
  <c r="Z105" i="19"/>
  <c r="X105" i="19"/>
  <c r="W105" i="19" s="1"/>
  <c r="P105" i="19"/>
  <c r="AH104" i="19"/>
  <c r="AF104" i="19"/>
  <c r="Z104" i="19"/>
  <c r="X104" i="19"/>
  <c r="W104" i="19" s="1"/>
  <c r="P104" i="19"/>
  <c r="AH103" i="19"/>
  <c r="AF103" i="19"/>
  <c r="Z103" i="19"/>
  <c r="X103" i="19"/>
  <c r="W103" i="19" s="1"/>
  <c r="P103" i="19"/>
  <c r="AH102" i="19"/>
  <c r="AF102" i="19"/>
  <c r="Z102" i="19"/>
  <c r="X102" i="19"/>
  <c r="W102" i="19" s="1"/>
  <c r="P102" i="19"/>
  <c r="AH101" i="19"/>
  <c r="AF101" i="19"/>
  <c r="Z101" i="19"/>
  <c r="X101" i="19"/>
  <c r="W101" i="19" s="1"/>
  <c r="P101" i="19"/>
  <c r="AH100" i="19"/>
  <c r="AF100" i="19"/>
  <c r="Z100" i="19"/>
  <c r="X100" i="19"/>
  <c r="W100" i="19" s="1"/>
  <c r="P100" i="19"/>
  <c r="AH99" i="19"/>
  <c r="AF99" i="19"/>
  <c r="Z99" i="19"/>
  <c r="X99" i="19"/>
  <c r="W99" i="19" s="1"/>
  <c r="P99" i="19"/>
  <c r="AH98" i="19"/>
  <c r="AF98" i="19"/>
  <c r="Z98" i="19"/>
  <c r="X98" i="19"/>
  <c r="W98" i="19" s="1"/>
  <c r="P98" i="19"/>
  <c r="AH97" i="19"/>
  <c r="AF97" i="19"/>
  <c r="Z97" i="19"/>
  <c r="X97" i="19"/>
  <c r="W97" i="19" s="1"/>
  <c r="P97" i="19"/>
  <c r="AH96" i="19"/>
  <c r="AF96" i="19"/>
  <c r="Z96" i="19"/>
  <c r="X96" i="19"/>
  <c r="W96" i="19" s="1"/>
  <c r="P96" i="19"/>
  <c r="AH95" i="19"/>
  <c r="AF95" i="19"/>
  <c r="Z95" i="19"/>
  <c r="X95" i="19"/>
  <c r="W95" i="19" s="1"/>
  <c r="P95" i="19"/>
  <c r="AH94" i="19"/>
  <c r="AF94" i="19"/>
  <c r="Z94" i="19"/>
  <c r="X94" i="19"/>
  <c r="W94" i="19" s="1"/>
  <c r="P94" i="19"/>
  <c r="AH93" i="19"/>
  <c r="AF93" i="19"/>
  <c r="Z93" i="19"/>
  <c r="X93" i="19"/>
  <c r="W93" i="19" s="1"/>
  <c r="P93" i="19"/>
  <c r="AH92" i="19"/>
  <c r="AF92" i="19"/>
  <c r="Z92" i="19"/>
  <c r="X92" i="19"/>
  <c r="W92" i="19" s="1"/>
  <c r="P92" i="19"/>
  <c r="AH91" i="19"/>
  <c r="AF91" i="19"/>
  <c r="Z91" i="19"/>
  <c r="X91" i="19"/>
  <c r="W91" i="19" s="1"/>
  <c r="P91" i="19"/>
  <c r="AH90" i="19"/>
  <c r="AF90" i="19"/>
  <c r="Z90" i="19"/>
  <c r="X90" i="19"/>
  <c r="W90" i="19" s="1"/>
  <c r="P90" i="19"/>
  <c r="AH89" i="19"/>
  <c r="AF89" i="19"/>
  <c r="Z89" i="19"/>
  <c r="X89" i="19"/>
  <c r="W89" i="19"/>
  <c r="P89" i="19"/>
  <c r="AH88" i="19"/>
  <c r="AF88" i="19"/>
  <c r="Z88" i="19"/>
  <c r="X88" i="19"/>
  <c r="W88" i="19" s="1"/>
  <c r="P88" i="19"/>
  <c r="AH87" i="19"/>
  <c r="AF87" i="19"/>
  <c r="Z87" i="19"/>
  <c r="X87" i="19"/>
  <c r="W87" i="19" s="1"/>
  <c r="P87" i="19"/>
  <c r="AH86" i="19"/>
  <c r="AF86" i="19"/>
  <c r="Z86" i="19"/>
  <c r="X86" i="19"/>
  <c r="W86" i="19" s="1"/>
  <c r="P86" i="19"/>
  <c r="AH85" i="19"/>
  <c r="AF85" i="19"/>
  <c r="Z85" i="19"/>
  <c r="X85" i="19"/>
  <c r="W85" i="19" s="1"/>
  <c r="P85" i="19"/>
  <c r="AH84" i="19"/>
  <c r="AF84" i="19"/>
  <c r="Z84" i="19"/>
  <c r="X84" i="19"/>
  <c r="W84" i="19" s="1"/>
  <c r="P84" i="19"/>
  <c r="AH83" i="19"/>
  <c r="AF83" i="19"/>
  <c r="Z83" i="19"/>
  <c r="X83" i="19"/>
  <c r="W83" i="19" s="1"/>
  <c r="P83" i="19"/>
  <c r="AH82" i="19"/>
  <c r="AF82" i="19"/>
  <c r="Z82" i="19"/>
  <c r="X82" i="19"/>
  <c r="W82" i="19" s="1"/>
  <c r="P82" i="19"/>
  <c r="AH81" i="19"/>
  <c r="AF81" i="19"/>
  <c r="Z81" i="19"/>
  <c r="X81" i="19"/>
  <c r="W81" i="19"/>
  <c r="P81" i="19"/>
  <c r="AH80" i="19"/>
  <c r="AF80" i="19"/>
  <c r="Z80" i="19"/>
  <c r="X80" i="19"/>
  <c r="W80" i="19" s="1"/>
  <c r="P80" i="19"/>
  <c r="AH79" i="19"/>
  <c r="AF79" i="19"/>
  <c r="Z79" i="19"/>
  <c r="X79" i="19"/>
  <c r="W79" i="19" s="1"/>
  <c r="P79" i="19"/>
  <c r="AH78" i="19"/>
  <c r="AF78" i="19"/>
  <c r="Z78" i="19"/>
  <c r="X78" i="19"/>
  <c r="W78" i="19" s="1"/>
  <c r="P78" i="19"/>
  <c r="AH77" i="19"/>
  <c r="AF77" i="19"/>
  <c r="Z77" i="19"/>
  <c r="X77" i="19"/>
  <c r="W77" i="19" s="1"/>
  <c r="P77" i="19"/>
  <c r="AH76" i="19"/>
  <c r="AF76" i="19"/>
  <c r="Z76" i="19"/>
  <c r="X76" i="19"/>
  <c r="W76" i="19" s="1"/>
  <c r="P76" i="19"/>
  <c r="AH75" i="19"/>
  <c r="AF75" i="19"/>
  <c r="Z75" i="19"/>
  <c r="X75" i="19"/>
  <c r="W75" i="19"/>
  <c r="P75" i="19"/>
  <c r="AH74" i="19"/>
  <c r="AF74" i="19"/>
  <c r="Z74" i="19"/>
  <c r="X74" i="19"/>
  <c r="W74" i="19" s="1"/>
  <c r="P74" i="19"/>
  <c r="AH73" i="19"/>
  <c r="AF73" i="19"/>
  <c r="Z73" i="19"/>
  <c r="X73" i="19"/>
  <c r="W73" i="19" s="1"/>
  <c r="P73" i="19"/>
  <c r="AH72" i="19"/>
  <c r="AF72" i="19"/>
  <c r="Z72" i="19"/>
  <c r="X72" i="19"/>
  <c r="W72" i="19" s="1"/>
  <c r="P72" i="19"/>
  <c r="AH71" i="19"/>
  <c r="AF71" i="19"/>
  <c r="Z71" i="19"/>
  <c r="X71" i="19"/>
  <c r="W71" i="19" s="1"/>
  <c r="P71" i="19"/>
  <c r="AH70" i="19"/>
  <c r="AF70" i="19"/>
  <c r="Z70" i="19"/>
  <c r="X70" i="19"/>
  <c r="W70" i="19" s="1"/>
  <c r="P70" i="19"/>
  <c r="AH69" i="19"/>
  <c r="AF69" i="19"/>
  <c r="Z69" i="19"/>
  <c r="X69" i="19"/>
  <c r="W69" i="19" s="1"/>
  <c r="P69" i="19"/>
  <c r="AH68" i="19"/>
  <c r="AF68" i="19"/>
  <c r="Z68" i="19"/>
  <c r="X68" i="19"/>
  <c r="W68" i="19" s="1"/>
  <c r="P68" i="19"/>
  <c r="AH67" i="19"/>
  <c r="AF67" i="19"/>
  <c r="AE67" i="19" s="1"/>
  <c r="Z67" i="19"/>
  <c r="X67" i="19"/>
  <c r="W67" i="19" s="1"/>
  <c r="P67" i="19"/>
  <c r="AH66" i="19"/>
  <c r="AF66" i="19"/>
  <c r="AE66" i="19" s="1"/>
  <c r="Z66" i="19"/>
  <c r="X66" i="19"/>
  <c r="W66" i="19" s="1"/>
  <c r="P66" i="19"/>
  <c r="AH65" i="19"/>
  <c r="AF65" i="19"/>
  <c r="AE65" i="19" s="1"/>
  <c r="Z65" i="19"/>
  <c r="X65" i="19"/>
  <c r="W65" i="19" s="1"/>
  <c r="P65" i="19"/>
  <c r="AH64" i="19"/>
  <c r="AF64" i="19"/>
  <c r="AE64" i="19" s="1"/>
  <c r="Z64" i="19"/>
  <c r="X64" i="19"/>
  <c r="W64" i="19" s="1"/>
  <c r="P64" i="19"/>
  <c r="AH63" i="19"/>
  <c r="AF63" i="19"/>
  <c r="AE63" i="19" s="1"/>
  <c r="Z63" i="19"/>
  <c r="X63" i="19"/>
  <c r="W63" i="19" s="1"/>
  <c r="P63" i="19"/>
  <c r="AH62" i="19"/>
  <c r="AF62" i="19"/>
  <c r="AE62" i="19" s="1"/>
  <c r="Z62" i="19"/>
  <c r="X62" i="19"/>
  <c r="W62" i="19"/>
  <c r="P62" i="19"/>
  <c r="AH61" i="19"/>
  <c r="AF61" i="19"/>
  <c r="AE61" i="19" s="1"/>
  <c r="Z61" i="19"/>
  <c r="X61" i="19"/>
  <c r="W61" i="19" s="1"/>
  <c r="P61" i="19"/>
  <c r="AH60" i="19"/>
  <c r="AF60" i="19"/>
  <c r="AE60" i="19" s="1"/>
  <c r="Z60" i="19"/>
  <c r="X60" i="19"/>
  <c r="W60" i="19" s="1"/>
  <c r="P60" i="19"/>
  <c r="AH59" i="19"/>
  <c r="AF59" i="19"/>
  <c r="AE59" i="19" s="1"/>
  <c r="Z59" i="19"/>
  <c r="X59" i="19"/>
  <c r="W59" i="19" s="1"/>
  <c r="P59" i="19"/>
  <c r="AH58" i="19"/>
  <c r="AF58" i="19"/>
  <c r="AE58" i="19" s="1"/>
  <c r="Z58" i="19"/>
  <c r="X58" i="19"/>
  <c r="W58" i="19" s="1"/>
  <c r="P58" i="19"/>
  <c r="AH57" i="19"/>
  <c r="AF57" i="19"/>
  <c r="AE57" i="19" s="1"/>
  <c r="Z57" i="19"/>
  <c r="X57" i="19"/>
  <c r="W57" i="19" s="1"/>
  <c r="P57" i="19"/>
  <c r="AH56" i="19"/>
  <c r="AF56" i="19"/>
  <c r="AE56" i="19" s="1"/>
  <c r="Z56" i="19"/>
  <c r="X56" i="19"/>
  <c r="W56" i="19" s="1"/>
  <c r="P56" i="19"/>
  <c r="AH55" i="19"/>
  <c r="AF55" i="19"/>
  <c r="AE55" i="19" s="1"/>
  <c r="Z55" i="19"/>
  <c r="X55" i="19"/>
  <c r="W55" i="19" s="1"/>
  <c r="P55" i="19"/>
  <c r="AH54" i="19"/>
  <c r="AF54" i="19"/>
  <c r="AE54" i="19" s="1"/>
  <c r="Z54" i="19"/>
  <c r="X54" i="19"/>
  <c r="W54" i="19" s="1"/>
  <c r="P54" i="19"/>
  <c r="AH53" i="19"/>
  <c r="AF53" i="19"/>
  <c r="AE53" i="19" s="1"/>
  <c r="Z53" i="19"/>
  <c r="X53" i="19"/>
  <c r="W53" i="19" s="1"/>
  <c r="P53" i="19"/>
  <c r="AH52" i="19"/>
  <c r="AF52" i="19"/>
  <c r="AE52" i="19" s="1"/>
  <c r="Z52" i="19"/>
  <c r="X52" i="19"/>
  <c r="W52" i="19" s="1"/>
  <c r="AH51" i="19"/>
  <c r="AF51" i="19"/>
  <c r="AE51" i="19" s="1"/>
  <c r="Z51" i="19"/>
  <c r="X51" i="19"/>
  <c r="W51" i="19" s="1"/>
  <c r="AH50" i="19"/>
  <c r="AF50" i="19"/>
  <c r="AE50" i="19" s="1"/>
  <c r="Z50" i="19"/>
  <c r="X50" i="19"/>
  <c r="W50" i="19" s="1"/>
  <c r="AH49" i="19"/>
  <c r="AF49" i="19"/>
  <c r="AE49" i="19" s="1"/>
  <c r="Z49" i="19"/>
  <c r="X49" i="19"/>
  <c r="W49" i="19" s="1"/>
  <c r="AH48" i="19"/>
  <c r="AF48" i="19"/>
  <c r="AE48" i="19" s="1"/>
  <c r="Z48" i="19"/>
  <c r="X48" i="19"/>
  <c r="W48" i="19" s="1"/>
  <c r="AH47" i="19"/>
  <c r="AF47" i="19"/>
  <c r="AE47" i="19" s="1"/>
  <c r="Z47" i="19"/>
  <c r="X47" i="19"/>
  <c r="W47" i="19" s="1"/>
  <c r="AH46" i="19"/>
  <c r="AF46" i="19"/>
  <c r="AE46" i="19" s="1"/>
  <c r="Z46" i="19"/>
  <c r="X46" i="19"/>
  <c r="W46" i="19" s="1"/>
  <c r="AH45" i="19"/>
  <c r="AF45" i="19"/>
  <c r="AE45" i="19" s="1"/>
  <c r="Z45" i="19"/>
  <c r="X45" i="19"/>
  <c r="W45" i="19"/>
  <c r="AH44" i="19"/>
  <c r="AF44" i="19"/>
  <c r="AE44" i="19" s="1"/>
  <c r="Z44" i="19"/>
  <c r="X44" i="19"/>
  <c r="W44" i="19" s="1"/>
  <c r="AH43" i="19"/>
  <c r="AF43" i="19"/>
  <c r="AE43" i="19" s="1"/>
  <c r="Z43" i="19"/>
  <c r="X43" i="19"/>
  <c r="W43" i="19" s="1"/>
  <c r="AH42" i="19"/>
  <c r="AF42" i="19"/>
  <c r="AE42" i="19" s="1"/>
  <c r="Z42" i="19"/>
  <c r="X42" i="19"/>
  <c r="W42" i="19" s="1"/>
  <c r="AH41" i="19"/>
  <c r="AF41" i="19"/>
  <c r="AE41" i="19" s="1"/>
  <c r="Z41" i="19"/>
  <c r="X41" i="19"/>
  <c r="W41" i="19" s="1"/>
  <c r="AH40" i="19"/>
  <c r="AF40" i="19"/>
  <c r="AE40" i="19" s="1"/>
  <c r="Z40" i="19"/>
  <c r="X40" i="19"/>
  <c r="W40" i="19" s="1"/>
  <c r="AH39" i="19"/>
  <c r="AF39" i="19"/>
  <c r="AE39" i="19" s="1"/>
  <c r="Z39" i="19"/>
  <c r="X39" i="19"/>
  <c r="W39" i="19" s="1"/>
  <c r="AH38" i="19"/>
  <c r="AF38" i="19"/>
  <c r="AE38" i="19"/>
  <c r="Z38" i="19"/>
  <c r="X38" i="19"/>
  <c r="W38" i="19" s="1"/>
  <c r="AH37" i="19"/>
  <c r="AF37" i="19"/>
  <c r="AE37" i="19" s="1"/>
  <c r="Z37" i="19"/>
  <c r="X37" i="19"/>
  <c r="W37" i="19" s="1"/>
  <c r="AH36" i="19"/>
  <c r="AF36" i="19"/>
  <c r="AE36" i="19" s="1"/>
  <c r="Z36" i="19"/>
  <c r="X36" i="19"/>
  <c r="W36" i="19" s="1"/>
  <c r="AH35" i="19"/>
  <c r="AF35" i="19"/>
  <c r="AE35" i="19" s="1"/>
  <c r="Z35" i="19"/>
  <c r="X35" i="19"/>
  <c r="W35" i="19" s="1"/>
  <c r="AH34" i="19"/>
  <c r="AF34" i="19"/>
  <c r="AE34" i="19" s="1"/>
  <c r="Z34" i="19"/>
  <c r="X34" i="19"/>
  <c r="W34" i="19" s="1"/>
  <c r="AH33" i="19"/>
  <c r="AF33" i="19"/>
  <c r="AE33" i="19"/>
  <c r="Z33" i="19"/>
  <c r="X33" i="19"/>
  <c r="W33" i="19" s="1"/>
  <c r="AH32" i="19"/>
  <c r="AF32" i="19"/>
  <c r="AE32" i="19" s="1"/>
  <c r="Z32" i="19"/>
  <c r="X32" i="19"/>
  <c r="W32" i="19" s="1"/>
  <c r="AH31" i="19"/>
  <c r="AF31" i="19"/>
  <c r="AE31" i="19" s="1"/>
  <c r="Z31" i="19"/>
  <c r="X31" i="19"/>
  <c r="W31" i="19" s="1"/>
  <c r="AH30" i="19"/>
  <c r="AF30" i="19"/>
  <c r="AE30" i="19" s="1"/>
  <c r="Z30" i="19"/>
  <c r="X30" i="19"/>
  <c r="W30" i="19" s="1"/>
  <c r="AH29" i="19"/>
  <c r="AF29" i="19"/>
  <c r="AE29" i="19" s="1"/>
  <c r="Z29" i="19"/>
  <c r="X29" i="19"/>
  <c r="W29" i="19" s="1"/>
  <c r="AH28" i="19"/>
  <c r="AF28" i="19"/>
  <c r="AE28" i="19" s="1"/>
  <c r="Z28" i="19"/>
  <c r="X28" i="19"/>
  <c r="W28" i="19" s="1"/>
  <c r="AH27" i="19"/>
  <c r="AF27" i="19"/>
  <c r="AE27" i="19" s="1"/>
  <c r="Z27" i="19"/>
  <c r="X27" i="19"/>
  <c r="W27" i="19" s="1"/>
  <c r="AH26" i="19"/>
  <c r="AF26" i="19"/>
  <c r="AE26" i="19" s="1"/>
  <c r="Z26" i="19"/>
  <c r="X26" i="19"/>
  <c r="W26" i="19" s="1"/>
  <c r="AH25" i="19"/>
  <c r="AF25" i="19"/>
  <c r="AE25" i="19" s="1"/>
  <c r="Z25" i="19"/>
  <c r="X25" i="19"/>
  <c r="W25" i="19" s="1"/>
  <c r="AH24" i="19"/>
  <c r="AF24" i="19"/>
  <c r="AE24" i="19" s="1"/>
  <c r="Z24" i="19"/>
  <c r="X24" i="19"/>
  <c r="W24" i="19"/>
  <c r="AH23" i="19"/>
  <c r="AF23" i="19"/>
  <c r="AE23" i="19" s="1"/>
  <c r="Z23" i="19"/>
  <c r="X23" i="19"/>
  <c r="W23" i="19" s="1"/>
  <c r="AH22" i="19"/>
  <c r="AF22" i="19"/>
  <c r="AE22" i="19" s="1"/>
  <c r="Z22" i="19"/>
  <c r="X22" i="19"/>
  <c r="W22" i="19" s="1"/>
  <c r="AH21" i="19"/>
  <c r="AF21" i="19"/>
  <c r="AE21" i="19" s="1"/>
  <c r="Z21" i="19"/>
  <c r="X21" i="19"/>
  <c r="W21" i="19"/>
  <c r="AH20" i="19"/>
  <c r="AF20" i="19"/>
  <c r="AE20" i="19" s="1"/>
  <c r="Z20" i="19"/>
  <c r="X20" i="19"/>
  <c r="W20" i="19" s="1"/>
  <c r="AH19" i="19"/>
  <c r="AF19" i="19"/>
  <c r="AE19" i="19" s="1"/>
  <c r="Z19" i="19"/>
  <c r="X19" i="19"/>
  <c r="W19" i="19" s="1"/>
  <c r="AH18" i="19"/>
  <c r="AF18" i="19"/>
  <c r="AE18" i="19" s="1"/>
  <c r="Z18" i="19"/>
  <c r="X18" i="19"/>
  <c r="W18" i="19" s="1"/>
  <c r="AH17" i="19"/>
  <c r="AF17" i="19"/>
  <c r="AE17" i="19" s="1"/>
  <c r="Z17" i="19"/>
  <c r="X17" i="19"/>
  <c r="W17" i="19" s="1"/>
  <c r="AH16" i="19"/>
  <c r="AF16" i="19"/>
  <c r="AE16" i="19" s="1"/>
  <c r="Z16" i="19"/>
  <c r="X16" i="19"/>
  <c r="W16" i="19" s="1"/>
  <c r="AH15" i="19"/>
  <c r="AF15" i="19"/>
  <c r="AE15" i="19" s="1"/>
  <c r="Z15" i="19"/>
  <c r="X15" i="19"/>
  <c r="W15" i="19" s="1"/>
  <c r="P15" i="19"/>
  <c r="P16" i="19" s="1"/>
  <c r="P17" i="19" s="1"/>
  <c r="P18" i="19" s="1"/>
  <c r="P19" i="19" s="1"/>
  <c r="P20" i="19" s="1"/>
  <c r="P21" i="19" s="1"/>
  <c r="P22" i="19" s="1"/>
  <c r="P23" i="19" s="1"/>
  <c r="P24" i="19" s="1"/>
  <c r="P25" i="19" s="1"/>
  <c r="P26" i="19" s="1"/>
  <c r="P27" i="19" s="1"/>
  <c r="P28" i="19" s="1"/>
  <c r="P29" i="19" s="1"/>
  <c r="P30" i="19" s="1"/>
  <c r="P31" i="19" s="1"/>
  <c r="P32" i="19" s="1"/>
  <c r="P33" i="19" s="1"/>
  <c r="P34" i="19" s="1"/>
  <c r="P35" i="19" s="1"/>
  <c r="P36" i="19" s="1"/>
  <c r="P37" i="19" s="1"/>
  <c r="P38" i="19" s="1"/>
  <c r="P39" i="19" s="1"/>
  <c r="P40" i="19" s="1"/>
  <c r="P41" i="19" s="1"/>
  <c r="P42" i="19" s="1"/>
  <c r="P43" i="19" s="1"/>
  <c r="P44" i="19" s="1"/>
  <c r="P45" i="19" s="1"/>
  <c r="P46" i="19" s="1"/>
  <c r="P47" i="19" s="1"/>
  <c r="P48" i="19" s="1"/>
  <c r="P49" i="19" s="1"/>
  <c r="P50" i="19" s="1"/>
  <c r="P51" i="19" s="1"/>
  <c r="P52" i="19" s="1"/>
  <c r="AH14" i="19"/>
  <c r="AF14" i="19"/>
  <c r="AE14" i="19" s="1"/>
  <c r="Z14" i="19"/>
  <c r="X14" i="19"/>
  <c r="W14" i="19" s="1"/>
  <c r="AC11" i="19"/>
  <c r="AB11" i="19" s="1"/>
  <c r="T3" i="19"/>
  <c r="P3" i="19"/>
  <c r="AH120" i="18"/>
  <c r="AF120" i="18"/>
  <c r="Z120" i="18"/>
  <c r="X120" i="18"/>
  <c r="W120" i="18" s="1"/>
  <c r="P120" i="18"/>
  <c r="AH119" i="18"/>
  <c r="AF119" i="18"/>
  <c r="Z119" i="18"/>
  <c r="X119" i="18"/>
  <c r="W119" i="18" s="1"/>
  <c r="P119" i="18"/>
  <c r="AH118" i="18"/>
  <c r="AF118" i="18"/>
  <c r="Z118" i="18"/>
  <c r="X118" i="18"/>
  <c r="W118" i="18" s="1"/>
  <c r="P118" i="18"/>
  <c r="AH117" i="18"/>
  <c r="AF117" i="18"/>
  <c r="Z117" i="18"/>
  <c r="X117" i="18"/>
  <c r="W117" i="18" s="1"/>
  <c r="P117" i="18"/>
  <c r="AH116" i="18"/>
  <c r="AF116" i="18"/>
  <c r="Z116" i="18"/>
  <c r="X116" i="18"/>
  <c r="W116" i="18" s="1"/>
  <c r="P116" i="18"/>
  <c r="AH115" i="18"/>
  <c r="AF115" i="18"/>
  <c r="Z115" i="18"/>
  <c r="X115" i="18"/>
  <c r="W115" i="18" s="1"/>
  <c r="P115" i="18"/>
  <c r="AH114" i="18"/>
  <c r="AF114" i="18"/>
  <c r="Z114" i="18"/>
  <c r="X114" i="18"/>
  <c r="W114" i="18" s="1"/>
  <c r="P114" i="18"/>
  <c r="AH113" i="18"/>
  <c r="AF113" i="18"/>
  <c r="Z113" i="18"/>
  <c r="X113" i="18"/>
  <c r="W113" i="18" s="1"/>
  <c r="P113" i="18"/>
  <c r="AH112" i="18"/>
  <c r="AF112" i="18"/>
  <c r="Z112" i="18"/>
  <c r="X112" i="18"/>
  <c r="W112" i="18" s="1"/>
  <c r="P112" i="18"/>
  <c r="AH111" i="18"/>
  <c r="AF111" i="18"/>
  <c r="Z111" i="18"/>
  <c r="X111" i="18"/>
  <c r="W111" i="18" s="1"/>
  <c r="P111" i="18"/>
  <c r="AH110" i="18"/>
  <c r="AF110" i="18"/>
  <c r="Z110" i="18"/>
  <c r="X110" i="18"/>
  <c r="W110" i="18" s="1"/>
  <c r="P110" i="18"/>
  <c r="AH109" i="18"/>
  <c r="AF109" i="18"/>
  <c r="Z109" i="18"/>
  <c r="X109" i="18"/>
  <c r="W109" i="18" s="1"/>
  <c r="P109" i="18"/>
  <c r="AH108" i="18"/>
  <c r="AF108" i="18"/>
  <c r="Z108" i="18"/>
  <c r="X108" i="18"/>
  <c r="W108" i="18" s="1"/>
  <c r="P108" i="18"/>
  <c r="AH107" i="18"/>
  <c r="AF107" i="18"/>
  <c r="Z107" i="18"/>
  <c r="X107" i="18"/>
  <c r="W107" i="18" s="1"/>
  <c r="P107" i="18"/>
  <c r="AH106" i="18"/>
  <c r="AF106" i="18"/>
  <c r="Z106" i="18"/>
  <c r="X106" i="18"/>
  <c r="W106" i="18" s="1"/>
  <c r="P106" i="18"/>
  <c r="AH105" i="18"/>
  <c r="AF105" i="18"/>
  <c r="Z105" i="18"/>
  <c r="X105" i="18"/>
  <c r="W105" i="18" s="1"/>
  <c r="P105" i="18"/>
  <c r="AH104" i="18"/>
  <c r="AF104" i="18"/>
  <c r="Z104" i="18"/>
  <c r="X104" i="18"/>
  <c r="W104" i="18" s="1"/>
  <c r="P104" i="18"/>
  <c r="AH103" i="18"/>
  <c r="AF103" i="18"/>
  <c r="Z103" i="18"/>
  <c r="X103" i="18"/>
  <c r="W103" i="18" s="1"/>
  <c r="P103" i="18"/>
  <c r="AH102" i="18"/>
  <c r="AF102" i="18"/>
  <c r="Z102" i="18"/>
  <c r="X102" i="18"/>
  <c r="W102" i="18" s="1"/>
  <c r="P102" i="18"/>
  <c r="AH101" i="18"/>
  <c r="AF101" i="18"/>
  <c r="Z101" i="18"/>
  <c r="X101" i="18"/>
  <c r="W101" i="18" s="1"/>
  <c r="P101" i="18"/>
  <c r="AH100" i="18"/>
  <c r="AF100" i="18"/>
  <c r="Z100" i="18"/>
  <c r="X100" i="18"/>
  <c r="W100" i="18" s="1"/>
  <c r="P100" i="18"/>
  <c r="AH99" i="18"/>
  <c r="AF99" i="18"/>
  <c r="Z99" i="18"/>
  <c r="X99" i="18"/>
  <c r="W99" i="18" s="1"/>
  <c r="P99" i="18"/>
  <c r="AH98" i="18"/>
  <c r="AF98" i="18"/>
  <c r="Z98" i="18"/>
  <c r="X98" i="18"/>
  <c r="W98" i="18" s="1"/>
  <c r="P98" i="18"/>
  <c r="AH97" i="18"/>
  <c r="AF97" i="18"/>
  <c r="Z97" i="18"/>
  <c r="X97" i="18"/>
  <c r="W97" i="18" s="1"/>
  <c r="P97" i="18"/>
  <c r="AH96" i="18"/>
  <c r="AF96" i="18"/>
  <c r="Z96" i="18"/>
  <c r="X96" i="18"/>
  <c r="W96" i="18" s="1"/>
  <c r="P96" i="18"/>
  <c r="AH95" i="18"/>
  <c r="AF95" i="18"/>
  <c r="Z95" i="18"/>
  <c r="X95" i="18"/>
  <c r="W95" i="18" s="1"/>
  <c r="P95" i="18"/>
  <c r="AH94" i="18"/>
  <c r="AF94" i="18"/>
  <c r="Z94" i="18"/>
  <c r="X94" i="18"/>
  <c r="W94" i="18" s="1"/>
  <c r="P94" i="18"/>
  <c r="AH93" i="18"/>
  <c r="AF93" i="18"/>
  <c r="Z93" i="18"/>
  <c r="X93" i="18"/>
  <c r="W93" i="18"/>
  <c r="P93" i="18"/>
  <c r="AH92" i="18"/>
  <c r="AF92" i="18"/>
  <c r="Z92" i="18"/>
  <c r="X92" i="18"/>
  <c r="W92" i="18" s="1"/>
  <c r="P92" i="18"/>
  <c r="AH91" i="18"/>
  <c r="AF91" i="18"/>
  <c r="Z91" i="18"/>
  <c r="X91" i="18"/>
  <c r="W91" i="18" s="1"/>
  <c r="P91" i="18"/>
  <c r="AH90" i="18"/>
  <c r="AF90" i="18"/>
  <c r="Z90" i="18"/>
  <c r="X90" i="18"/>
  <c r="W90" i="18" s="1"/>
  <c r="P90" i="18"/>
  <c r="AH89" i="18"/>
  <c r="AF89" i="18"/>
  <c r="Z89" i="18"/>
  <c r="X89" i="18"/>
  <c r="W89" i="18" s="1"/>
  <c r="P89" i="18"/>
  <c r="AH88" i="18"/>
  <c r="AF88" i="18"/>
  <c r="Z88" i="18"/>
  <c r="X88" i="18"/>
  <c r="W88" i="18" s="1"/>
  <c r="P88" i="18"/>
  <c r="AH87" i="18"/>
  <c r="AF87" i="18"/>
  <c r="Z87" i="18"/>
  <c r="X87" i="18"/>
  <c r="W87" i="18" s="1"/>
  <c r="P87" i="18"/>
  <c r="AH86" i="18"/>
  <c r="AF86" i="18"/>
  <c r="Z86" i="18"/>
  <c r="X86" i="18"/>
  <c r="W86" i="18" s="1"/>
  <c r="P86" i="18"/>
  <c r="AH85" i="18"/>
  <c r="AF85" i="18"/>
  <c r="Z85" i="18"/>
  <c r="X85" i="18"/>
  <c r="W85" i="18" s="1"/>
  <c r="P85" i="18"/>
  <c r="AH84" i="18"/>
  <c r="AF84" i="18"/>
  <c r="Z84" i="18"/>
  <c r="X84" i="18"/>
  <c r="W84" i="18" s="1"/>
  <c r="P84" i="18"/>
  <c r="AH83" i="18"/>
  <c r="AF83" i="18"/>
  <c r="Z83" i="18"/>
  <c r="X83" i="18"/>
  <c r="W83" i="18" s="1"/>
  <c r="P83" i="18"/>
  <c r="AH82" i="18"/>
  <c r="AF82" i="18"/>
  <c r="Z82" i="18"/>
  <c r="X82" i="18"/>
  <c r="W82" i="18" s="1"/>
  <c r="P82" i="18"/>
  <c r="AH81" i="18"/>
  <c r="AF81" i="18"/>
  <c r="Z81" i="18"/>
  <c r="X81" i="18"/>
  <c r="W81" i="18" s="1"/>
  <c r="P81" i="18"/>
  <c r="AH80" i="18"/>
  <c r="AF80" i="18"/>
  <c r="Z80" i="18"/>
  <c r="X80" i="18"/>
  <c r="W80" i="18" s="1"/>
  <c r="P80" i="18"/>
  <c r="AH79" i="18"/>
  <c r="AF79" i="18"/>
  <c r="Z79" i="18"/>
  <c r="X79" i="18"/>
  <c r="W79" i="18" s="1"/>
  <c r="P79" i="18"/>
  <c r="AH78" i="18"/>
  <c r="AF78" i="18"/>
  <c r="Z78" i="18"/>
  <c r="X78" i="18"/>
  <c r="W78" i="18" s="1"/>
  <c r="P78" i="18"/>
  <c r="AH77" i="18"/>
  <c r="AF77" i="18"/>
  <c r="Z77" i="18"/>
  <c r="X77" i="18"/>
  <c r="W77" i="18" s="1"/>
  <c r="P77" i="18"/>
  <c r="AH76" i="18"/>
  <c r="AF76" i="18"/>
  <c r="Z76" i="18"/>
  <c r="X76" i="18"/>
  <c r="W76" i="18" s="1"/>
  <c r="P76" i="18"/>
  <c r="AH75" i="18"/>
  <c r="AF75" i="18"/>
  <c r="Z75" i="18"/>
  <c r="X75" i="18"/>
  <c r="W75" i="18" s="1"/>
  <c r="P75" i="18"/>
  <c r="AH74" i="18"/>
  <c r="AF74" i="18"/>
  <c r="Z74" i="18"/>
  <c r="X74" i="18"/>
  <c r="W74" i="18" s="1"/>
  <c r="P74" i="18"/>
  <c r="AH73" i="18"/>
  <c r="AF73" i="18"/>
  <c r="Z73" i="18"/>
  <c r="X73" i="18"/>
  <c r="W73" i="18" s="1"/>
  <c r="P73" i="18"/>
  <c r="AH72" i="18"/>
  <c r="AF72" i="18"/>
  <c r="Z72" i="18"/>
  <c r="X72" i="18"/>
  <c r="W72" i="18" s="1"/>
  <c r="P72" i="18"/>
  <c r="AH71" i="18"/>
  <c r="AF71" i="18"/>
  <c r="Z71" i="18"/>
  <c r="X71" i="18"/>
  <c r="W71" i="18" s="1"/>
  <c r="P71" i="18"/>
  <c r="AH70" i="18"/>
  <c r="AF70" i="18"/>
  <c r="Z70" i="18"/>
  <c r="X70" i="18"/>
  <c r="W70" i="18" s="1"/>
  <c r="P70" i="18"/>
  <c r="AH69" i="18"/>
  <c r="AF69" i="18"/>
  <c r="Z69" i="18"/>
  <c r="X69" i="18"/>
  <c r="W69" i="18" s="1"/>
  <c r="P69" i="18"/>
  <c r="AH68" i="18"/>
  <c r="AF68" i="18"/>
  <c r="Z68" i="18"/>
  <c r="X68" i="18"/>
  <c r="W68" i="18" s="1"/>
  <c r="P68" i="18"/>
  <c r="AH67" i="18"/>
  <c r="AF67" i="18"/>
  <c r="Z67" i="18"/>
  <c r="X67" i="18"/>
  <c r="W67" i="18" s="1"/>
  <c r="P67" i="18"/>
  <c r="AH66" i="18"/>
  <c r="AF66" i="18"/>
  <c r="Z66" i="18"/>
  <c r="X66" i="18"/>
  <c r="W66" i="18" s="1"/>
  <c r="P66" i="18"/>
  <c r="AH65" i="18"/>
  <c r="AF65" i="18"/>
  <c r="Z65" i="18"/>
  <c r="X65" i="18"/>
  <c r="W65" i="18" s="1"/>
  <c r="P65" i="18"/>
  <c r="AH64" i="18"/>
  <c r="AF64" i="18"/>
  <c r="Z64" i="18"/>
  <c r="X64" i="18"/>
  <c r="W64" i="18" s="1"/>
  <c r="P64" i="18"/>
  <c r="AH63" i="18"/>
  <c r="AF63" i="18"/>
  <c r="Z63" i="18"/>
  <c r="X63" i="18"/>
  <c r="W63" i="18"/>
  <c r="P63" i="18"/>
  <c r="AH62" i="18"/>
  <c r="AF62" i="18"/>
  <c r="Z62" i="18"/>
  <c r="X62" i="18"/>
  <c r="W62" i="18" s="1"/>
  <c r="P62" i="18"/>
  <c r="AH61" i="18"/>
  <c r="AF61" i="18"/>
  <c r="Z61" i="18"/>
  <c r="X61" i="18"/>
  <c r="W61" i="18" s="1"/>
  <c r="P61" i="18"/>
  <c r="AH60" i="18"/>
  <c r="AF60" i="18"/>
  <c r="Z60" i="18"/>
  <c r="X60" i="18"/>
  <c r="W60" i="18" s="1"/>
  <c r="P60" i="18"/>
  <c r="AH59" i="18"/>
  <c r="AF59" i="18"/>
  <c r="AE59" i="18" s="1"/>
  <c r="Z59" i="18"/>
  <c r="X59" i="18"/>
  <c r="W59" i="18"/>
  <c r="P59" i="18"/>
  <c r="AH58" i="18"/>
  <c r="AF58" i="18"/>
  <c r="AE58" i="18" s="1"/>
  <c r="Z58" i="18"/>
  <c r="X58" i="18"/>
  <c r="W58" i="18" s="1"/>
  <c r="P58" i="18"/>
  <c r="AH57" i="18"/>
  <c r="AF57" i="18"/>
  <c r="AE57" i="18" s="1"/>
  <c r="Z57" i="18"/>
  <c r="X57" i="18"/>
  <c r="W57" i="18" s="1"/>
  <c r="P57" i="18"/>
  <c r="AH56" i="18"/>
  <c r="AF56" i="18"/>
  <c r="AE56" i="18" s="1"/>
  <c r="Z56" i="18"/>
  <c r="X56" i="18"/>
  <c r="W56" i="18" s="1"/>
  <c r="P56" i="18"/>
  <c r="AH55" i="18"/>
  <c r="AF55" i="18"/>
  <c r="AE55" i="18" s="1"/>
  <c r="Z55" i="18"/>
  <c r="X55" i="18"/>
  <c r="W55" i="18" s="1"/>
  <c r="P55" i="18"/>
  <c r="AH54" i="18"/>
  <c r="AF54" i="18"/>
  <c r="AE54" i="18" s="1"/>
  <c r="Z54" i="18"/>
  <c r="X54" i="18"/>
  <c r="W54" i="18" s="1"/>
  <c r="AH53" i="18"/>
  <c r="AF53" i="18"/>
  <c r="AE53" i="18" s="1"/>
  <c r="Z53" i="18"/>
  <c r="X53" i="18"/>
  <c r="W53" i="18" s="1"/>
  <c r="AH52" i="18"/>
  <c r="AF52" i="18"/>
  <c r="AE52" i="18" s="1"/>
  <c r="Z52" i="18"/>
  <c r="X52" i="18"/>
  <c r="W52" i="18" s="1"/>
  <c r="AH51" i="18"/>
  <c r="AF51" i="18"/>
  <c r="AE51" i="18" s="1"/>
  <c r="Z51" i="18"/>
  <c r="X51" i="18"/>
  <c r="W51" i="18" s="1"/>
  <c r="AH50" i="18"/>
  <c r="AF50" i="18"/>
  <c r="AE50" i="18" s="1"/>
  <c r="Z50" i="18"/>
  <c r="X50" i="18"/>
  <c r="W50" i="18" s="1"/>
  <c r="AH49" i="18"/>
  <c r="AF49" i="18"/>
  <c r="AE49" i="18" s="1"/>
  <c r="Z49" i="18"/>
  <c r="X49" i="18"/>
  <c r="W49" i="18" s="1"/>
  <c r="AH48" i="18"/>
  <c r="AF48" i="18"/>
  <c r="AE48" i="18" s="1"/>
  <c r="Z48" i="18"/>
  <c r="X48" i="18"/>
  <c r="W48" i="18" s="1"/>
  <c r="AH47" i="18"/>
  <c r="AF47" i="18"/>
  <c r="AE47" i="18" s="1"/>
  <c r="Z47" i="18"/>
  <c r="X47" i="18"/>
  <c r="W47" i="18" s="1"/>
  <c r="AH46" i="18"/>
  <c r="AF46" i="18"/>
  <c r="AE46" i="18" s="1"/>
  <c r="Z46" i="18"/>
  <c r="X46" i="18"/>
  <c r="W46" i="18" s="1"/>
  <c r="AH45" i="18"/>
  <c r="AF45" i="18"/>
  <c r="AE45" i="18" s="1"/>
  <c r="Z45" i="18"/>
  <c r="X45" i="18"/>
  <c r="W45" i="18" s="1"/>
  <c r="AH44" i="18"/>
  <c r="AF44" i="18"/>
  <c r="AE44" i="18" s="1"/>
  <c r="Z44" i="18"/>
  <c r="X44" i="18"/>
  <c r="W44" i="18" s="1"/>
  <c r="AH43" i="18"/>
  <c r="AF43" i="18"/>
  <c r="AE43" i="18" s="1"/>
  <c r="Z43" i="18"/>
  <c r="X43" i="18"/>
  <c r="W43" i="18" s="1"/>
  <c r="AH42" i="18"/>
  <c r="AF42" i="18"/>
  <c r="AE42" i="18" s="1"/>
  <c r="Z42" i="18"/>
  <c r="X42" i="18"/>
  <c r="W42" i="18" s="1"/>
  <c r="AH41" i="18"/>
  <c r="AF41" i="18"/>
  <c r="AE41" i="18" s="1"/>
  <c r="Z41" i="18"/>
  <c r="X41" i="18"/>
  <c r="W41" i="18" s="1"/>
  <c r="AH40" i="18"/>
  <c r="AF40" i="18"/>
  <c r="AE40" i="18" s="1"/>
  <c r="Z40" i="18"/>
  <c r="X40" i="18"/>
  <c r="W40" i="18" s="1"/>
  <c r="AH39" i="18"/>
  <c r="AF39" i="18"/>
  <c r="AE39" i="18" s="1"/>
  <c r="Z39" i="18"/>
  <c r="X39" i="18"/>
  <c r="W39" i="18" s="1"/>
  <c r="AH38" i="18"/>
  <c r="AF38" i="18"/>
  <c r="AE38" i="18" s="1"/>
  <c r="Z38" i="18"/>
  <c r="X38" i="18"/>
  <c r="W38" i="18" s="1"/>
  <c r="AH37" i="18"/>
  <c r="AF37" i="18"/>
  <c r="AE37" i="18" s="1"/>
  <c r="Z37" i="18"/>
  <c r="X37" i="18"/>
  <c r="W37" i="18" s="1"/>
  <c r="AH36" i="18"/>
  <c r="AF36" i="18"/>
  <c r="AE36" i="18" s="1"/>
  <c r="Z36" i="18"/>
  <c r="X36" i="18"/>
  <c r="W36" i="18" s="1"/>
  <c r="AH35" i="18"/>
  <c r="AF35" i="18"/>
  <c r="AE35" i="18" s="1"/>
  <c r="Z35" i="18"/>
  <c r="X35" i="18"/>
  <c r="W35" i="18" s="1"/>
  <c r="AH34" i="18"/>
  <c r="AF34" i="18"/>
  <c r="AE34" i="18" s="1"/>
  <c r="Z34" i="18"/>
  <c r="X34" i="18"/>
  <c r="W34" i="18" s="1"/>
  <c r="AH33" i="18"/>
  <c r="AF33" i="18"/>
  <c r="AE33" i="18" s="1"/>
  <c r="Z33" i="18"/>
  <c r="X33" i="18"/>
  <c r="W33" i="18" s="1"/>
  <c r="AH32" i="18"/>
  <c r="AF32" i="18"/>
  <c r="AE32" i="18" s="1"/>
  <c r="Z32" i="18"/>
  <c r="X32" i="18"/>
  <c r="W32" i="18" s="1"/>
  <c r="AH31" i="18"/>
  <c r="AF31" i="18"/>
  <c r="AE31" i="18" s="1"/>
  <c r="Z31" i="18"/>
  <c r="X31" i="18"/>
  <c r="W31" i="18" s="1"/>
  <c r="AH30" i="18"/>
  <c r="AF30" i="18"/>
  <c r="AE30" i="18" s="1"/>
  <c r="Z30" i="18"/>
  <c r="X30" i="18"/>
  <c r="W30" i="18" s="1"/>
  <c r="AH29" i="18"/>
  <c r="AF29" i="18"/>
  <c r="AE29" i="18" s="1"/>
  <c r="Z29" i="18"/>
  <c r="X29" i="18"/>
  <c r="W29" i="18" s="1"/>
  <c r="AH28" i="18"/>
  <c r="AF28" i="18"/>
  <c r="AE28" i="18" s="1"/>
  <c r="Z28" i="18"/>
  <c r="X28" i="18"/>
  <c r="W28" i="18" s="1"/>
  <c r="AH27" i="18"/>
  <c r="AF27" i="18"/>
  <c r="AE27" i="18"/>
  <c r="Z27" i="18"/>
  <c r="X27" i="18"/>
  <c r="W27" i="18" s="1"/>
  <c r="AH26" i="18"/>
  <c r="AF26" i="18"/>
  <c r="AE26" i="18" s="1"/>
  <c r="Z26" i="18"/>
  <c r="X26" i="18"/>
  <c r="W26" i="18" s="1"/>
  <c r="AH25" i="18"/>
  <c r="AF25" i="18"/>
  <c r="AE25" i="18" s="1"/>
  <c r="Z25" i="18"/>
  <c r="X25" i="18"/>
  <c r="W25" i="18" s="1"/>
  <c r="AH24" i="18"/>
  <c r="AF24" i="18"/>
  <c r="AE24" i="18" s="1"/>
  <c r="Z24" i="18"/>
  <c r="X24" i="18"/>
  <c r="W24" i="18" s="1"/>
  <c r="AH23" i="18"/>
  <c r="AF23" i="18"/>
  <c r="AE23" i="18" s="1"/>
  <c r="Z23" i="18"/>
  <c r="X23" i="18"/>
  <c r="W23" i="18" s="1"/>
  <c r="AH22" i="18"/>
  <c r="AF22" i="18"/>
  <c r="AE22" i="18" s="1"/>
  <c r="Z22" i="18"/>
  <c r="X22" i="18"/>
  <c r="W22" i="18" s="1"/>
  <c r="AH21" i="18"/>
  <c r="AF21" i="18"/>
  <c r="AE21" i="18" s="1"/>
  <c r="Z21" i="18"/>
  <c r="X21" i="18"/>
  <c r="W21" i="18" s="1"/>
  <c r="AH20" i="18"/>
  <c r="AF20" i="18"/>
  <c r="AE20" i="18" s="1"/>
  <c r="Z20" i="18"/>
  <c r="X20" i="18"/>
  <c r="W20" i="18" s="1"/>
  <c r="AH19" i="18"/>
  <c r="AF19" i="18"/>
  <c r="AE19" i="18" s="1"/>
  <c r="Z19" i="18"/>
  <c r="X19" i="18"/>
  <c r="W19" i="18" s="1"/>
  <c r="AH18" i="18"/>
  <c r="AF18" i="18"/>
  <c r="AE18" i="18" s="1"/>
  <c r="Z18" i="18"/>
  <c r="X18" i="18"/>
  <c r="W18" i="18" s="1"/>
  <c r="AH17" i="18"/>
  <c r="AF17" i="18"/>
  <c r="AE17" i="18" s="1"/>
  <c r="Z17" i="18"/>
  <c r="X17" i="18"/>
  <c r="W17" i="18" s="1"/>
  <c r="AH16" i="18"/>
  <c r="AF16" i="18"/>
  <c r="AE16" i="18" s="1"/>
  <c r="Z16" i="18"/>
  <c r="X16" i="18"/>
  <c r="W16" i="18" s="1"/>
  <c r="AH15" i="18"/>
  <c r="AF15" i="18"/>
  <c r="AE15" i="18" s="1"/>
  <c r="Z15" i="18"/>
  <c r="X15" i="18"/>
  <c r="W15" i="18" s="1"/>
  <c r="P15" i="18"/>
  <c r="AH14" i="18"/>
  <c r="AF14" i="18"/>
  <c r="AE14" i="18" s="1"/>
  <c r="Z14" i="18"/>
  <c r="X14" i="18"/>
  <c r="W14" i="18" s="1"/>
  <c r="AC11" i="18"/>
  <c r="AB11" i="18" s="1"/>
  <c r="T3" i="18"/>
  <c r="P3" i="18"/>
  <c r="AH120" i="17"/>
  <c r="AF120" i="17"/>
  <c r="Z120" i="17"/>
  <c r="X120" i="17"/>
  <c r="W120" i="17" s="1"/>
  <c r="P120" i="17"/>
  <c r="AH119" i="17"/>
  <c r="AF119" i="17"/>
  <c r="Z119" i="17"/>
  <c r="X119" i="17"/>
  <c r="W119" i="17" s="1"/>
  <c r="P119" i="17"/>
  <c r="AH118" i="17"/>
  <c r="AF118" i="17"/>
  <c r="Z118" i="17"/>
  <c r="X118" i="17"/>
  <c r="W118" i="17" s="1"/>
  <c r="P118" i="17"/>
  <c r="AH117" i="17"/>
  <c r="AF117" i="17"/>
  <c r="Z117" i="17"/>
  <c r="X117" i="17"/>
  <c r="W117" i="17" s="1"/>
  <c r="P117" i="17"/>
  <c r="AH116" i="17"/>
  <c r="AF116" i="17"/>
  <c r="Z116" i="17"/>
  <c r="X116" i="17"/>
  <c r="W116" i="17" s="1"/>
  <c r="P116" i="17"/>
  <c r="AH115" i="17"/>
  <c r="AF115" i="17"/>
  <c r="Z115" i="17"/>
  <c r="X115" i="17"/>
  <c r="W115" i="17" s="1"/>
  <c r="P115" i="17"/>
  <c r="AH114" i="17"/>
  <c r="AF114" i="17"/>
  <c r="Z114" i="17"/>
  <c r="X114" i="17"/>
  <c r="W114" i="17" s="1"/>
  <c r="P114" i="17"/>
  <c r="AH113" i="17"/>
  <c r="AF113" i="17"/>
  <c r="Z113" i="17"/>
  <c r="X113" i="17"/>
  <c r="W113" i="17" s="1"/>
  <c r="P113" i="17"/>
  <c r="AH112" i="17"/>
  <c r="AF112" i="17"/>
  <c r="Z112" i="17"/>
  <c r="X112" i="17"/>
  <c r="W112" i="17" s="1"/>
  <c r="P112" i="17"/>
  <c r="AH111" i="17"/>
  <c r="AF111" i="17"/>
  <c r="Z111" i="17"/>
  <c r="X111" i="17"/>
  <c r="W111" i="17" s="1"/>
  <c r="P111" i="17"/>
  <c r="AH110" i="17"/>
  <c r="AF110" i="17"/>
  <c r="Z110" i="17"/>
  <c r="X110" i="17"/>
  <c r="W110" i="17" s="1"/>
  <c r="P110" i="17"/>
  <c r="AH109" i="17"/>
  <c r="AF109" i="17"/>
  <c r="Z109" i="17"/>
  <c r="X109" i="17"/>
  <c r="W109" i="17"/>
  <c r="P109" i="17"/>
  <c r="AH108" i="17"/>
  <c r="AF108" i="17"/>
  <c r="Z108" i="17"/>
  <c r="X108" i="17"/>
  <c r="W108" i="17" s="1"/>
  <c r="P108" i="17"/>
  <c r="AH107" i="17"/>
  <c r="AF107" i="17"/>
  <c r="Z107" i="17"/>
  <c r="X107" i="17"/>
  <c r="W107" i="17" s="1"/>
  <c r="P107" i="17"/>
  <c r="AH106" i="17"/>
  <c r="AF106" i="17"/>
  <c r="Z106" i="17"/>
  <c r="X106" i="17"/>
  <c r="W106" i="17" s="1"/>
  <c r="P106" i="17"/>
  <c r="AH105" i="17"/>
  <c r="AF105" i="17"/>
  <c r="Z105" i="17"/>
  <c r="X105" i="17"/>
  <c r="W105" i="17" s="1"/>
  <c r="P105" i="17"/>
  <c r="AH104" i="17"/>
  <c r="AF104" i="17"/>
  <c r="Z104" i="17"/>
  <c r="X104" i="17"/>
  <c r="W104" i="17" s="1"/>
  <c r="P104" i="17"/>
  <c r="AH103" i="17"/>
  <c r="AF103" i="17"/>
  <c r="Z103" i="17"/>
  <c r="X103" i="17"/>
  <c r="W103" i="17" s="1"/>
  <c r="P103" i="17"/>
  <c r="AH102" i="17"/>
  <c r="AF102" i="17"/>
  <c r="Z102" i="17"/>
  <c r="X102" i="17"/>
  <c r="W102" i="17" s="1"/>
  <c r="P102" i="17"/>
  <c r="AH101" i="17"/>
  <c r="AF101" i="17"/>
  <c r="Z101" i="17"/>
  <c r="X101" i="17"/>
  <c r="W101" i="17" s="1"/>
  <c r="P101" i="17"/>
  <c r="AH100" i="17"/>
  <c r="AF100" i="17"/>
  <c r="Z100" i="17"/>
  <c r="X100" i="17"/>
  <c r="W100" i="17" s="1"/>
  <c r="P100" i="17"/>
  <c r="AH99" i="17"/>
  <c r="AF99" i="17"/>
  <c r="Z99" i="17"/>
  <c r="X99" i="17"/>
  <c r="W99" i="17" s="1"/>
  <c r="P99" i="17"/>
  <c r="AH98" i="17"/>
  <c r="AF98" i="17"/>
  <c r="Z98" i="17"/>
  <c r="X98" i="17"/>
  <c r="W98" i="17" s="1"/>
  <c r="P98" i="17"/>
  <c r="AH97" i="17"/>
  <c r="AF97" i="17"/>
  <c r="Z97" i="17"/>
  <c r="X97" i="17"/>
  <c r="W97" i="17" s="1"/>
  <c r="P97" i="17"/>
  <c r="AH96" i="17"/>
  <c r="AF96" i="17"/>
  <c r="Z96" i="17"/>
  <c r="X96" i="17"/>
  <c r="W96" i="17" s="1"/>
  <c r="P96" i="17"/>
  <c r="AH95" i="17"/>
  <c r="AF95" i="17"/>
  <c r="Z95" i="17"/>
  <c r="X95" i="17"/>
  <c r="W95" i="17" s="1"/>
  <c r="P95" i="17"/>
  <c r="AH94" i="17"/>
  <c r="AF94" i="17"/>
  <c r="Z94" i="17"/>
  <c r="X94" i="17"/>
  <c r="W94" i="17" s="1"/>
  <c r="P94" i="17"/>
  <c r="AH93" i="17"/>
  <c r="AF93" i="17"/>
  <c r="Z93" i="17"/>
  <c r="X93" i="17"/>
  <c r="W93" i="17"/>
  <c r="P93" i="17"/>
  <c r="AH92" i="17"/>
  <c r="AF92" i="17"/>
  <c r="Z92" i="17"/>
  <c r="X92" i="17"/>
  <c r="W92" i="17" s="1"/>
  <c r="P92" i="17"/>
  <c r="AH91" i="17"/>
  <c r="AF91" i="17"/>
  <c r="Z91" i="17"/>
  <c r="X91" i="17"/>
  <c r="W91" i="17" s="1"/>
  <c r="P91" i="17"/>
  <c r="AH90" i="17"/>
  <c r="AF90" i="17"/>
  <c r="Z90" i="17"/>
  <c r="X90" i="17"/>
  <c r="W90" i="17" s="1"/>
  <c r="P90" i="17"/>
  <c r="AH89" i="17"/>
  <c r="AF89" i="17"/>
  <c r="Z89" i="17"/>
  <c r="X89" i="17"/>
  <c r="W89" i="17" s="1"/>
  <c r="P89" i="17"/>
  <c r="AH88" i="17"/>
  <c r="AF88" i="17"/>
  <c r="Z88" i="17"/>
  <c r="X88" i="17"/>
  <c r="W88" i="17" s="1"/>
  <c r="P88" i="17"/>
  <c r="AH87" i="17"/>
  <c r="AF87" i="17"/>
  <c r="Z87" i="17"/>
  <c r="X87" i="17"/>
  <c r="W87" i="17" s="1"/>
  <c r="P87" i="17"/>
  <c r="AH86" i="17"/>
  <c r="AF86" i="17"/>
  <c r="Z86" i="17"/>
  <c r="X86" i="17"/>
  <c r="W86" i="17" s="1"/>
  <c r="P86" i="17"/>
  <c r="AH85" i="17"/>
  <c r="AF85" i="17"/>
  <c r="Z85" i="17"/>
  <c r="X85" i="17"/>
  <c r="W85" i="17" s="1"/>
  <c r="P85" i="17"/>
  <c r="AH84" i="17"/>
  <c r="AF84" i="17"/>
  <c r="Z84" i="17"/>
  <c r="X84" i="17"/>
  <c r="W84" i="17" s="1"/>
  <c r="P84" i="17"/>
  <c r="AH83" i="17"/>
  <c r="AF83" i="17"/>
  <c r="Z83" i="17"/>
  <c r="X83" i="17"/>
  <c r="W83" i="17" s="1"/>
  <c r="P83" i="17"/>
  <c r="AH82" i="17"/>
  <c r="AF82" i="17"/>
  <c r="Z82" i="17"/>
  <c r="X82" i="17"/>
  <c r="W82" i="17" s="1"/>
  <c r="P82" i="17"/>
  <c r="AH81" i="17"/>
  <c r="AF81" i="17"/>
  <c r="Z81" i="17"/>
  <c r="X81" i="17"/>
  <c r="W81" i="17" s="1"/>
  <c r="P81" i="17"/>
  <c r="AH80" i="17"/>
  <c r="AF80" i="17"/>
  <c r="Z80" i="17"/>
  <c r="X80" i="17"/>
  <c r="W80" i="17" s="1"/>
  <c r="P80" i="17"/>
  <c r="AH79" i="17"/>
  <c r="AF79" i="17"/>
  <c r="Z79" i="17"/>
  <c r="X79" i="17"/>
  <c r="W79" i="17" s="1"/>
  <c r="P79" i="17"/>
  <c r="AH78" i="17"/>
  <c r="AF78" i="17"/>
  <c r="Z78" i="17"/>
  <c r="X78" i="17"/>
  <c r="W78" i="17" s="1"/>
  <c r="P78" i="17"/>
  <c r="AH77" i="17"/>
  <c r="AF77" i="17"/>
  <c r="Z77" i="17"/>
  <c r="X77" i="17"/>
  <c r="W77" i="17" s="1"/>
  <c r="P77" i="17"/>
  <c r="AH76" i="17"/>
  <c r="AF76" i="17"/>
  <c r="Z76" i="17"/>
  <c r="X76" i="17"/>
  <c r="W76" i="17" s="1"/>
  <c r="P76" i="17"/>
  <c r="AH75" i="17"/>
  <c r="AF75" i="17"/>
  <c r="Z75" i="17"/>
  <c r="X75" i="17"/>
  <c r="W75" i="17" s="1"/>
  <c r="P75" i="17"/>
  <c r="AH74" i="17"/>
  <c r="AF74" i="17"/>
  <c r="Z74" i="17"/>
  <c r="X74" i="17"/>
  <c r="W74" i="17" s="1"/>
  <c r="P74" i="17"/>
  <c r="AH73" i="17"/>
  <c r="AF73" i="17"/>
  <c r="Z73" i="17"/>
  <c r="X73" i="17"/>
  <c r="W73" i="17" s="1"/>
  <c r="P73" i="17"/>
  <c r="AH72" i="17"/>
  <c r="AF72" i="17"/>
  <c r="Z72" i="17"/>
  <c r="X72" i="17"/>
  <c r="W72" i="17" s="1"/>
  <c r="P72" i="17"/>
  <c r="AH71" i="17"/>
  <c r="AF71" i="17"/>
  <c r="Z71" i="17"/>
  <c r="X71" i="17"/>
  <c r="W71" i="17" s="1"/>
  <c r="P71" i="17"/>
  <c r="AH70" i="17"/>
  <c r="AF70" i="17"/>
  <c r="Z70" i="17"/>
  <c r="X70" i="17"/>
  <c r="W70" i="17" s="1"/>
  <c r="P70" i="17"/>
  <c r="AH69" i="17"/>
  <c r="AF69" i="17"/>
  <c r="Z69" i="17"/>
  <c r="X69" i="17"/>
  <c r="W69" i="17" s="1"/>
  <c r="P69" i="17"/>
  <c r="AH68" i="17"/>
  <c r="AF68" i="17"/>
  <c r="Z68" i="17"/>
  <c r="X68" i="17"/>
  <c r="W68" i="17" s="1"/>
  <c r="P68" i="17"/>
  <c r="AH67" i="17"/>
  <c r="AF67" i="17"/>
  <c r="Z67" i="17"/>
  <c r="X67" i="17"/>
  <c r="W67" i="17" s="1"/>
  <c r="P67" i="17"/>
  <c r="AH66" i="17"/>
  <c r="AF66" i="17"/>
  <c r="Z66" i="17"/>
  <c r="X66" i="17"/>
  <c r="W66" i="17" s="1"/>
  <c r="P66" i="17"/>
  <c r="AH65" i="17"/>
  <c r="AF65" i="17"/>
  <c r="Z65" i="17"/>
  <c r="X65" i="17"/>
  <c r="W65" i="17" s="1"/>
  <c r="P65" i="17"/>
  <c r="AH64" i="17"/>
  <c r="AF64" i="17"/>
  <c r="Z64" i="17"/>
  <c r="X64" i="17"/>
  <c r="W64" i="17" s="1"/>
  <c r="P64" i="17"/>
  <c r="AH63" i="17"/>
  <c r="AF63" i="17"/>
  <c r="Z63" i="17"/>
  <c r="X63" i="17"/>
  <c r="W63" i="17" s="1"/>
  <c r="P63" i="17"/>
  <c r="AH62" i="17"/>
  <c r="AF62" i="17"/>
  <c r="Z62" i="17"/>
  <c r="X62" i="17"/>
  <c r="W62" i="17" s="1"/>
  <c r="P62" i="17"/>
  <c r="AH61" i="17"/>
  <c r="AF61" i="17"/>
  <c r="Z61" i="17"/>
  <c r="X61" i="17"/>
  <c r="W61" i="17" s="1"/>
  <c r="P61" i="17"/>
  <c r="AH60" i="17"/>
  <c r="AF60" i="17"/>
  <c r="Z60" i="17"/>
  <c r="X60" i="17"/>
  <c r="W60" i="17" s="1"/>
  <c r="P60" i="17"/>
  <c r="AH59" i="17"/>
  <c r="AF59" i="17"/>
  <c r="Z59" i="17"/>
  <c r="X59" i="17"/>
  <c r="W59" i="17" s="1"/>
  <c r="P59" i="17"/>
  <c r="AH58" i="17"/>
  <c r="AF58" i="17"/>
  <c r="AE58" i="17" s="1"/>
  <c r="Z58" i="17"/>
  <c r="X58" i="17"/>
  <c r="W58" i="17" s="1"/>
  <c r="P58" i="17"/>
  <c r="AH57" i="17"/>
  <c r="AF57" i="17"/>
  <c r="AE57" i="17" s="1"/>
  <c r="Z57" i="17"/>
  <c r="X57" i="17"/>
  <c r="W57" i="17" s="1"/>
  <c r="P57" i="17"/>
  <c r="AH56" i="17"/>
  <c r="AF56" i="17"/>
  <c r="AE56" i="17" s="1"/>
  <c r="Z56" i="17"/>
  <c r="X56" i="17"/>
  <c r="W56" i="17" s="1"/>
  <c r="P56" i="17"/>
  <c r="AH55" i="17"/>
  <c r="AF55" i="17"/>
  <c r="AE55" i="17" s="1"/>
  <c r="Z55" i="17"/>
  <c r="X55" i="17"/>
  <c r="W55" i="17" s="1"/>
  <c r="P55" i="17"/>
  <c r="AH54" i="17"/>
  <c r="AF54" i="17"/>
  <c r="AE54" i="17" s="1"/>
  <c r="Z54" i="17"/>
  <c r="X54" i="17"/>
  <c r="W54" i="17" s="1"/>
  <c r="AH53" i="17"/>
  <c r="AF53" i="17"/>
  <c r="AE53" i="17" s="1"/>
  <c r="Z53" i="17"/>
  <c r="X53" i="17"/>
  <c r="W53" i="17" s="1"/>
  <c r="AH52" i="17"/>
  <c r="AF52" i="17"/>
  <c r="AE52" i="17" s="1"/>
  <c r="Z52" i="17"/>
  <c r="X52" i="17"/>
  <c r="W52" i="17" s="1"/>
  <c r="AH51" i="17"/>
  <c r="AF51" i="17"/>
  <c r="AE51" i="17" s="1"/>
  <c r="Z51" i="17"/>
  <c r="X51" i="17"/>
  <c r="W51" i="17" s="1"/>
  <c r="AH50" i="17"/>
  <c r="AF50" i="17"/>
  <c r="AE50" i="17" s="1"/>
  <c r="Z50" i="17"/>
  <c r="X50" i="17"/>
  <c r="W50" i="17" s="1"/>
  <c r="AH49" i="17"/>
  <c r="AF49" i="17"/>
  <c r="AE49" i="17" s="1"/>
  <c r="Z49" i="17"/>
  <c r="X49" i="17"/>
  <c r="W49" i="17" s="1"/>
  <c r="AH48" i="17"/>
  <c r="AF48" i="17"/>
  <c r="AE48" i="17" s="1"/>
  <c r="Z48" i="17"/>
  <c r="X48" i="17"/>
  <c r="W48" i="17" s="1"/>
  <c r="AH47" i="17"/>
  <c r="AF47" i="17"/>
  <c r="AE47" i="17" s="1"/>
  <c r="Z47" i="17"/>
  <c r="X47" i="17"/>
  <c r="W47" i="17" s="1"/>
  <c r="AH46" i="17"/>
  <c r="AF46" i="17"/>
  <c r="AE46" i="17" s="1"/>
  <c r="Z46" i="17"/>
  <c r="X46" i="17"/>
  <c r="W46" i="17" s="1"/>
  <c r="AH45" i="17"/>
  <c r="AF45" i="17"/>
  <c r="AE45" i="17" s="1"/>
  <c r="Z45" i="17"/>
  <c r="X45" i="17"/>
  <c r="W45" i="17" s="1"/>
  <c r="AH44" i="17"/>
  <c r="AF44" i="17"/>
  <c r="AE44" i="17" s="1"/>
  <c r="Z44" i="17"/>
  <c r="X44" i="17"/>
  <c r="W44" i="17" s="1"/>
  <c r="AH43" i="17"/>
  <c r="AF43" i="17"/>
  <c r="AE43" i="17" s="1"/>
  <c r="Z43" i="17"/>
  <c r="X43" i="17"/>
  <c r="W43" i="17" s="1"/>
  <c r="AH42" i="17"/>
  <c r="AF42" i="17"/>
  <c r="AE42" i="17" s="1"/>
  <c r="Z42" i="17"/>
  <c r="X42" i="17"/>
  <c r="W42" i="17" s="1"/>
  <c r="AH41" i="17"/>
  <c r="AF41" i="17"/>
  <c r="AE41" i="17" s="1"/>
  <c r="Z41" i="17"/>
  <c r="X41" i="17"/>
  <c r="W41" i="17" s="1"/>
  <c r="AH40" i="17"/>
  <c r="AF40" i="17"/>
  <c r="AE40" i="17" s="1"/>
  <c r="Z40" i="17"/>
  <c r="X40" i="17"/>
  <c r="W40" i="17" s="1"/>
  <c r="AH39" i="17"/>
  <c r="AF39" i="17"/>
  <c r="AE39" i="17" s="1"/>
  <c r="Z39" i="17"/>
  <c r="X39" i="17"/>
  <c r="W39" i="17" s="1"/>
  <c r="AH38" i="17"/>
  <c r="AF38" i="17"/>
  <c r="AE38" i="17" s="1"/>
  <c r="Z38" i="17"/>
  <c r="X38" i="17"/>
  <c r="W38" i="17" s="1"/>
  <c r="AH37" i="17"/>
  <c r="AF37" i="17"/>
  <c r="AE37" i="17" s="1"/>
  <c r="Z37" i="17"/>
  <c r="X37" i="17"/>
  <c r="W37" i="17" s="1"/>
  <c r="AH36" i="17"/>
  <c r="AF36" i="17"/>
  <c r="AE36" i="17" s="1"/>
  <c r="Z36" i="17"/>
  <c r="X36" i="17"/>
  <c r="W36" i="17" s="1"/>
  <c r="AH35" i="17"/>
  <c r="AF35" i="17"/>
  <c r="AE35" i="17" s="1"/>
  <c r="Z35" i="17"/>
  <c r="X35" i="17"/>
  <c r="W35" i="17" s="1"/>
  <c r="AH34" i="17"/>
  <c r="AF34" i="17"/>
  <c r="AE34" i="17" s="1"/>
  <c r="Z34" i="17"/>
  <c r="X34" i="17"/>
  <c r="W34" i="17" s="1"/>
  <c r="AH33" i="17"/>
  <c r="AF33" i="17"/>
  <c r="AE33" i="17" s="1"/>
  <c r="Z33" i="17"/>
  <c r="X33" i="17"/>
  <c r="W33" i="17" s="1"/>
  <c r="AH32" i="17"/>
  <c r="AF32" i="17"/>
  <c r="AE32" i="17" s="1"/>
  <c r="Z32" i="17"/>
  <c r="X32" i="17"/>
  <c r="W32" i="17" s="1"/>
  <c r="AH31" i="17"/>
  <c r="AF31" i="17"/>
  <c r="AE31" i="17" s="1"/>
  <c r="Z31" i="17"/>
  <c r="X31" i="17"/>
  <c r="W31" i="17" s="1"/>
  <c r="AH30" i="17"/>
  <c r="AF30" i="17"/>
  <c r="AE30" i="17" s="1"/>
  <c r="Z30" i="17"/>
  <c r="X30" i="17"/>
  <c r="W30" i="17" s="1"/>
  <c r="AH29" i="17"/>
  <c r="AF29" i="17"/>
  <c r="AE29" i="17" s="1"/>
  <c r="Z29" i="17"/>
  <c r="X29" i="17"/>
  <c r="W29" i="17" s="1"/>
  <c r="AH28" i="17"/>
  <c r="AF28" i="17"/>
  <c r="AE28" i="17" s="1"/>
  <c r="Z28" i="17"/>
  <c r="X28" i="17"/>
  <c r="W28" i="17" s="1"/>
  <c r="AH27" i="17"/>
  <c r="AF27" i="17"/>
  <c r="AE27" i="17" s="1"/>
  <c r="Z27" i="17"/>
  <c r="X27" i="17"/>
  <c r="W27" i="17" s="1"/>
  <c r="AH26" i="17"/>
  <c r="AF26" i="17"/>
  <c r="AE26" i="17" s="1"/>
  <c r="Z26" i="17"/>
  <c r="X26" i="17"/>
  <c r="W26" i="17" s="1"/>
  <c r="AH25" i="17"/>
  <c r="AF25" i="17"/>
  <c r="AE25" i="17" s="1"/>
  <c r="Z25" i="17"/>
  <c r="X25" i="17"/>
  <c r="W25" i="17" s="1"/>
  <c r="AH24" i="17"/>
  <c r="AF24" i="17"/>
  <c r="AE24" i="17" s="1"/>
  <c r="Z24" i="17"/>
  <c r="X24" i="17"/>
  <c r="W24" i="17" s="1"/>
  <c r="AH23" i="17"/>
  <c r="AF23" i="17"/>
  <c r="AE23" i="17" s="1"/>
  <c r="Z23" i="17"/>
  <c r="X23" i="17"/>
  <c r="W23" i="17" s="1"/>
  <c r="AH22" i="17"/>
  <c r="AF22" i="17"/>
  <c r="AE22" i="17" s="1"/>
  <c r="Z22" i="17"/>
  <c r="X22" i="17"/>
  <c r="W22" i="17" s="1"/>
  <c r="AH21" i="17"/>
  <c r="AF21" i="17"/>
  <c r="AE21" i="17" s="1"/>
  <c r="Z21" i="17"/>
  <c r="X21" i="17"/>
  <c r="W21" i="17" s="1"/>
  <c r="AH20" i="17"/>
  <c r="AF20" i="17"/>
  <c r="AE20" i="17" s="1"/>
  <c r="Z20" i="17"/>
  <c r="X20" i="17"/>
  <c r="W20" i="17" s="1"/>
  <c r="AH19" i="17"/>
  <c r="AF19" i="17"/>
  <c r="AE19" i="17" s="1"/>
  <c r="Z19" i="17"/>
  <c r="X19" i="17"/>
  <c r="W19" i="17" s="1"/>
  <c r="AH18" i="17"/>
  <c r="AF18" i="17"/>
  <c r="AE18" i="17" s="1"/>
  <c r="Z18" i="17"/>
  <c r="X18" i="17"/>
  <c r="W18" i="17" s="1"/>
  <c r="AH17" i="17"/>
  <c r="AF17" i="17"/>
  <c r="AE17" i="17" s="1"/>
  <c r="Z17" i="17"/>
  <c r="X17" i="17"/>
  <c r="W17" i="17" s="1"/>
  <c r="AH16" i="17"/>
  <c r="AF16" i="17"/>
  <c r="AE16" i="17" s="1"/>
  <c r="Z16" i="17"/>
  <c r="X16" i="17"/>
  <c r="W16" i="17" s="1"/>
  <c r="AH15" i="17"/>
  <c r="AF15" i="17"/>
  <c r="AE15" i="17" s="1"/>
  <c r="Z15" i="17"/>
  <c r="X15" i="17"/>
  <c r="W15" i="17" s="1"/>
  <c r="P15" i="17"/>
  <c r="AH14" i="17"/>
  <c r="AF14" i="17"/>
  <c r="AE14" i="17" s="1"/>
  <c r="Z14" i="17"/>
  <c r="X14" i="17"/>
  <c r="W14" i="17" s="1"/>
  <c r="AC11" i="17"/>
  <c r="AB11" i="17" s="1"/>
  <c r="T3" i="17"/>
  <c r="P3" i="17"/>
  <c r="AH120" i="16"/>
  <c r="AF120" i="16"/>
  <c r="Z120" i="16"/>
  <c r="X120" i="16"/>
  <c r="W120" i="16" s="1"/>
  <c r="P120" i="16"/>
  <c r="AH119" i="16"/>
  <c r="AF119" i="16"/>
  <c r="Z119" i="16"/>
  <c r="X119" i="16"/>
  <c r="W119" i="16" s="1"/>
  <c r="P119" i="16"/>
  <c r="AH118" i="16"/>
  <c r="AF118" i="16"/>
  <c r="Z118" i="16"/>
  <c r="X118" i="16"/>
  <c r="W118" i="16" s="1"/>
  <c r="P118" i="16"/>
  <c r="AH117" i="16"/>
  <c r="AF117" i="16"/>
  <c r="Z117" i="16"/>
  <c r="X117" i="16"/>
  <c r="W117" i="16" s="1"/>
  <c r="P117" i="16"/>
  <c r="AH116" i="16"/>
  <c r="AF116" i="16"/>
  <c r="Z116" i="16"/>
  <c r="X116" i="16"/>
  <c r="W116" i="16" s="1"/>
  <c r="P116" i="16"/>
  <c r="AH115" i="16"/>
  <c r="AF115" i="16"/>
  <c r="Z115" i="16"/>
  <c r="X115" i="16"/>
  <c r="W115" i="16" s="1"/>
  <c r="P115" i="16"/>
  <c r="AH114" i="16"/>
  <c r="AF114" i="16"/>
  <c r="Z114" i="16"/>
  <c r="X114" i="16"/>
  <c r="W114" i="16" s="1"/>
  <c r="P114" i="16"/>
  <c r="AH113" i="16"/>
  <c r="AF113" i="16"/>
  <c r="Z113" i="16"/>
  <c r="X113" i="16"/>
  <c r="W113" i="16" s="1"/>
  <c r="P113" i="16"/>
  <c r="AH112" i="16"/>
  <c r="AF112" i="16"/>
  <c r="Z112" i="16"/>
  <c r="X112" i="16"/>
  <c r="W112" i="16" s="1"/>
  <c r="P112" i="16"/>
  <c r="AH111" i="16"/>
  <c r="AF111" i="16"/>
  <c r="Z111" i="16"/>
  <c r="X111" i="16"/>
  <c r="W111" i="16" s="1"/>
  <c r="P111" i="16"/>
  <c r="AH110" i="16"/>
  <c r="AF110" i="16"/>
  <c r="Z110" i="16"/>
  <c r="X110" i="16"/>
  <c r="W110" i="16" s="1"/>
  <c r="P110" i="16"/>
  <c r="AH109" i="16"/>
  <c r="AF109" i="16"/>
  <c r="Z109" i="16"/>
  <c r="X109" i="16"/>
  <c r="W109" i="16" s="1"/>
  <c r="P109" i="16"/>
  <c r="AH108" i="16"/>
  <c r="AF108" i="16"/>
  <c r="Z108" i="16"/>
  <c r="X108" i="16"/>
  <c r="W108" i="16" s="1"/>
  <c r="P108" i="16"/>
  <c r="AH107" i="16"/>
  <c r="AF107" i="16"/>
  <c r="Z107" i="16"/>
  <c r="X107" i="16"/>
  <c r="W107" i="16" s="1"/>
  <c r="P107" i="16"/>
  <c r="AH106" i="16"/>
  <c r="AF106" i="16"/>
  <c r="Z106" i="16"/>
  <c r="X106" i="16"/>
  <c r="W106" i="16" s="1"/>
  <c r="P106" i="16"/>
  <c r="AH105" i="16"/>
  <c r="AF105" i="16"/>
  <c r="Z105" i="16"/>
  <c r="X105" i="16"/>
  <c r="W105" i="16" s="1"/>
  <c r="P105" i="16"/>
  <c r="AH104" i="16"/>
  <c r="AF104" i="16"/>
  <c r="Z104" i="16"/>
  <c r="X104" i="16"/>
  <c r="W104" i="16" s="1"/>
  <c r="P104" i="16"/>
  <c r="AH103" i="16"/>
  <c r="AF103" i="16"/>
  <c r="Z103" i="16"/>
  <c r="X103" i="16"/>
  <c r="W103" i="16" s="1"/>
  <c r="P103" i="16"/>
  <c r="AH102" i="16"/>
  <c r="AF102" i="16"/>
  <c r="Z102" i="16"/>
  <c r="X102" i="16"/>
  <c r="W102" i="16" s="1"/>
  <c r="P102" i="16"/>
  <c r="AH101" i="16"/>
  <c r="AF101" i="16"/>
  <c r="Z101" i="16"/>
  <c r="X101" i="16"/>
  <c r="W101" i="16" s="1"/>
  <c r="P101" i="16"/>
  <c r="AH100" i="16"/>
  <c r="AF100" i="16"/>
  <c r="Z100" i="16"/>
  <c r="X100" i="16"/>
  <c r="W100" i="16" s="1"/>
  <c r="P100" i="16"/>
  <c r="AH99" i="16"/>
  <c r="AF99" i="16"/>
  <c r="Z99" i="16"/>
  <c r="X99" i="16"/>
  <c r="W99" i="16" s="1"/>
  <c r="P99" i="16"/>
  <c r="AH98" i="16"/>
  <c r="AF98" i="16"/>
  <c r="Z98" i="16"/>
  <c r="X98" i="16"/>
  <c r="W98" i="16" s="1"/>
  <c r="P98" i="16"/>
  <c r="AH97" i="16"/>
  <c r="AF97" i="16"/>
  <c r="Z97" i="16"/>
  <c r="X97" i="16"/>
  <c r="W97" i="16" s="1"/>
  <c r="P97" i="16"/>
  <c r="AH96" i="16"/>
  <c r="AF96" i="16"/>
  <c r="Z96" i="16"/>
  <c r="X96" i="16"/>
  <c r="W96" i="16" s="1"/>
  <c r="P96" i="16"/>
  <c r="AH95" i="16"/>
  <c r="AF95" i="16"/>
  <c r="Z95" i="16"/>
  <c r="X95" i="16"/>
  <c r="W95" i="16" s="1"/>
  <c r="P95" i="16"/>
  <c r="AH94" i="16"/>
  <c r="AF94" i="16"/>
  <c r="Z94" i="16"/>
  <c r="X94" i="16"/>
  <c r="W94" i="16" s="1"/>
  <c r="P94" i="16"/>
  <c r="AH93" i="16"/>
  <c r="AF93" i="16"/>
  <c r="Z93" i="16"/>
  <c r="X93" i="16"/>
  <c r="W93" i="16" s="1"/>
  <c r="P93" i="16"/>
  <c r="AH92" i="16"/>
  <c r="AF92" i="16"/>
  <c r="Z92" i="16"/>
  <c r="X92" i="16"/>
  <c r="W92" i="16" s="1"/>
  <c r="P92" i="16"/>
  <c r="AH91" i="16"/>
  <c r="AF91" i="16"/>
  <c r="Z91" i="16"/>
  <c r="X91" i="16"/>
  <c r="W91" i="16" s="1"/>
  <c r="P91" i="16"/>
  <c r="AH90" i="16"/>
  <c r="AF90" i="16"/>
  <c r="Z90" i="16"/>
  <c r="X90" i="16"/>
  <c r="W90" i="16" s="1"/>
  <c r="P90" i="16"/>
  <c r="AH89" i="16"/>
  <c r="AF89" i="16"/>
  <c r="Z89" i="16"/>
  <c r="X89" i="16"/>
  <c r="W89" i="16" s="1"/>
  <c r="P89" i="16"/>
  <c r="AH88" i="16"/>
  <c r="AF88" i="16"/>
  <c r="Z88" i="16"/>
  <c r="X88" i="16"/>
  <c r="W88" i="16" s="1"/>
  <c r="P88" i="16"/>
  <c r="AH87" i="16"/>
  <c r="AF87" i="16"/>
  <c r="Z87" i="16"/>
  <c r="X87" i="16"/>
  <c r="W87" i="16" s="1"/>
  <c r="P87" i="16"/>
  <c r="AH86" i="16"/>
  <c r="AF86" i="16"/>
  <c r="Z86" i="16"/>
  <c r="X86" i="16"/>
  <c r="W86" i="16" s="1"/>
  <c r="P86" i="16"/>
  <c r="AH85" i="16"/>
  <c r="AF85" i="16"/>
  <c r="Z85" i="16"/>
  <c r="X85" i="16"/>
  <c r="W85" i="16" s="1"/>
  <c r="P85" i="16"/>
  <c r="AH84" i="16"/>
  <c r="AF84" i="16"/>
  <c r="Z84" i="16"/>
  <c r="X84" i="16"/>
  <c r="W84" i="16" s="1"/>
  <c r="P84" i="16"/>
  <c r="AH83" i="16"/>
  <c r="AF83" i="16"/>
  <c r="Z83" i="16"/>
  <c r="X83" i="16"/>
  <c r="W83" i="16" s="1"/>
  <c r="P83" i="16"/>
  <c r="AH82" i="16"/>
  <c r="AF82" i="16"/>
  <c r="Z82" i="16"/>
  <c r="X82" i="16"/>
  <c r="W82" i="16" s="1"/>
  <c r="P82" i="16"/>
  <c r="AH81" i="16"/>
  <c r="AF81" i="16"/>
  <c r="Z81" i="16"/>
  <c r="X81" i="16"/>
  <c r="W81" i="16" s="1"/>
  <c r="P81" i="16"/>
  <c r="AH80" i="16"/>
  <c r="AF80" i="16"/>
  <c r="Z80" i="16"/>
  <c r="X80" i="16"/>
  <c r="W80" i="16" s="1"/>
  <c r="P80" i="16"/>
  <c r="AH79" i="16"/>
  <c r="AF79" i="16"/>
  <c r="Z79" i="16"/>
  <c r="X79" i="16"/>
  <c r="W79" i="16" s="1"/>
  <c r="P79" i="16"/>
  <c r="AH78" i="16"/>
  <c r="AF78" i="16"/>
  <c r="Z78" i="16"/>
  <c r="X78" i="16"/>
  <c r="W78" i="16" s="1"/>
  <c r="P78" i="16"/>
  <c r="AH77" i="16"/>
  <c r="AF77" i="16"/>
  <c r="Z77" i="16"/>
  <c r="X77" i="16"/>
  <c r="W77" i="16" s="1"/>
  <c r="P77" i="16"/>
  <c r="AH76" i="16"/>
  <c r="AF76" i="16"/>
  <c r="Z76" i="16"/>
  <c r="X76" i="16"/>
  <c r="W76" i="16" s="1"/>
  <c r="P76" i="16"/>
  <c r="AH75" i="16"/>
  <c r="AF75" i="16"/>
  <c r="Z75" i="16"/>
  <c r="X75" i="16"/>
  <c r="W75" i="16" s="1"/>
  <c r="P75" i="16"/>
  <c r="AH74" i="16"/>
  <c r="AF74" i="16"/>
  <c r="Z74" i="16"/>
  <c r="X74" i="16"/>
  <c r="W74" i="16" s="1"/>
  <c r="P74" i="16"/>
  <c r="AH73" i="16"/>
  <c r="AF73" i="16"/>
  <c r="Z73" i="16"/>
  <c r="X73" i="16"/>
  <c r="W73" i="16" s="1"/>
  <c r="P73" i="16"/>
  <c r="AH72" i="16"/>
  <c r="AF72" i="16"/>
  <c r="Z72" i="16"/>
  <c r="X72" i="16"/>
  <c r="W72" i="16"/>
  <c r="P72" i="16"/>
  <c r="AH71" i="16"/>
  <c r="AF71" i="16"/>
  <c r="Z71" i="16"/>
  <c r="X71" i="16"/>
  <c r="W71" i="16" s="1"/>
  <c r="P71" i="16"/>
  <c r="AH70" i="16"/>
  <c r="AF70" i="16"/>
  <c r="Z70" i="16"/>
  <c r="X70" i="16"/>
  <c r="W70" i="16" s="1"/>
  <c r="P70" i="16"/>
  <c r="AH69" i="16"/>
  <c r="AF69" i="16"/>
  <c r="Z69" i="16"/>
  <c r="X69" i="16"/>
  <c r="W69" i="16" s="1"/>
  <c r="P69" i="16"/>
  <c r="AH68" i="16"/>
  <c r="AF68" i="16"/>
  <c r="Z68" i="16"/>
  <c r="X68" i="16"/>
  <c r="W68" i="16" s="1"/>
  <c r="P68" i="16"/>
  <c r="AH67" i="16"/>
  <c r="AF67" i="16"/>
  <c r="Z67" i="16"/>
  <c r="X67" i="16"/>
  <c r="W67" i="16" s="1"/>
  <c r="P67" i="16"/>
  <c r="AH66" i="16"/>
  <c r="AF66" i="16"/>
  <c r="Z66" i="16"/>
  <c r="X66" i="16"/>
  <c r="W66" i="16" s="1"/>
  <c r="P66" i="16"/>
  <c r="AH65" i="16"/>
  <c r="AF65" i="16"/>
  <c r="Z65" i="16"/>
  <c r="X65" i="16"/>
  <c r="W65" i="16" s="1"/>
  <c r="P65" i="16"/>
  <c r="AH64" i="16"/>
  <c r="AF64" i="16"/>
  <c r="Z64" i="16"/>
  <c r="X64" i="16"/>
  <c r="W64" i="16" s="1"/>
  <c r="P64" i="16"/>
  <c r="AH63" i="16"/>
  <c r="AF63" i="16"/>
  <c r="Z63" i="16"/>
  <c r="X63" i="16"/>
  <c r="W63" i="16" s="1"/>
  <c r="P63" i="16"/>
  <c r="AH62" i="16"/>
  <c r="AF62" i="16"/>
  <c r="Z62" i="16"/>
  <c r="X62" i="16"/>
  <c r="W62" i="16" s="1"/>
  <c r="P62" i="16"/>
  <c r="AH61" i="16"/>
  <c r="AF61" i="16"/>
  <c r="AE61" i="16" s="1"/>
  <c r="Z61" i="16"/>
  <c r="X61" i="16"/>
  <c r="W61" i="16" s="1"/>
  <c r="P61" i="16"/>
  <c r="AH60" i="16"/>
  <c r="AF60" i="16"/>
  <c r="AE60" i="16" s="1"/>
  <c r="Z60" i="16"/>
  <c r="X60" i="16"/>
  <c r="W60" i="16" s="1"/>
  <c r="P60" i="16"/>
  <c r="AH59" i="16"/>
  <c r="AF59" i="16"/>
  <c r="AE59" i="16" s="1"/>
  <c r="Z59" i="16"/>
  <c r="X59" i="16"/>
  <c r="W59" i="16" s="1"/>
  <c r="P59" i="16"/>
  <c r="AH58" i="16"/>
  <c r="AF58" i="16"/>
  <c r="AE58" i="16" s="1"/>
  <c r="Z58" i="16"/>
  <c r="X58" i="16"/>
  <c r="W58" i="16" s="1"/>
  <c r="P58" i="16"/>
  <c r="AH57" i="16"/>
  <c r="AF57" i="16"/>
  <c r="AE57" i="16" s="1"/>
  <c r="Z57" i="16"/>
  <c r="X57" i="16"/>
  <c r="W57" i="16" s="1"/>
  <c r="P57" i="16"/>
  <c r="AH56" i="16"/>
  <c r="AF56" i="16"/>
  <c r="AE56" i="16" s="1"/>
  <c r="Z56" i="16"/>
  <c r="X56" i="16"/>
  <c r="W56" i="16" s="1"/>
  <c r="P56" i="16"/>
  <c r="AH55" i="16"/>
  <c r="AF55" i="16"/>
  <c r="AE55" i="16" s="1"/>
  <c r="Z55" i="16"/>
  <c r="X55" i="16"/>
  <c r="W55" i="16" s="1"/>
  <c r="P55" i="16"/>
  <c r="AH54" i="16"/>
  <c r="AF54" i="16"/>
  <c r="AE54" i="16" s="1"/>
  <c r="Z54" i="16"/>
  <c r="X54" i="16"/>
  <c r="W54" i="16" s="1"/>
  <c r="AH53" i="16"/>
  <c r="AF53" i="16"/>
  <c r="AE53" i="16" s="1"/>
  <c r="Z53" i="16"/>
  <c r="X53" i="16"/>
  <c r="W53" i="16" s="1"/>
  <c r="AH52" i="16"/>
  <c r="AF52" i="16"/>
  <c r="AE52" i="16" s="1"/>
  <c r="Z52" i="16"/>
  <c r="X52" i="16"/>
  <c r="W52" i="16" s="1"/>
  <c r="AH51" i="16"/>
  <c r="AF51" i="16"/>
  <c r="AE51" i="16" s="1"/>
  <c r="Z51" i="16"/>
  <c r="X51" i="16"/>
  <c r="W51" i="16" s="1"/>
  <c r="AH50" i="16"/>
  <c r="AF50" i="16"/>
  <c r="AE50" i="16" s="1"/>
  <c r="Z50" i="16"/>
  <c r="X50" i="16"/>
  <c r="W50" i="16" s="1"/>
  <c r="AH49" i="16"/>
  <c r="AF49" i="16"/>
  <c r="AE49" i="16" s="1"/>
  <c r="Z49" i="16"/>
  <c r="X49" i="16"/>
  <c r="W49" i="16" s="1"/>
  <c r="AH48" i="16"/>
  <c r="AF48" i="16"/>
  <c r="AE48" i="16" s="1"/>
  <c r="Z48" i="16"/>
  <c r="X48" i="16"/>
  <c r="W48" i="16" s="1"/>
  <c r="AH47" i="16"/>
  <c r="AF47" i="16"/>
  <c r="AE47" i="16" s="1"/>
  <c r="Z47" i="16"/>
  <c r="X47" i="16"/>
  <c r="W47" i="16" s="1"/>
  <c r="AH46" i="16"/>
  <c r="AF46" i="16"/>
  <c r="AE46" i="16" s="1"/>
  <c r="Z46" i="16"/>
  <c r="X46" i="16"/>
  <c r="W46" i="16" s="1"/>
  <c r="AH45" i="16"/>
  <c r="AF45" i="16"/>
  <c r="AE45" i="16" s="1"/>
  <c r="Z45" i="16"/>
  <c r="X45" i="16"/>
  <c r="W45" i="16" s="1"/>
  <c r="AH44" i="16"/>
  <c r="AF44" i="16"/>
  <c r="AE44" i="16" s="1"/>
  <c r="Z44" i="16"/>
  <c r="X44" i="16"/>
  <c r="W44" i="16" s="1"/>
  <c r="AH43" i="16"/>
  <c r="AF43" i="16"/>
  <c r="AE43" i="16" s="1"/>
  <c r="Z43" i="16"/>
  <c r="X43" i="16"/>
  <c r="W43" i="16" s="1"/>
  <c r="AH42" i="16"/>
  <c r="AF42" i="16"/>
  <c r="AE42" i="16" s="1"/>
  <c r="Z42" i="16"/>
  <c r="X42" i="16"/>
  <c r="W42" i="16" s="1"/>
  <c r="AH41" i="16"/>
  <c r="AF41" i="16"/>
  <c r="AE41" i="16" s="1"/>
  <c r="Z41" i="16"/>
  <c r="X41" i="16"/>
  <c r="W41" i="16" s="1"/>
  <c r="AH40" i="16"/>
  <c r="AF40" i="16"/>
  <c r="AE40" i="16" s="1"/>
  <c r="Z40" i="16"/>
  <c r="X40" i="16"/>
  <c r="W40" i="16" s="1"/>
  <c r="AH39" i="16"/>
  <c r="AF39" i="16"/>
  <c r="AE39" i="16" s="1"/>
  <c r="Z39" i="16"/>
  <c r="X39" i="16"/>
  <c r="W39" i="16" s="1"/>
  <c r="AH38" i="16"/>
  <c r="AF38" i="16"/>
  <c r="AE38" i="16" s="1"/>
  <c r="Z38" i="16"/>
  <c r="X38" i="16"/>
  <c r="W38" i="16" s="1"/>
  <c r="AH37" i="16"/>
  <c r="AF37" i="16"/>
  <c r="AE37" i="16" s="1"/>
  <c r="Z37" i="16"/>
  <c r="X37" i="16"/>
  <c r="W37" i="16" s="1"/>
  <c r="AH36" i="16"/>
  <c r="AF36" i="16"/>
  <c r="AE36" i="16" s="1"/>
  <c r="Z36" i="16"/>
  <c r="X36" i="16"/>
  <c r="W36" i="16" s="1"/>
  <c r="AH35" i="16"/>
  <c r="AF35" i="16"/>
  <c r="AE35" i="16" s="1"/>
  <c r="Z35" i="16"/>
  <c r="X35" i="16"/>
  <c r="W35" i="16" s="1"/>
  <c r="AH34" i="16"/>
  <c r="AF34" i="16"/>
  <c r="AE34" i="16" s="1"/>
  <c r="Z34" i="16"/>
  <c r="X34" i="16"/>
  <c r="W34" i="16" s="1"/>
  <c r="AH33" i="16"/>
  <c r="AF33" i="16"/>
  <c r="AE33" i="16" s="1"/>
  <c r="Z33" i="16"/>
  <c r="X33" i="16"/>
  <c r="W33" i="16" s="1"/>
  <c r="AH32" i="16"/>
  <c r="AF32" i="16"/>
  <c r="AE32" i="16" s="1"/>
  <c r="Z32" i="16"/>
  <c r="X32" i="16"/>
  <c r="W32" i="16" s="1"/>
  <c r="AH31" i="16"/>
  <c r="AF31" i="16"/>
  <c r="AE31" i="16" s="1"/>
  <c r="Z31" i="16"/>
  <c r="X31" i="16"/>
  <c r="W31" i="16" s="1"/>
  <c r="AH30" i="16"/>
  <c r="AF30" i="16"/>
  <c r="AE30" i="16" s="1"/>
  <c r="Z30" i="16"/>
  <c r="X30" i="16"/>
  <c r="W30" i="16" s="1"/>
  <c r="AH29" i="16"/>
  <c r="AF29" i="16"/>
  <c r="AE29" i="16" s="1"/>
  <c r="Z29" i="16"/>
  <c r="X29" i="16"/>
  <c r="W29" i="16" s="1"/>
  <c r="AH28" i="16"/>
  <c r="AF28" i="16"/>
  <c r="AE28" i="16" s="1"/>
  <c r="Z28" i="16"/>
  <c r="X28" i="16"/>
  <c r="W28" i="16" s="1"/>
  <c r="AH27" i="16"/>
  <c r="AF27" i="16"/>
  <c r="AE27" i="16" s="1"/>
  <c r="Z27" i="16"/>
  <c r="X27" i="16"/>
  <c r="W27" i="16" s="1"/>
  <c r="AH26" i="16"/>
  <c r="AF26" i="16"/>
  <c r="AE26" i="16" s="1"/>
  <c r="Z26" i="16"/>
  <c r="X26" i="16"/>
  <c r="W26" i="16" s="1"/>
  <c r="AH25" i="16"/>
  <c r="AF25" i="16"/>
  <c r="AE25" i="16" s="1"/>
  <c r="Z25" i="16"/>
  <c r="X25" i="16"/>
  <c r="W25" i="16" s="1"/>
  <c r="AH24" i="16"/>
  <c r="AF24" i="16"/>
  <c r="AE24" i="16" s="1"/>
  <c r="Z24" i="16"/>
  <c r="X24" i="16"/>
  <c r="W24" i="16" s="1"/>
  <c r="AH23" i="16"/>
  <c r="AF23" i="16"/>
  <c r="AE23" i="16" s="1"/>
  <c r="Z23" i="16"/>
  <c r="X23" i="16"/>
  <c r="W23" i="16" s="1"/>
  <c r="AH22" i="16"/>
  <c r="AF22" i="16"/>
  <c r="AE22" i="16" s="1"/>
  <c r="Z22" i="16"/>
  <c r="X22" i="16"/>
  <c r="W22" i="16" s="1"/>
  <c r="AH21" i="16"/>
  <c r="AF21" i="16"/>
  <c r="AE21" i="16" s="1"/>
  <c r="Z21" i="16"/>
  <c r="X21" i="16"/>
  <c r="W21" i="16" s="1"/>
  <c r="AH20" i="16"/>
  <c r="AF20" i="16"/>
  <c r="AE20" i="16" s="1"/>
  <c r="Z20" i="16"/>
  <c r="X20" i="16"/>
  <c r="W20" i="16" s="1"/>
  <c r="AH19" i="16"/>
  <c r="AF19" i="16"/>
  <c r="AE19" i="16" s="1"/>
  <c r="Z19" i="16"/>
  <c r="X19" i="16"/>
  <c r="W19" i="16" s="1"/>
  <c r="AH18" i="16"/>
  <c r="AF18" i="16"/>
  <c r="AE18" i="16" s="1"/>
  <c r="Z18" i="16"/>
  <c r="X18" i="16"/>
  <c r="W18" i="16" s="1"/>
  <c r="AH17" i="16"/>
  <c r="AF17" i="16"/>
  <c r="AE17" i="16" s="1"/>
  <c r="Z17" i="16"/>
  <c r="X17" i="16"/>
  <c r="W17" i="16" s="1"/>
  <c r="AH16" i="16"/>
  <c r="AF16" i="16"/>
  <c r="AE16" i="16" s="1"/>
  <c r="Z16" i="16"/>
  <c r="X16" i="16"/>
  <c r="W16" i="16" s="1"/>
  <c r="AH15" i="16"/>
  <c r="AF15" i="16"/>
  <c r="AE15" i="16" s="1"/>
  <c r="Z15" i="16"/>
  <c r="X15" i="16"/>
  <c r="W15" i="16" s="1"/>
  <c r="P15" i="16"/>
  <c r="P16" i="16" s="1"/>
  <c r="P17" i="16" s="1"/>
  <c r="P18" i="16" s="1"/>
  <c r="P19" i="16" s="1"/>
  <c r="P20" i="16" s="1"/>
  <c r="P21" i="16" s="1"/>
  <c r="P22" i="16" s="1"/>
  <c r="P23" i="16" s="1"/>
  <c r="P24" i="16" s="1"/>
  <c r="P25" i="16" s="1"/>
  <c r="P26" i="16" s="1"/>
  <c r="P27" i="16" s="1"/>
  <c r="P28" i="16" s="1"/>
  <c r="P29" i="16" s="1"/>
  <c r="P30" i="16" s="1"/>
  <c r="P31" i="16" s="1"/>
  <c r="P32" i="16" s="1"/>
  <c r="P33" i="16" s="1"/>
  <c r="P34" i="16" s="1"/>
  <c r="P35" i="16" s="1"/>
  <c r="P36" i="16" s="1"/>
  <c r="P37" i="16" s="1"/>
  <c r="P38" i="16" s="1"/>
  <c r="P39" i="16" s="1"/>
  <c r="P40" i="16" s="1"/>
  <c r="P41" i="16" s="1"/>
  <c r="P42" i="16" s="1"/>
  <c r="P43" i="16" s="1"/>
  <c r="P44" i="16" s="1"/>
  <c r="P45" i="16" s="1"/>
  <c r="P46" i="16" s="1"/>
  <c r="P47" i="16" s="1"/>
  <c r="P48" i="16" s="1"/>
  <c r="P49" i="16" s="1"/>
  <c r="P50" i="16" s="1"/>
  <c r="P51" i="16" s="1"/>
  <c r="P52" i="16" s="1"/>
  <c r="P53" i="16" s="1"/>
  <c r="P54" i="16" s="1"/>
  <c r="AH14" i="16"/>
  <c r="AF14" i="16"/>
  <c r="AE14" i="16" s="1"/>
  <c r="Z14" i="16"/>
  <c r="X14" i="16"/>
  <c r="W14" i="16" s="1"/>
  <c r="AC11" i="16"/>
  <c r="AB11" i="16" s="1"/>
  <c r="T3" i="16"/>
  <c r="P3" i="16"/>
  <c r="AH120" i="15"/>
  <c r="AF120" i="15"/>
  <c r="Z120" i="15"/>
  <c r="X120" i="15"/>
  <c r="W120" i="15" s="1"/>
  <c r="P120" i="15"/>
  <c r="AH119" i="15"/>
  <c r="AF119" i="15"/>
  <c r="Z119" i="15"/>
  <c r="X119" i="15"/>
  <c r="W119" i="15" s="1"/>
  <c r="P119" i="15"/>
  <c r="AH118" i="15"/>
  <c r="AF118" i="15"/>
  <c r="Z118" i="15"/>
  <c r="X118" i="15"/>
  <c r="W118" i="15" s="1"/>
  <c r="P118" i="15"/>
  <c r="AH117" i="15"/>
  <c r="AF117" i="15"/>
  <c r="Z117" i="15"/>
  <c r="X117" i="15"/>
  <c r="W117" i="15" s="1"/>
  <c r="P117" i="15"/>
  <c r="AH116" i="15"/>
  <c r="AF116" i="15"/>
  <c r="Z116" i="15"/>
  <c r="X116" i="15"/>
  <c r="W116" i="15" s="1"/>
  <c r="P116" i="15"/>
  <c r="AH115" i="15"/>
  <c r="AF115" i="15"/>
  <c r="Z115" i="15"/>
  <c r="X115" i="15"/>
  <c r="W115" i="15" s="1"/>
  <c r="P115" i="15"/>
  <c r="AH114" i="15"/>
  <c r="AF114" i="15"/>
  <c r="Z114" i="15"/>
  <c r="X114" i="15"/>
  <c r="W114" i="15" s="1"/>
  <c r="P114" i="15"/>
  <c r="AH113" i="15"/>
  <c r="AF113" i="15"/>
  <c r="Z113" i="15"/>
  <c r="X113" i="15"/>
  <c r="W113" i="15" s="1"/>
  <c r="P113" i="15"/>
  <c r="AH112" i="15"/>
  <c r="AF112" i="15"/>
  <c r="Z112" i="15"/>
  <c r="X112" i="15"/>
  <c r="W112" i="15" s="1"/>
  <c r="P112" i="15"/>
  <c r="AH111" i="15"/>
  <c r="AF111" i="15"/>
  <c r="Z111" i="15"/>
  <c r="X111" i="15"/>
  <c r="W111" i="15" s="1"/>
  <c r="P111" i="15"/>
  <c r="AH110" i="15"/>
  <c r="AF110" i="15"/>
  <c r="Z110" i="15"/>
  <c r="X110" i="15"/>
  <c r="W110" i="15" s="1"/>
  <c r="P110" i="15"/>
  <c r="AH109" i="15"/>
  <c r="AF109" i="15"/>
  <c r="Z109" i="15"/>
  <c r="X109" i="15"/>
  <c r="W109" i="15" s="1"/>
  <c r="P109" i="15"/>
  <c r="AH108" i="15"/>
  <c r="AF108" i="15"/>
  <c r="Z108" i="15"/>
  <c r="X108" i="15"/>
  <c r="W108" i="15" s="1"/>
  <c r="P108" i="15"/>
  <c r="AH107" i="15"/>
  <c r="AF107" i="15"/>
  <c r="Z107" i="15"/>
  <c r="X107" i="15"/>
  <c r="W107" i="15" s="1"/>
  <c r="P107" i="15"/>
  <c r="AH106" i="15"/>
  <c r="AF106" i="15"/>
  <c r="Z106" i="15"/>
  <c r="X106" i="15"/>
  <c r="W106" i="15" s="1"/>
  <c r="P106" i="15"/>
  <c r="AH105" i="15"/>
  <c r="AF105" i="15"/>
  <c r="Z105" i="15"/>
  <c r="X105" i="15"/>
  <c r="W105" i="15" s="1"/>
  <c r="P105" i="15"/>
  <c r="AH104" i="15"/>
  <c r="AF104" i="15"/>
  <c r="Z104" i="15"/>
  <c r="X104" i="15"/>
  <c r="W104" i="15" s="1"/>
  <c r="P104" i="15"/>
  <c r="AH103" i="15"/>
  <c r="AF103" i="15"/>
  <c r="Z103" i="15"/>
  <c r="X103" i="15"/>
  <c r="W103" i="15" s="1"/>
  <c r="P103" i="15"/>
  <c r="AH102" i="15"/>
  <c r="AF102" i="15"/>
  <c r="Z102" i="15"/>
  <c r="X102" i="15"/>
  <c r="W102" i="15" s="1"/>
  <c r="P102" i="15"/>
  <c r="AH101" i="15"/>
  <c r="AF101" i="15"/>
  <c r="Z101" i="15"/>
  <c r="X101" i="15"/>
  <c r="W101" i="15" s="1"/>
  <c r="P101" i="15"/>
  <c r="AH100" i="15"/>
  <c r="AF100" i="15"/>
  <c r="Z100" i="15"/>
  <c r="X100" i="15"/>
  <c r="W100" i="15" s="1"/>
  <c r="P100" i="15"/>
  <c r="AH99" i="15"/>
  <c r="AF99" i="15"/>
  <c r="Z99" i="15"/>
  <c r="X99" i="15"/>
  <c r="W99" i="15" s="1"/>
  <c r="P99" i="15"/>
  <c r="AH98" i="15"/>
  <c r="AF98" i="15"/>
  <c r="Z98" i="15"/>
  <c r="X98" i="15"/>
  <c r="W98" i="15" s="1"/>
  <c r="P98" i="15"/>
  <c r="AH97" i="15"/>
  <c r="AF97" i="15"/>
  <c r="Z97" i="15"/>
  <c r="X97" i="15"/>
  <c r="W97" i="15" s="1"/>
  <c r="P97" i="15"/>
  <c r="AH96" i="15"/>
  <c r="AF96" i="15"/>
  <c r="Z96" i="15"/>
  <c r="X96" i="15"/>
  <c r="W96" i="15" s="1"/>
  <c r="P96" i="15"/>
  <c r="AH95" i="15"/>
  <c r="AF95" i="15"/>
  <c r="Z95" i="15"/>
  <c r="X95" i="15"/>
  <c r="W95" i="15" s="1"/>
  <c r="P95" i="15"/>
  <c r="AH94" i="15"/>
  <c r="AF94" i="15"/>
  <c r="Z94" i="15"/>
  <c r="X94" i="15"/>
  <c r="W94" i="15" s="1"/>
  <c r="P94" i="15"/>
  <c r="AH93" i="15"/>
  <c r="AF93" i="15"/>
  <c r="Z93" i="15"/>
  <c r="X93" i="15"/>
  <c r="W93" i="15" s="1"/>
  <c r="P93" i="15"/>
  <c r="AH92" i="15"/>
  <c r="AF92" i="15"/>
  <c r="Z92" i="15"/>
  <c r="X92" i="15"/>
  <c r="W92" i="15" s="1"/>
  <c r="P92" i="15"/>
  <c r="AH91" i="15"/>
  <c r="AF91" i="15"/>
  <c r="Z91" i="15"/>
  <c r="X91" i="15"/>
  <c r="W91" i="15"/>
  <c r="P91" i="15"/>
  <c r="AH90" i="15"/>
  <c r="AF90" i="15"/>
  <c r="Z90" i="15"/>
  <c r="X90" i="15"/>
  <c r="W90" i="15" s="1"/>
  <c r="P90" i="15"/>
  <c r="AH89" i="15"/>
  <c r="AF89" i="15"/>
  <c r="Z89" i="15"/>
  <c r="X89" i="15"/>
  <c r="W89" i="15" s="1"/>
  <c r="P89" i="15"/>
  <c r="AH88" i="15"/>
  <c r="AF88" i="15"/>
  <c r="Z88" i="15"/>
  <c r="X88" i="15"/>
  <c r="W88" i="15" s="1"/>
  <c r="P88" i="15"/>
  <c r="AH87" i="15"/>
  <c r="AF87" i="15"/>
  <c r="Z87" i="15"/>
  <c r="X87" i="15"/>
  <c r="W87" i="15" s="1"/>
  <c r="P87" i="15"/>
  <c r="AH86" i="15"/>
  <c r="AF86" i="15"/>
  <c r="Z86" i="15"/>
  <c r="X86" i="15"/>
  <c r="W86" i="15" s="1"/>
  <c r="P86" i="15"/>
  <c r="AH85" i="15"/>
  <c r="AF85" i="15"/>
  <c r="Z85" i="15"/>
  <c r="X85" i="15"/>
  <c r="W85" i="15" s="1"/>
  <c r="P85" i="15"/>
  <c r="AH84" i="15"/>
  <c r="AF84" i="15"/>
  <c r="Z84" i="15"/>
  <c r="X84" i="15"/>
  <c r="W84" i="15" s="1"/>
  <c r="P84" i="15"/>
  <c r="AH83" i="15"/>
  <c r="AF83" i="15"/>
  <c r="Z83" i="15"/>
  <c r="X83" i="15"/>
  <c r="W83" i="15" s="1"/>
  <c r="P83" i="15"/>
  <c r="AH82" i="15"/>
  <c r="AF82" i="15"/>
  <c r="Z82" i="15"/>
  <c r="X82" i="15"/>
  <c r="W82" i="15" s="1"/>
  <c r="P82" i="15"/>
  <c r="AH81" i="15"/>
  <c r="AF81" i="15"/>
  <c r="Z81" i="15"/>
  <c r="X81" i="15"/>
  <c r="W81" i="15" s="1"/>
  <c r="P81" i="15"/>
  <c r="AH80" i="15"/>
  <c r="AF80" i="15"/>
  <c r="Z80" i="15"/>
  <c r="X80" i="15"/>
  <c r="W80" i="15" s="1"/>
  <c r="P80" i="15"/>
  <c r="AH79" i="15"/>
  <c r="AF79" i="15"/>
  <c r="Z79" i="15"/>
  <c r="X79" i="15"/>
  <c r="W79" i="15"/>
  <c r="P79" i="15"/>
  <c r="AH78" i="15"/>
  <c r="AF78" i="15"/>
  <c r="Z78" i="15"/>
  <c r="X78" i="15"/>
  <c r="W78" i="15" s="1"/>
  <c r="P78" i="15"/>
  <c r="AH77" i="15"/>
  <c r="AF77" i="15"/>
  <c r="Z77" i="15"/>
  <c r="X77" i="15"/>
  <c r="W77" i="15" s="1"/>
  <c r="P77" i="15"/>
  <c r="AH76" i="15"/>
  <c r="AF76" i="15"/>
  <c r="Z76" i="15"/>
  <c r="X76" i="15"/>
  <c r="W76" i="15" s="1"/>
  <c r="P76" i="15"/>
  <c r="AH75" i="15"/>
  <c r="AF75" i="15"/>
  <c r="Z75" i="15"/>
  <c r="X75" i="15"/>
  <c r="W75" i="15" s="1"/>
  <c r="P75" i="15"/>
  <c r="AH74" i="15"/>
  <c r="AF74" i="15"/>
  <c r="Z74" i="15"/>
  <c r="X74" i="15"/>
  <c r="W74" i="15" s="1"/>
  <c r="P74" i="15"/>
  <c r="AH73" i="15"/>
  <c r="AF73" i="15"/>
  <c r="Z73" i="15"/>
  <c r="X73" i="15"/>
  <c r="W73" i="15" s="1"/>
  <c r="P73" i="15"/>
  <c r="AH72" i="15"/>
  <c r="AF72" i="15"/>
  <c r="Z72" i="15"/>
  <c r="X72" i="15"/>
  <c r="W72" i="15" s="1"/>
  <c r="P72" i="15"/>
  <c r="AH71" i="15"/>
  <c r="AF71" i="15"/>
  <c r="Z71" i="15"/>
  <c r="X71" i="15"/>
  <c r="W71" i="15" s="1"/>
  <c r="P71" i="15"/>
  <c r="AH70" i="15"/>
  <c r="AF70" i="15"/>
  <c r="Z70" i="15"/>
  <c r="X70" i="15"/>
  <c r="W70" i="15" s="1"/>
  <c r="P70" i="15"/>
  <c r="AH69" i="15"/>
  <c r="AF69" i="15"/>
  <c r="Z69" i="15"/>
  <c r="X69" i="15"/>
  <c r="W69" i="15" s="1"/>
  <c r="P69" i="15"/>
  <c r="AH68" i="15"/>
  <c r="AF68" i="15"/>
  <c r="Z68" i="15"/>
  <c r="X68" i="15"/>
  <c r="W68" i="15" s="1"/>
  <c r="P68" i="15"/>
  <c r="AH67" i="15"/>
  <c r="AF67" i="15"/>
  <c r="Z67" i="15"/>
  <c r="X67" i="15"/>
  <c r="W67" i="15" s="1"/>
  <c r="P67" i="15"/>
  <c r="AH66" i="15"/>
  <c r="AF66" i="15"/>
  <c r="Z66" i="15"/>
  <c r="X66" i="15"/>
  <c r="W66" i="15" s="1"/>
  <c r="P66" i="15"/>
  <c r="AH65" i="15"/>
  <c r="AF65" i="15"/>
  <c r="Z65" i="15"/>
  <c r="X65" i="15"/>
  <c r="W65" i="15" s="1"/>
  <c r="P65" i="15"/>
  <c r="AH64" i="15"/>
  <c r="AF64" i="15"/>
  <c r="AE64" i="15" s="1"/>
  <c r="Z64" i="15"/>
  <c r="X64" i="15"/>
  <c r="W64" i="15" s="1"/>
  <c r="P64" i="15"/>
  <c r="AH63" i="15"/>
  <c r="AF63" i="15"/>
  <c r="AE63" i="15" s="1"/>
  <c r="Z63" i="15"/>
  <c r="X63" i="15"/>
  <c r="W63" i="15" s="1"/>
  <c r="P63" i="15"/>
  <c r="AH62" i="15"/>
  <c r="AF62" i="15"/>
  <c r="AE62" i="15" s="1"/>
  <c r="Z62" i="15"/>
  <c r="X62" i="15"/>
  <c r="W62" i="15" s="1"/>
  <c r="P62" i="15"/>
  <c r="AH61" i="15"/>
  <c r="AF61" i="15"/>
  <c r="AE61" i="15" s="1"/>
  <c r="Z61" i="15"/>
  <c r="X61" i="15"/>
  <c r="W61" i="15" s="1"/>
  <c r="P61" i="15"/>
  <c r="AH60" i="15"/>
  <c r="AF60" i="15"/>
  <c r="AE60" i="15" s="1"/>
  <c r="Z60" i="15"/>
  <c r="X60" i="15"/>
  <c r="W60" i="15" s="1"/>
  <c r="P60" i="15"/>
  <c r="AH59" i="15"/>
  <c r="AF59" i="15"/>
  <c r="AE59" i="15" s="1"/>
  <c r="Z59" i="15"/>
  <c r="X59" i="15"/>
  <c r="W59" i="15" s="1"/>
  <c r="P59" i="15"/>
  <c r="AH58" i="15"/>
  <c r="AF58" i="15"/>
  <c r="AE58" i="15" s="1"/>
  <c r="Z58" i="15"/>
  <c r="X58" i="15"/>
  <c r="W58" i="15" s="1"/>
  <c r="P58" i="15"/>
  <c r="AH57" i="15"/>
  <c r="AF57" i="15"/>
  <c r="AE57" i="15" s="1"/>
  <c r="Z57" i="15"/>
  <c r="X57" i="15"/>
  <c r="W57" i="15" s="1"/>
  <c r="P57" i="15"/>
  <c r="AH56" i="15"/>
  <c r="AF56" i="15"/>
  <c r="AE56" i="15" s="1"/>
  <c r="Z56" i="15"/>
  <c r="X56" i="15"/>
  <c r="W56" i="15" s="1"/>
  <c r="P56" i="15"/>
  <c r="AH55" i="15"/>
  <c r="AF55" i="15"/>
  <c r="AE55" i="15" s="1"/>
  <c r="Z55" i="15"/>
  <c r="X55" i="15"/>
  <c r="W55" i="15" s="1"/>
  <c r="P55" i="15"/>
  <c r="AH54" i="15"/>
  <c r="AF54" i="15"/>
  <c r="AE54" i="15" s="1"/>
  <c r="Z54" i="15"/>
  <c r="X54" i="15"/>
  <c r="W54" i="15" s="1"/>
  <c r="AH53" i="15"/>
  <c r="AF53" i="15"/>
  <c r="AE53" i="15" s="1"/>
  <c r="Z53" i="15"/>
  <c r="X53" i="15"/>
  <c r="W53" i="15" s="1"/>
  <c r="AH52" i="15"/>
  <c r="AF52" i="15"/>
  <c r="AE52" i="15" s="1"/>
  <c r="Z52" i="15"/>
  <c r="X52" i="15"/>
  <c r="W52" i="15" s="1"/>
  <c r="AH51" i="15"/>
  <c r="AF51" i="15"/>
  <c r="AE51" i="15" s="1"/>
  <c r="Z51" i="15"/>
  <c r="X51" i="15"/>
  <c r="W51" i="15" s="1"/>
  <c r="AH50" i="15"/>
  <c r="AF50" i="15"/>
  <c r="AE50" i="15" s="1"/>
  <c r="Z50" i="15"/>
  <c r="X50" i="15"/>
  <c r="W50" i="15" s="1"/>
  <c r="AH49" i="15"/>
  <c r="AF49" i="15"/>
  <c r="AE49" i="15" s="1"/>
  <c r="Z49" i="15"/>
  <c r="X49" i="15"/>
  <c r="W49" i="15" s="1"/>
  <c r="AH48" i="15"/>
  <c r="AF48" i="15"/>
  <c r="AE48" i="15" s="1"/>
  <c r="Z48" i="15"/>
  <c r="X48" i="15"/>
  <c r="W48" i="15" s="1"/>
  <c r="AH47" i="15"/>
  <c r="AF47" i="15"/>
  <c r="AE47" i="15" s="1"/>
  <c r="Z47" i="15"/>
  <c r="X47" i="15"/>
  <c r="W47" i="15" s="1"/>
  <c r="AH46" i="15"/>
  <c r="AF46" i="15"/>
  <c r="AE46" i="15" s="1"/>
  <c r="Z46" i="15"/>
  <c r="X46" i="15"/>
  <c r="W46" i="15" s="1"/>
  <c r="AH45" i="15"/>
  <c r="AF45" i="15"/>
  <c r="AE45" i="15" s="1"/>
  <c r="Z45" i="15"/>
  <c r="X45" i="15"/>
  <c r="W45" i="15" s="1"/>
  <c r="AH44" i="15"/>
  <c r="AF44" i="15"/>
  <c r="AE44" i="15" s="1"/>
  <c r="Z44" i="15"/>
  <c r="X44" i="15"/>
  <c r="W44" i="15" s="1"/>
  <c r="AH43" i="15"/>
  <c r="AF43" i="15"/>
  <c r="AE43" i="15" s="1"/>
  <c r="Z43" i="15"/>
  <c r="X43" i="15"/>
  <c r="W43" i="15" s="1"/>
  <c r="AH42" i="15"/>
  <c r="AF42" i="15"/>
  <c r="AE42" i="15" s="1"/>
  <c r="Z42" i="15"/>
  <c r="X42" i="15"/>
  <c r="W42" i="15" s="1"/>
  <c r="AH41" i="15"/>
  <c r="AF41" i="15"/>
  <c r="AE41" i="15" s="1"/>
  <c r="Z41" i="15"/>
  <c r="X41" i="15"/>
  <c r="W41" i="15" s="1"/>
  <c r="AH40" i="15"/>
  <c r="AF40" i="15"/>
  <c r="AE40" i="15" s="1"/>
  <c r="Z40" i="15"/>
  <c r="X40" i="15"/>
  <c r="W40" i="15" s="1"/>
  <c r="AH39" i="15"/>
  <c r="AF39" i="15"/>
  <c r="AE39" i="15" s="1"/>
  <c r="Z39" i="15"/>
  <c r="X39" i="15"/>
  <c r="W39" i="15" s="1"/>
  <c r="AH38" i="15"/>
  <c r="AF38" i="15"/>
  <c r="AE38" i="15" s="1"/>
  <c r="Z38" i="15"/>
  <c r="X38" i="15"/>
  <c r="W38" i="15" s="1"/>
  <c r="AH37" i="15"/>
  <c r="AF37" i="15"/>
  <c r="AE37" i="15" s="1"/>
  <c r="Z37" i="15"/>
  <c r="X37" i="15"/>
  <c r="W37" i="15" s="1"/>
  <c r="AH36" i="15"/>
  <c r="AF36" i="15"/>
  <c r="AE36" i="15" s="1"/>
  <c r="Z36" i="15"/>
  <c r="X36" i="15"/>
  <c r="W36" i="15" s="1"/>
  <c r="AH35" i="15"/>
  <c r="AF35" i="15"/>
  <c r="AE35" i="15" s="1"/>
  <c r="Z35" i="15"/>
  <c r="X35" i="15"/>
  <c r="W35" i="15" s="1"/>
  <c r="AH34" i="15"/>
  <c r="AF34" i="15"/>
  <c r="AE34" i="15" s="1"/>
  <c r="Z34" i="15"/>
  <c r="X34" i="15"/>
  <c r="W34" i="15" s="1"/>
  <c r="AH33" i="15"/>
  <c r="AF33" i="15"/>
  <c r="AE33" i="15" s="1"/>
  <c r="Z33" i="15"/>
  <c r="X33" i="15"/>
  <c r="W33" i="15" s="1"/>
  <c r="AH32" i="15"/>
  <c r="AF32" i="15"/>
  <c r="AE32" i="15" s="1"/>
  <c r="Z32" i="15"/>
  <c r="X32" i="15"/>
  <c r="W32" i="15" s="1"/>
  <c r="AH31" i="15"/>
  <c r="AF31" i="15"/>
  <c r="AE31" i="15" s="1"/>
  <c r="Z31" i="15"/>
  <c r="X31" i="15"/>
  <c r="W31" i="15" s="1"/>
  <c r="AH30" i="15"/>
  <c r="AF30" i="15"/>
  <c r="AE30" i="15" s="1"/>
  <c r="Z30" i="15"/>
  <c r="X30" i="15"/>
  <c r="W30" i="15" s="1"/>
  <c r="AH29" i="15"/>
  <c r="AF29" i="15"/>
  <c r="AE29" i="15" s="1"/>
  <c r="Z29" i="15"/>
  <c r="X29" i="15"/>
  <c r="W29" i="15" s="1"/>
  <c r="AH28" i="15"/>
  <c r="AF28" i="15"/>
  <c r="AE28" i="15" s="1"/>
  <c r="Z28" i="15"/>
  <c r="X28" i="15"/>
  <c r="W28" i="15" s="1"/>
  <c r="AH27" i="15"/>
  <c r="AF27" i="15"/>
  <c r="AE27" i="15" s="1"/>
  <c r="Z27" i="15"/>
  <c r="X27" i="15"/>
  <c r="W27" i="15" s="1"/>
  <c r="AH26" i="15"/>
  <c r="AF26" i="15"/>
  <c r="AE26" i="15" s="1"/>
  <c r="Z26" i="15"/>
  <c r="X26" i="15"/>
  <c r="W26" i="15" s="1"/>
  <c r="AH25" i="15"/>
  <c r="AF25" i="15"/>
  <c r="AE25" i="15" s="1"/>
  <c r="Z25" i="15"/>
  <c r="X25" i="15"/>
  <c r="W25" i="15" s="1"/>
  <c r="AH24" i="15"/>
  <c r="AF24" i="15"/>
  <c r="AE24" i="15" s="1"/>
  <c r="Z24" i="15"/>
  <c r="X24" i="15"/>
  <c r="W24" i="15" s="1"/>
  <c r="AH23" i="15"/>
  <c r="AF23" i="15"/>
  <c r="AE23" i="15" s="1"/>
  <c r="Z23" i="15"/>
  <c r="X23" i="15"/>
  <c r="W23" i="15" s="1"/>
  <c r="AH22" i="15"/>
  <c r="AF22" i="15"/>
  <c r="AE22" i="15" s="1"/>
  <c r="Z22" i="15"/>
  <c r="X22" i="15"/>
  <c r="W22" i="15" s="1"/>
  <c r="AH21" i="15"/>
  <c r="AF21" i="15"/>
  <c r="AE21" i="15" s="1"/>
  <c r="Z21" i="15"/>
  <c r="X21" i="15"/>
  <c r="W21" i="15" s="1"/>
  <c r="AH20" i="15"/>
  <c r="AF20" i="15"/>
  <c r="AE20" i="15" s="1"/>
  <c r="Z20" i="15"/>
  <c r="X20" i="15"/>
  <c r="W20" i="15" s="1"/>
  <c r="AH19" i="15"/>
  <c r="AF19" i="15"/>
  <c r="AE19" i="15" s="1"/>
  <c r="Z19" i="15"/>
  <c r="X19" i="15"/>
  <c r="W19" i="15" s="1"/>
  <c r="AH18" i="15"/>
  <c r="AF18" i="15"/>
  <c r="AE18" i="15" s="1"/>
  <c r="Z18" i="15"/>
  <c r="X18" i="15"/>
  <c r="W18" i="15" s="1"/>
  <c r="AH17" i="15"/>
  <c r="AF17" i="15"/>
  <c r="AE17" i="15" s="1"/>
  <c r="Z17" i="15"/>
  <c r="X17" i="15"/>
  <c r="W17" i="15" s="1"/>
  <c r="AH16" i="15"/>
  <c r="AF16" i="15"/>
  <c r="AE16" i="15" s="1"/>
  <c r="Z16" i="15"/>
  <c r="X16" i="15"/>
  <c r="W16" i="15" s="1"/>
  <c r="AH15" i="15"/>
  <c r="AF15" i="15"/>
  <c r="AE15" i="15" s="1"/>
  <c r="Z15" i="15"/>
  <c r="X15" i="15"/>
  <c r="W15" i="15" s="1"/>
  <c r="P15" i="15"/>
  <c r="P16" i="15" s="1"/>
  <c r="P17" i="15" s="1"/>
  <c r="P18" i="15" s="1"/>
  <c r="P19" i="15" s="1"/>
  <c r="P20" i="15" s="1"/>
  <c r="AH14" i="15"/>
  <c r="AF14" i="15"/>
  <c r="AE14" i="15" s="1"/>
  <c r="Z14" i="15"/>
  <c r="X14" i="15"/>
  <c r="W14" i="15" s="1"/>
  <c r="AC11" i="15"/>
  <c r="T3" i="15"/>
  <c r="P3" i="15"/>
  <c r="AH120" i="14"/>
  <c r="AF120" i="14"/>
  <c r="Z120" i="14"/>
  <c r="X120" i="14"/>
  <c r="W120" i="14" s="1"/>
  <c r="P120" i="14"/>
  <c r="AH119" i="14"/>
  <c r="AF119" i="14"/>
  <c r="Z119" i="14"/>
  <c r="X119" i="14"/>
  <c r="W119" i="14" s="1"/>
  <c r="P119" i="14"/>
  <c r="AH118" i="14"/>
  <c r="AF118" i="14"/>
  <c r="Z118" i="14"/>
  <c r="X118" i="14"/>
  <c r="W118" i="14" s="1"/>
  <c r="P118" i="14"/>
  <c r="AH117" i="14"/>
  <c r="AF117" i="14"/>
  <c r="Z117" i="14"/>
  <c r="X117" i="14"/>
  <c r="W117" i="14" s="1"/>
  <c r="P117" i="14"/>
  <c r="AH116" i="14"/>
  <c r="AF116" i="14"/>
  <c r="Z116" i="14"/>
  <c r="X116" i="14"/>
  <c r="W116" i="14" s="1"/>
  <c r="P116" i="14"/>
  <c r="AH115" i="14"/>
  <c r="AF115" i="14"/>
  <c r="Z115" i="14"/>
  <c r="X115" i="14"/>
  <c r="W115" i="14" s="1"/>
  <c r="P115" i="14"/>
  <c r="AH114" i="14"/>
  <c r="AF114" i="14"/>
  <c r="Z114" i="14"/>
  <c r="X114" i="14"/>
  <c r="W114" i="14"/>
  <c r="P114" i="14"/>
  <c r="AH113" i="14"/>
  <c r="AF113" i="14"/>
  <c r="Z113" i="14"/>
  <c r="X113" i="14"/>
  <c r="W113" i="14" s="1"/>
  <c r="P113" i="14"/>
  <c r="AH112" i="14"/>
  <c r="AF112" i="14"/>
  <c r="Z112" i="14"/>
  <c r="X112" i="14"/>
  <c r="W112" i="14" s="1"/>
  <c r="P112" i="14"/>
  <c r="AH111" i="14"/>
  <c r="AF111" i="14"/>
  <c r="Z111" i="14"/>
  <c r="X111" i="14"/>
  <c r="W111" i="14" s="1"/>
  <c r="P111" i="14"/>
  <c r="AH110" i="14"/>
  <c r="AF110" i="14"/>
  <c r="Z110" i="14"/>
  <c r="X110" i="14"/>
  <c r="W110" i="14" s="1"/>
  <c r="P110" i="14"/>
  <c r="AH109" i="14"/>
  <c r="AF109" i="14"/>
  <c r="Z109" i="14"/>
  <c r="X109" i="14"/>
  <c r="W109" i="14" s="1"/>
  <c r="P109" i="14"/>
  <c r="AH108" i="14"/>
  <c r="AF108" i="14"/>
  <c r="Z108" i="14"/>
  <c r="X108" i="14"/>
  <c r="W108" i="14" s="1"/>
  <c r="P108" i="14"/>
  <c r="AH107" i="14"/>
  <c r="AF107" i="14"/>
  <c r="Z107" i="14"/>
  <c r="X107" i="14"/>
  <c r="W107" i="14" s="1"/>
  <c r="P107" i="14"/>
  <c r="AH106" i="14"/>
  <c r="AF106" i="14"/>
  <c r="Z106" i="14"/>
  <c r="X106" i="14"/>
  <c r="W106" i="14" s="1"/>
  <c r="P106" i="14"/>
  <c r="AH105" i="14"/>
  <c r="AF105" i="14"/>
  <c r="Z105" i="14"/>
  <c r="X105" i="14"/>
  <c r="W105" i="14" s="1"/>
  <c r="P105" i="14"/>
  <c r="AH104" i="14"/>
  <c r="AF104" i="14"/>
  <c r="Z104" i="14"/>
  <c r="X104" i="14"/>
  <c r="W104" i="14" s="1"/>
  <c r="P104" i="14"/>
  <c r="AH103" i="14"/>
  <c r="AF103" i="14"/>
  <c r="Z103" i="14"/>
  <c r="X103" i="14"/>
  <c r="W103" i="14" s="1"/>
  <c r="P103" i="14"/>
  <c r="AH102" i="14"/>
  <c r="AF102" i="14"/>
  <c r="Z102" i="14"/>
  <c r="X102" i="14"/>
  <c r="W102" i="14" s="1"/>
  <c r="P102" i="14"/>
  <c r="AH101" i="14"/>
  <c r="AF101" i="14"/>
  <c r="Z101" i="14"/>
  <c r="X101" i="14"/>
  <c r="W101" i="14" s="1"/>
  <c r="P101" i="14"/>
  <c r="AH100" i="14"/>
  <c r="AF100" i="14"/>
  <c r="Z100" i="14"/>
  <c r="X100" i="14"/>
  <c r="W100" i="14" s="1"/>
  <c r="P100" i="14"/>
  <c r="AH99" i="14"/>
  <c r="AF99" i="14"/>
  <c r="Z99" i="14"/>
  <c r="X99" i="14"/>
  <c r="W99" i="14" s="1"/>
  <c r="P99" i="14"/>
  <c r="AH98" i="14"/>
  <c r="AF98" i="14"/>
  <c r="Z98" i="14"/>
  <c r="X98" i="14"/>
  <c r="W98" i="14" s="1"/>
  <c r="P98" i="14"/>
  <c r="AH97" i="14"/>
  <c r="AF97" i="14"/>
  <c r="Z97" i="14"/>
  <c r="X97" i="14"/>
  <c r="W97" i="14" s="1"/>
  <c r="P97" i="14"/>
  <c r="AH96" i="14"/>
  <c r="AF96" i="14"/>
  <c r="Z96" i="14"/>
  <c r="X96" i="14"/>
  <c r="W96" i="14" s="1"/>
  <c r="P96" i="14"/>
  <c r="AH95" i="14"/>
  <c r="AF95" i="14"/>
  <c r="Z95" i="14"/>
  <c r="X95" i="14"/>
  <c r="W95" i="14" s="1"/>
  <c r="P95" i="14"/>
  <c r="AH94" i="14"/>
  <c r="AF94" i="14"/>
  <c r="Z94" i="14"/>
  <c r="X94" i="14"/>
  <c r="W94" i="14" s="1"/>
  <c r="P94" i="14"/>
  <c r="AH93" i="14"/>
  <c r="AF93" i="14"/>
  <c r="Z93" i="14"/>
  <c r="X93" i="14"/>
  <c r="W93" i="14" s="1"/>
  <c r="P93" i="14"/>
  <c r="AH92" i="14"/>
  <c r="AF92" i="14"/>
  <c r="Z92" i="14"/>
  <c r="X92" i="14"/>
  <c r="W92" i="14" s="1"/>
  <c r="P92" i="14"/>
  <c r="AH91" i="14"/>
  <c r="AF91" i="14"/>
  <c r="Z91" i="14"/>
  <c r="X91" i="14"/>
  <c r="W91" i="14" s="1"/>
  <c r="P91" i="14"/>
  <c r="AH90" i="14"/>
  <c r="AF90" i="14"/>
  <c r="Z90" i="14"/>
  <c r="X90" i="14"/>
  <c r="W90" i="14" s="1"/>
  <c r="P90" i="14"/>
  <c r="AH89" i="14"/>
  <c r="AF89" i="14"/>
  <c r="Z89" i="14"/>
  <c r="X89" i="14"/>
  <c r="W89" i="14" s="1"/>
  <c r="P89" i="14"/>
  <c r="AH88" i="14"/>
  <c r="AF88" i="14"/>
  <c r="Z88" i="14"/>
  <c r="X88" i="14"/>
  <c r="W88" i="14"/>
  <c r="P88" i="14"/>
  <c r="AH87" i="14"/>
  <c r="AF87" i="14"/>
  <c r="Z87" i="14"/>
  <c r="X87" i="14"/>
  <c r="W87" i="14" s="1"/>
  <c r="P87" i="14"/>
  <c r="AH86" i="14"/>
  <c r="AF86" i="14"/>
  <c r="Z86" i="14"/>
  <c r="X86" i="14"/>
  <c r="W86" i="14" s="1"/>
  <c r="P86" i="14"/>
  <c r="AH85" i="14"/>
  <c r="AF85" i="14"/>
  <c r="Z85" i="14"/>
  <c r="X85" i="14"/>
  <c r="W85" i="14" s="1"/>
  <c r="P85" i="14"/>
  <c r="AH84" i="14"/>
  <c r="AF84" i="14"/>
  <c r="Z84" i="14"/>
  <c r="X84" i="14"/>
  <c r="W84" i="14" s="1"/>
  <c r="P84" i="14"/>
  <c r="AH83" i="14"/>
  <c r="AF83" i="14"/>
  <c r="Z83" i="14"/>
  <c r="X83" i="14"/>
  <c r="W83" i="14" s="1"/>
  <c r="P83" i="14"/>
  <c r="AH82" i="14"/>
  <c r="AF82" i="14"/>
  <c r="Z82" i="14"/>
  <c r="X82" i="14"/>
  <c r="W82" i="14" s="1"/>
  <c r="P82" i="14"/>
  <c r="AH81" i="14"/>
  <c r="AF81" i="14"/>
  <c r="Z81" i="14"/>
  <c r="X81" i="14"/>
  <c r="W81" i="14" s="1"/>
  <c r="P81" i="14"/>
  <c r="AH80" i="14"/>
  <c r="AF80" i="14"/>
  <c r="Z80" i="14"/>
  <c r="X80" i="14"/>
  <c r="W80" i="14" s="1"/>
  <c r="P80" i="14"/>
  <c r="AH79" i="14"/>
  <c r="AF79" i="14"/>
  <c r="Z79" i="14"/>
  <c r="X79" i="14"/>
  <c r="W79" i="14" s="1"/>
  <c r="P79" i="14"/>
  <c r="AH78" i="14"/>
  <c r="AF78" i="14"/>
  <c r="Z78" i="14"/>
  <c r="X78" i="14"/>
  <c r="W78" i="14" s="1"/>
  <c r="P78" i="14"/>
  <c r="AH77" i="14"/>
  <c r="AF77" i="14"/>
  <c r="Z77" i="14"/>
  <c r="X77" i="14"/>
  <c r="W77" i="14" s="1"/>
  <c r="P77" i="14"/>
  <c r="AH76" i="14"/>
  <c r="AF76" i="14"/>
  <c r="Z76" i="14"/>
  <c r="X76" i="14"/>
  <c r="W76" i="14" s="1"/>
  <c r="P76" i="14"/>
  <c r="AH75" i="14"/>
  <c r="AF75" i="14"/>
  <c r="Z75" i="14"/>
  <c r="X75" i="14"/>
  <c r="W75" i="14" s="1"/>
  <c r="P75" i="14"/>
  <c r="AH74" i="14"/>
  <c r="AF74" i="14"/>
  <c r="Z74" i="14"/>
  <c r="X74" i="14"/>
  <c r="W74" i="14" s="1"/>
  <c r="P74" i="14"/>
  <c r="AH73" i="14"/>
  <c r="AF73" i="14"/>
  <c r="Z73" i="14"/>
  <c r="X73" i="14"/>
  <c r="W73" i="14" s="1"/>
  <c r="P73" i="14"/>
  <c r="AH72" i="14"/>
  <c r="AF72" i="14"/>
  <c r="Z72" i="14"/>
  <c r="X72" i="14"/>
  <c r="W72" i="14" s="1"/>
  <c r="P72" i="14"/>
  <c r="AH71" i="14"/>
  <c r="AF71" i="14"/>
  <c r="Z71" i="14"/>
  <c r="X71" i="14"/>
  <c r="W71" i="14" s="1"/>
  <c r="P71" i="14"/>
  <c r="AH70" i="14"/>
  <c r="AF70" i="14"/>
  <c r="Z70" i="14"/>
  <c r="X70" i="14"/>
  <c r="W70" i="14" s="1"/>
  <c r="P70" i="14"/>
  <c r="AH69" i="14"/>
  <c r="AF69" i="14"/>
  <c r="Z69" i="14"/>
  <c r="X69" i="14"/>
  <c r="W69" i="14" s="1"/>
  <c r="P69" i="14"/>
  <c r="AH68" i="14"/>
  <c r="AF68" i="14"/>
  <c r="Z68" i="14"/>
  <c r="X68" i="14"/>
  <c r="W68" i="14" s="1"/>
  <c r="P68" i="14"/>
  <c r="AH67" i="14"/>
  <c r="AF67" i="14"/>
  <c r="Z67" i="14"/>
  <c r="X67" i="14"/>
  <c r="W67" i="14" s="1"/>
  <c r="P67" i="14"/>
  <c r="AH66" i="14"/>
  <c r="AF66" i="14"/>
  <c r="Z66" i="14"/>
  <c r="X66" i="14"/>
  <c r="W66" i="14" s="1"/>
  <c r="P66" i="14"/>
  <c r="AH65" i="14"/>
  <c r="AF65" i="14"/>
  <c r="Z65" i="14"/>
  <c r="X65" i="14"/>
  <c r="W65" i="14" s="1"/>
  <c r="P65" i="14"/>
  <c r="AH64" i="14"/>
  <c r="AF64" i="14"/>
  <c r="Z64" i="14"/>
  <c r="X64" i="14"/>
  <c r="W64" i="14" s="1"/>
  <c r="P64" i="14"/>
  <c r="AH63" i="14"/>
  <c r="AF63" i="14"/>
  <c r="Z63" i="14"/>
  <c r="X63" i="14"/>
  <c r="W63" i="14" s="1"/>
  <c r="P63" i="14"/>
  <c r="AH62" i="14"/>
  <c r="AF62" i="14"/>
  <c r="Z62" i="14"/>
  <c r="X62" i="14"/>
  <c r="W62" i="14" s="1"/>
  <c r="P62" i="14"/>
  <c r="AH61" i="14"/>
  <c r="AF61" i="14"/>
  <c r="Z61" i="14"/>
  <c r="X61" i="14"/>
  <c r="W61" i="14" s="1"/>
  <c r="P61" i="14"/>
  <c r="AH60" i="14"/>
  <c r="AF60" i="14"/>
  <c r="AE60" i="14" s="1"/>
  <c r="Z60" i="14"/>
  <c r="X60" i="14"/>
  <c r="W60" i="14" s="1"/>
  <c r="P60" i="14"/>
  <c r="AH59" i="14"/>
  <c r="AF59" i="14"/>
  <c r="AE59" i="14" s="1"/>
  <c r="Z59" i="14"/>
  <c r="X59" i="14"/>
  <c r="W59" i="14" s="1"/>
  <c r="P59" i="14"/>
  <c r="AH58" i="14"/>
  <c r="AF58" i="14"/>
  <c r="AE58" i="14" s="1"/>
  <c r="Z58" i="14"/>
  <c r="X58" i="14"/>
  <c r="W58" i="14" s="1"/>
  <c r="P58" i="14"/>
  <c r="AH57" i="14"/>
  <c r="AF57" i="14"/>
  <c r="AE57" i="14" s="1"/>
  <c r="Z57" i="14"/>
  <c r="X57" i="14"/>
  <c r="W57" i="14" s="1"/>
  <c r="P57" i="14"/>
  <c r="AH56" i="14"/>
  <c r="AF56" i="14"/>
  <c r="AE56" i="14" s="1"/>
  <c r="Z56" i="14"/>
  <c r="X56" i="14"/>
  <c r="W56" i="14" s="1"/>
  <c r="P56" i="14"/>
  <c r="AH55" i="14"/>
  <c r="AF55" i="14"/>
  <c r="AE55" i="14" s="1"/>
  <c r="Z55" i="14"/>
  <c r="X55" i="14"/>
  <c r="W55" i="14" s="1"/>
  <c r="P55" i="14"/>
  <c r="AH54" i="14"/>
  <c r="AF54" i="14"/>
  <c r="AE54" i="14" s="1"/>
  <c r="Z54" i="14"/>
  <c r="X54" i="14"/>
  <c r="W54" i="14" s="1"/>
  <c r="AH53" i="14"/>
  <c r="AF53" i="14"/>
  <c r="AE53" i="14" s="1"/>
  <c r="Z53" i="14"/>
  <c r="X53" i="14"/>
  <c r="W53" i="14" s="1"/>
  <c r="AH52" i="14"/>
  <c r="AF52" i="14"/>
  <c r="AE52" i="14" s="1"/>
  <c r="Z52" i="14"/>
  <c r="X52" i="14"/>
  <c r="W52" i="14" s="1"/>
  <c r="AH51" i="14"/>
  <c r="AF51" i="14"/>
  <c r="AE51" i="14" s="1"/>
  <c r="Z51" i="14"/>
  <c r="X51" i="14"/>
  <c r="W51" i="14" s="1"/>
  <c r="AH50" i="14"/>
  <c r="AF50" i="14"/>
  <c r="AE50" i="14" s="1"/>
  <c r="Z50" i="14"/>
  <c r="X50" i="14"/>
  <c r="W50" i="14" s="1"/>
  <c r="AH49" i="14"/>
  <c r="AF49" i="14"/>
  <c r="AE49" i="14" s="1"/>
  <c r="Z49" i="14"/>
  <c r="X49" i="14"/>
  <c r="W49" i="14" s="1"/>
  <c r="AH48" i="14"/>
  <c r="AF48" i="14"/>
  <c r="AE48" i="14" s="1"/>
  <c r="Z48" i="14"/>
  <c r="X48" i="14"/>
  <c r="W48" i="14" s="1"/>
  <c r="AH47" i="14"/>
  <c r="AF47" i="14"/>
  <c r="AE47" i="14" s="1"/>
  <c r="Z47" i="14"/>
  <c r="X47" i="14"/>
  <c r="W47" i="14" s="1"/>
  <c r="AH46" i="14"/>
  <c r="AF46" i="14"/>
  <c r="AE46" i="14" s="1"/>
  <c r="Z46" i="14"/>
  <c r="X46" i="14"/>
  <c r="W46" i="14" s="1"/>
  <c r="AH45" i="14"/>
  <c r="AF45" i="14"/>
  <c r="AE45" i="14" s="1"/>
  <c r="Z45" i="14"/>
  <c r="X45" i="14"/>
  <c r="W45" i="14" s="1"/>
  <c r="AH44" i="14"/>
  <c r="AF44" i="14"/>
  <c r="AE44" i="14" s="1"/>
  <c r="Z44" i="14"/>
  <c r="X44" i="14"/>
  <c r="W44" i="14" s="1"/>
  <c r="AH43" i="14"/>
  <c r="AF43" i="14"/>
  <c r="AE43" i="14" s="1"/>
  <c r="Z43" i="14"/>
  <c r="X43" i="14"/>
  <c r="W43" i="14" s="1"/>
  <c r="AH42" i="14"/>
  <c r="AF42" i="14"/>
  <c r="AE42" i="14" s="1"/>
  <c r="Z42" i="14"/>
  <c r="X42" i="14"/>
  <c r="W42" i="14" s="1"/>
  <c r="AH41" i="14"/>
  <c r="AF41" i="14"/>
  <c r="AE41" i="14" s="1"/>
  <c r="Z41" i="14"/>
  <c r="X41" i="14"/>
  <c r="W41" i="14" s="1"/>
  <c r="AH40" i="14"/>
  <c r="AF40" i="14"/>
  <c r="AE40" i="14" s="1"/>
  <c r="Z40" i="14"/>
  <c r="X40" i="14"/>
  <c r="W40" i="14" s="1"/>
  <c r="AH39" i="14"/>
  <c r="AF39" i="14"/>
  <c r="AE39" i="14" s="1"/>
  <c r="Z39" i="14"/>
  <c r="X39" i="14"/>
  <c r="W39" i="14" s="1"/>
  <c r="AH38" i="14"/>
  <c r="AF38" i="14"/>
  <c r="AE38" i="14" s="1"/>
  <c r="Z38" i="14"/>
  <c r="X38" i="14"/>
  <c r="W38" i="14" s="1"/>
  <c r="AH37" i="14"/>
  <c r="AF37" i="14"/>
  <c r="AE37" i="14" s="1"/>
  <c r="Z37" i="14"/>
  <c r="X37" i="14"/>
  <c r="W37" i="14" s="1"/>
  <c r="AH36" i="14"/>
  <c r="AF36" i="14"/>
  <c r="AE36" i="14" s="1"/>
  <c r="Z36" i="14"/>
  <c r="X36" i="14"/>
  <c r="W36" i="14" s="1"/>
  <c r="AH35" i="14"/>
  <c r="AF35" i="14"/>
  <c r="AE35" i="14" s="1"/>
  <c r="Z35" i="14"/>
  <c r="X35" i="14"/>
  <c r="W35" i="14" s="1"/>
  <c r="AH34" i="14"/>
  <c r="AF34" i="14"/>
  <c r="AE34" i="14" s="1"/>
  <c r="Z34" i="14"/>
  <c r="X34" i="14"/>
  <c r="W34" i="14" s="1"/>
  <c r="AH33" i="14"/>
  <c r="AF33" i="14"/>
  <c r="AE33" i="14" s="1"/>
  <c r="Z33" i="14"/>
  <c r="X33" i="14"/>
  <c r="W33" i="14" s="1"/>
  <c r="AH32" i="14"/>
  <c r="AF32" i="14"/>
  <c r="AE32" i="14" s="1"/>
  <c r="Z32" i="14"/>
  <c r="X32" i="14"/>
  <c r="W32" i="14" s="1"/>
  <c r="AH31" i="14"/>
  <c r="AF31" i="14"/>
  <c r="AE31" i="14" s="1"/>
  <c r="Z31" i="14"/>
  <c r="X31" i="14"/>
  <c r="W31" i="14" s="1"/>
  <c r="AH30" i="14"/>
  <c r="AF30" i="14"/>
  <c r="AE30" i="14" s="1"/>
  <c r="Z30" i="14"/>
  <c r="X30" i="14"/>
  <c r="W30" i="14" s="1"/>
  <c r="AH29" i="14"/>
  <c r="AF29" i="14"/>
  <c r="AE29" i="14" s="1"/>
  <c r="Z29" i="14"/>
  <c r="X29" i="14"/>
  <c r="W29" i="14" s="1"/>
  <c r="AH28" i="14"/>
  <c r="AF28" i="14"/>
  <c r="AE28" i="14" s="1"/>
  <c r="Z28" i="14"/>
  <c r="X28" i="14"/>
  <c r="W28" i="14" s="1"/>
  <c r="AH27" i="14"/>
  <c r="AF27" i="14"/>
  <c r="AE27" i="14" s="1"/>
  <c r="Z27" i="14"/>
  <c r="X27" i="14"/>
  <c r="W27" i="14" s="1"/>
  <c r="AH26" i="14"/>
  <c r="AF26" i="14"/>
  <c r="AE26" i="14" s="1"/>
  <c r="Z26" i="14"/>
  <c r="X26" i="14"/>
  <c r="W26" i="14" s="1"/>
  <c r="AH25" i="14"/>
  <c r="AF25" i="14"/>
  <c r="AE25" i="14" s="1"/>
  <c r="Z25" i="14"/>
  <c r="X25" i="14"/>
  <c r="W25" i="14" s="1"/>
  <c r="AH24" i="14"/>
  <c r="AF24" i="14"/>
  <c r="AE24" i="14" s="1"/>
  <c r="Z24" i="14"/>
  <c r="X24" i="14"/>
  <c r="W24" i="14" s="1"/>
  <c r="AH23" i="14"/>
  <c r="AF23" i="14"/>
  <c r="AE23" i="14" s="1"/>
  <c r="Z23" i="14"/>
  <c r="X23" i="14"/>
  <c r="W23" i="14" s="1"/>
  <c r="AH22" i="14"/>
  <c r="AF22" i="14"/>
  <c r="AE22" i="14" s="1"/>
  <c r="Z22" i="14"/>
  <c r="X22" i="14"/>
  <c r="W22" i="14" s="1"/>
  <c r="AH21" i="14"/>
  <c r="AF21" i="14"/>
  <c r="AE21" i="14" s="1"/>
  <c r="Z21" i="14"/>
  <c r="X21" i="14"/>
  <c r="W21" i="14" s="1"/>
  <c r="AH20" i="14"/>
  <c r="AF20" i="14"/>
  <c r="AE20" i="14" s="1"/>
  <c r="Z20" i="14"/>
  <c r="X20" i="14"/>
  <c r="W20" i="14" s="1"/>
  <c r="AH19" i="14"/>
  <c r="AF19" i="14"/>
  <c r="AE19" i="14" s="1"/>
  <c r="Z19" i="14"/>
  <c r="X19" i="14"/>
  <c r="W19" i="14" s="1"/>
  <c r="AH18" i="14"/>
  <c r="AF18" i="14"/>
  <c r="AE18" i="14" s="1"/>
  <c r="Z18" i="14"/>
  <c r="X18" i="14"/>
  <c r="W18" i="14" s="1"/>
  <c r="AH17" i="14"/>
  <c r="AF17" i="14"/>
  <c r="AE17" i="14" s="1"/>
  <c r="Z17" i="14"/>
  <c r="X17" i="14"/>
  <c r="W17" i="14" s="1"/>
  <c r="AH16" i="14"/>
  <c r="AF16" i="14"/>
  <c r="AE16" i="14" s="1"/>
  <c r="Z16" i="14"/>
  <c r="X16" i="14"/>
  <c r="W16" i="14" s="1"/>
  <c r="AH15" i="14"/>
  <c r="AF15" i="14"/>
  <c r="AE15" i="14" s="1"/>
  <c r="Z15" i="14"/>
  <c r="X15" i="14"/>
  <c r="W15" i="14" s="1"/>
  <c r="P15" i="14"/>
  <c r="P16" i="14" s="1"/>
  <c r="AH14" i="14"/>
  <c r="AF14" i="14"/>
  <c r="AE14" i="14" s="1"/>
  <c r="Z14" i="14"/>
  <c r="X14" i="14"/>
  <c r="W14" i="14" s="1"/>
  <c r="AC11" i="14"/>
  <c r="AB11" i="14" s="1"/>
  <c r="T3" i="14"/>
  <c r="P3" i="14"/>
  <c r="AH120" i="13"/>
  <c r="AF120" i="13"/>
  <c r="Z120" i="13"/>
  <c r="X120" i="13"/>
  <c r="W120" i="13" s="1"/>
  <c r="P120" i="13"/>
  <c r="AH119" i="13"/>
  <c r="AF119" i="13"/>
  <c r="Z119" i="13"/>
  <c r="X119" i="13"/>
  <c r="W119" i="13" s="1"/>
  <c r="P119" i="13"/>
  <c r="AH118" i="13"/>
  <c r="AF118" i="13"/>
  <c r="Z118" i="13"/>
  <c r="X118" i="13"/>
  <c r="W118" i="13" s="1"/>
  <c r="P118" i="13"/>
  <c r="AH117" i="13"/>
  <c r="AF117" i="13"/>
  <c r="Z117" i="13"/>
  <c r="X117" i="13"/>
  <c r="W117" i="13" s="1"/>
  <c r="P117" i="13"/>
  <c r="AH116" i="13"/>
  <c r="AF116" i="13"/>
  <c r="Z116" i="13"/>
  <c r="X116" i="13"/>
  <c r="W116" i="13" s="1"/>
  <c r="P116" i="13"/>
  <c r="AH115" i="13"/>
  <c r="AF115" i="13"/>
  <c r="Z115" i="13"/>
  <c r="X115" i="13"/>
  <c r="W115" i="13" s="1"/>
  <c r="P115" i="13"/>
  <c r="AH114" i="13"/>
  <c r="AF114" i="13"/>
  <c r="Z114" i="13"/>
  <c r="X114" i="13"/>
  <c r="W114" i="13" s="1"/>
  <c r="P114" i="13"/>
  <c r="AH113" i="13"/>
  <c r="AF113" i="13"/>
  <c r="Z113" i="13"/>
  <c r="X113" i="13"/>
  <c r="W113" i="13" s="1"/>
  <c r="P113" i="13"/>
  <c r="AH112" i="13"/>
  <c r="AF112" i="13"/>
  <c r="Z112" i="13"/>
  <c r="X112" i="13"/>
  <c r="W112" i="13" s="1"/>
  <c r="P112" i="13"/>
  <c r="AH111" i="13"/>
  <c r="AF111" i="13"/>
  <c r="Z111" i="13"/>
  <c r="X111" i="13"/>
  <c r="W111" i="13" s="1"/>
  <c r="P111" i="13"/>
  <c r="AH110" i="13"/>
  <c r="AF110" i="13"/>
  <c r="Z110" i="13"/>
  <c r="X110" i="13"/>
  <c r="W110" i="13" s="1"/>
  <c r="P110" i="13"/>
  <c r="AH109" i="13"/>
  <c r="AF109" i="13"/>
  <c r="Z109" i="13"/>
  <c r="X109" i="13"/>
  <c r="W109" i="13" s="1"/>
  <c r="P109" i="13"/>
  <c r="AH108" i="13"/>
  <c r="AF108" i="13"/>
  <c r="Z108" i="13"/>
  <c r="X108" i="13"/>
  <c r="W108" i="13" s="1"/>
  <c r="P108" i="13"/>
  <c r="AH107" i="13"/>
  <c r="AF107" i="13"/>
  <c r="Z107" i="13"/>
  <c r="X107" i="13"/>
  <c r="W107" i="13" s="1"/>
  <c r="P107" i="13"/>
  <c r="AH106" i="13"/>
  <c r="AF106" i="13"/>
  <c r="Z106" i="13"/>
  <c r="X106" i="13"/>
  <c r="W106" i="13"/>
  <c r="P106" i="13"/>
  <c r="AH105" i="13"/>
  <c r="AF105" i="13"/>
  <c r="Z105" i="13"/>
  <c r="X105" i="13"/>
  <c r="W105" i="13" s="1"/>
  <c r="P105" i="13"/>
  <c r="AH104" i="13"/>
  <c r="AF104" i="13"/>
  <c r="Z104" i="13"/>
  <c r="X104" i="13"/>
  <c r="W104" i="13" s="1"/>
  <c r="P104" i="13"/>
  <c r="AH103" i="13"/>
  <c r="AF103" i="13"/>
  <c r="Z103" i="13"/>
  <c r="X103" i="13"/>
  <c r="W103" i="13" s="1"/>
  <c r="P103" i="13"/>
  <c r="AH102" i="13"/>
  <c r="AF102" i="13"/>
  <c r="Z102" i="13"/>
  <c r="X102" i="13"/>
  <c r="W102" i="13" s="1"/>
  <c r="P102" i="13"/>
  <c r="AH101" i="13"/>
  <c r="AF101" i="13"/>
  <c r="Z101" i="13"/>
  <c r="X101" i="13"/>
  <c r="W101" i="13" s="1"/>
  <c r="P101" i="13"/>
  <c r="AH100" i="13"/>
  <c r="AF100" i="13"/>
  <c r="Z100" i="13"/>
  <c r="X100" i="13"/>
  <c r="W100" i="13" s="1"/>
  <c r="P100" i="13"/>
  <c r="AH99" i="13"/>
  <c r="AF99" i="13"/>
  <c r="Z99" i="13"/>
  <c r="X99" i="13"/>
  <c r="W99" i="13" s="1"/>
  <c r="P99" i="13"/>
  <c r="AH98" i="13"/>
  <c r="AF98" i="13"/>
  <c r="Z98" i="13"/>
  <c r="X98" i="13"/>
  <c r="W98" i="13" s="1"/>
  <c r="P98" i="13"/>
  <c r="AH97" i="13"/>
  <c r="AF97" i="13"/>
  <c r="Z97" i="13"/>
  <c r="X97" i="13"/>
  <c r="W97" i="13" s="1"/>
  <c r="P97" i="13"/>
  <c r="AH96" i="13"/>
  <c r="AF96" i="13"/>
  <c r="Z96" i="13"/>
  <c r="X96" i="13"/>
  <c r="W96" i="13" s="1"/>
  <c r="P96" i="13"/>
  <c r="AH95" i="13"/>
  <c r="AF95" i="13"/>
  <c r="Z95" i="13"/>
  <c r="X95" i="13"/>
  <c r="W95" i="13" s="1"/>
  <c r="P95" i="13"/>
  <c r="AH94" i="13"/>
  <c r="AF94" i="13"/>
  <c r="Z94" i="13"/>
  <c r="X94" i="13"/>
  <c r="W94" i="13" s="1"/>
  <c r="P94" i="13"/>
  <c r="AH93" i="13"/>
  <c r="AF93" i="13"/>
  <c r="Z93" i="13"/>
  <c r="X93" i="13"/>
  <c r="W93" i="13" s="1"/>
  <c r="P93" i="13"/>
  <c r="AH92" i="13"/>
  <c r="AF92" i="13"/>
  <c r="Z92" i="13"/>
  <c r="X92" i="13"/>
  <c r="W92" i="13" s="1"/>
  <c r="P92" i="13"/>
  <c r="AH91" i="13"/>
  <c r="AF91" i="13"/>
  <c r="Z91" i="13"/>
  <c r="X91" i="13"/>
  <c r="W91" i="13" s="1"/>
  <c r="P91" i="13"/>
  <c r="AH90" i="13"/>
  <c r="AF90" i="13"/>
  <c r="Z90" i="13"/>
  <c r="X90" i="13"/>
  <c r="W90" i="13" s="1"/>
  <c r="P90" i="13"/>
  <c r="AH89" i="13"/>
  <c r="AF89" i="13"/>
  <c r="Z89" i="13"/>
  <c r="X89" i="13"/>
  <c r="W89" i="13" s="1"/>
  <c r="P89" i="13"/>
  <c r="AH88" i="13"/>
  <c r="AF88" i="13"/>
  <c r="Z88" i="13"/>
  <c r="X88" i="13"/>
  <c r="W88" i="13" s="1"/>
  <c r="P88" i="13"/>
  <c r="AH87" i="13"/>
  <c r="AF87" i="13"/>
  <c r="Z87" i="13"/>
  <c r="X87" i="13"/>
  <c r="W87" i="13" s="1"/>
  <c r="P87" i="13"/>
  <c r="AH86" i="13"/>
  <c r="AF86" i="13"/>
  <c r="Z86" i="13"/>
  <c r="X86" i="13"/>
  <c r="W86" i="13" s="1"/>
  <c r="P86" i="13"/>
  <c r="AH85" i="13"/>
  <c r="AF85" i="13"/>
  <c r="Z85" i="13"/>
  <c r="X85" i="13"/>
  <c r="W85" i="13" s="1"/>
  <c r="P85" i="13"/>
  <c r="AH84" i="13"/>
  <c r="AF84" i="13"/>
  <c r="Z84" i="13"/>
  <c r="X84" i="13"/>
  <c r="W84" i="13" s="1"/>
  <c r="P84" i="13"/>
  <c r="AH83" i="13"/>
  <c r="AF83" i="13"/>
  <c r="Z83" i="13"/>
  <c r="X83" i="13"/>
  <c r="W83" i="13" s="1"/>
  <c r="P83" i="13"/>
  <c r="AH82" i="13"/>
  <c r="AF82" i="13"/>
  <c r="Z82" i="13"/>
  <c r="X82" i="13"/>
  <c r="W82" i="13" s="1"/>
  <c r="P82" i="13"/>
  <c r="AH81" i="13"/>
  <c r="AF81" i="13"/>
  <c r="Z81" i="13"/>
  <c r="X81" i="13"/>
  <c r="W81" i="13" s="1"/>
  <c r="P81" i="13"/>
  <c r="AH80" i="13"/>
  <c r="AF80" i="13"/>
  <c r="Z80" i="13"/>
  <c r="X80" i="13"/>
  <c r="W80" i="13" s="1"/>
  <c r="P80" i="13"/>
  <c r="AH79" i="13"/>
  <c r="AF79" i="13"/>
  <c r="Z79" i="13"/>
  <c r="X79" i="13"/>
  <c r="W79" i="13" s="1"/>
  <c r="P79" i="13"/>
  <c r="AH78" i="13"/>
  <c r="AF78" i="13"/>
  <c r="Z78" i="13"/>
  <c r="X78" i="13"/>
  <c r="W78" i="13" s="1"/>
  <c r="P78" i="13"/>
  <c r="AH77" i="13"/>
  <c r="AF77" i="13"/>
  <c r="Z77" i="13"/>
  <c r="X77" i="13"/>
  <c r="W77" i="13" s="1"/>
  <c r="P77" i="13"/>
  <c r="AH76" i="13"/>
  <c r="AF76" i="13"/>
  <c r="Z76" i="13"/>
  <c r="X76" i="13"/>
  <c r="W76" i="13" s="1"/>
  <c r="P76" i="13"/>
  <c r="AH75" i="13"/>
  <c r="AF75" i="13"/>
  <c r="Z75" i="13"/>
  <c r="X75" i="13"/>
  <c r="W75" i="13" s="1"/>
  <c r="P75" i="13"/>
  <c r="AH74" i="13"/>
  <c r="AF74" i="13"/>
  <c r="Z74" i="13"/>
  <c r="X74" i="13"/>
  <c r="W74" i="13" s="1"/>
  <c r="P74" i="13"/>
  <c r="AH73" i="13"/>
  <c r="AF73" i="13"/>
  <c r="Z73" i="13"/>
  <c r="X73" i="13"/>
  <c r="W73" i="13" s="1"/>
  <c r="P73" i="13"/>
  <c r="AH72" i="13"/>
  <c r="AF72" i="13"/>
  <c r="Z72" i="13"/>
  <c r="X72" i="13"/>
  <c r="W72" i="13" s="1"/>
  <c r="P72" i="13"/>
  <c r="AH71" i="13"/>
  <c r="AF71" i="13"/>
  <c r="Z71" i="13"/>
  <c r="X71" i="13"/>
  <c r="W71" i="13" s="1"/>
  <c r="P71" i="13"/>
  <c r="AH70" i="13"/>
  <c r="AF70" i="13"/>
  <c r="Z70" i="13"/>
  <c r="X70" i="13"/>
  <c r="W70" i="13" s="1"/>
  <c r="P70" i="13"/>
  <c r="AH69" i="13"/>
  <c r="AF69" i="13"/>
  <c r="Z69" i="13"/>
  <c r="X69" i="13"/>
  <c r="W69" i="13" s="1"/>
  <c r="P69" i="13"/>
  <c r="AH68" i="13"/>
  <c r="AF68" i="13"/>
  <c r="Z68" i="13"/>
  <c r="X68" i="13"/>
  <c r="W68" i="13" s="1"/>
  <c r="P68" i="13"/>
  <c r="AH67" i="13"/>
  <c r="AF67" i="13"/>
  <c r="Z67" i="13"/>
  <c r="X67" i="13"/>
  <c r="W67" i="13" s="1"/>
  <c r="P67" i="13"/>
  <c r="AH66" i="13"/>
  <c r="AF66" i="13"/>
  <c r="Z66" i="13"/>
  <c r="X66" i="13"/>
  <c r="W66" i="13" s="1"/>
  <c r="P66" i="13"/>
  <c r="AH65" i="13"/>
  <c r="AF65" i="13"/>
  <c r="Z65" i="13"/>
  <c r="X65" i="13"/>
  <c r="W65" i="13" s="1"/>
  <c r="P65" i="13"/>
  <c r="AH64" i="13"/>
  <c r="AF64" i="13"/>
  <c r="Z64" i="13"/>
  <c r="X64" i="13"/>
  <c r="W64" i="13" s="1"/>
  <c r="P64" i="13"/>
  <c r="AH63" i="13"/>
  <c r="AF63" i="13"/>
  <c r="Z63" i="13"/>
  <c r="X63" i="13"/>
  <c r="W63" i="13" s="1"/>
  <c r="P63" i="13"/>
  <c r="AH62" i="13"/>
  <c r="AF62" i="13"/>
  <c r="Z62" i="13"/>
  <c r="X62" i="13"/>
  <c r="W62" i="13" s="1"/>
  <c r="P62" i="13"/>
  <c r="AH61" i="13"/>
  <c r="AF61" i="13"/>
  <c r="Z61" i="13"/>
  <c r="X61" i="13"/>
  <c r="W61" i="13" s="1"/>
  <c r="P61" i="13"/>
  <c r="AH60" i="13"/>
  <c r="AF60" i="13"/>
  <c r="Z60" i="13"/>
  <c r="X60" i="13"/>
  <c r="W60" i="13" s="1"/>
  <c r="P60" i="13"/>
  <c r="AH59" i="13"/>
  <c r="AF59" i="13"/>
  <c r="Z59" i="13"/>
  <c r="X59" i="13"/>
  <c r="W59" i="13" s="1"/>
  <c r="P59" i="13"/>
  <c r="AH58" i="13"/>
  <c r="AF58" i="13"/>
  <c r="Z58" i="13"/>
  <c r="X58" i="13"/>
  <c r="W58" i="13" s="1"/>
  <c r="P58" i="13"/>
  <c r="AH57" i="13"/>
  <c r="AF57" i="13"/>
  <c r="Z57" i="13"/>
  <c r="X57" i="13"/>
  <c r="W57" i="13" s="1"/>
  <c r="P57" i="13"/>
  <c r="AH56" i="13"/>
  <c r="AF56" i="13"/>
  <c r="Z56" i="13"/>
  <c r="X56" i="13"/>
  <c r="W56" i="13" s="1"/>
  <c r="P56" i="13"/>
  <c r="AH55" i="13"/>
  <c r="AF55" i="13"/>
  <c r="Z55" i="13"/>
  <c r="X55" i="13"/>
  <c r="W55" i="13" s="1"/>
  <c r="P55" i="13"/>
  <c r="AH54" i="13"/>
  <c r="AF54" i="13"/>
  <c r="AE54" i="13" s="1"/>
  <c r="Z54" i="13"/>
  <c r="X54" i="13"/>
  <c r="W54" i="13" s="1"/>
  <c r="AH53" i="13"/>
  <c r="AF53" i="13"/>
  <c r="AE53" i="13" s="1"/>
  <c r="Z53" i="13"/>
  <c r="X53" i="13"/>
  <c r="W53" i="13" s="1"/>
  <c r="AH52" i="13"/>
  <c r="AF52" i="13"/>
  <c r="AE52" i="13" s="1"/>
  <c r="Z52" i="13"/>
  <c r="X52" i="13"/>
  <c r="W52" i="13" s="1"/>
  <c r="AH51" i="13"/>
  <c r="AF51" i="13"/>
  <c r="AE51" i="13" s="1"/>
  <c r="Z51" i="13"/>
  <c r="X51" i="13"/>
  <c r="W51" i="13" s="1"/>
  <c r="AH50" i="13"/>
  <c r="AF50" i="13"/>
  <c r="AE50" i="13" s="1"/>
  <c r="Z50" i="13"/>
  <c r="X50" i="13"/>
  <c r="W50" i="13" s="1"/>
  <c r="AH49" i="13"/>
  <c r="AF49" i="13"/>
  <c r="AE49" i="13" s="1"/>
  <c r="Z49" i="13"/>
  <c r="X49" i="13"/>
  <c r="W49" i="13" s="1"/>
  <c r="AH48" i="13"/>
  <c r="AF48" i="13"/>
  <c r="AE48" i="13" s="1"/>
  <c r="Z48" i="13"/>
  <c r="X48" i="13"/>
  <c r="W48" i="13" s="1"/>
  <c r="AH47" i="13"/>
  <c r="AF47" i="13"/>
  <c r="AE47" i="13" s="1"/>
  <c r="Z47" i="13"/>
  <c r="X47" i="13"/>
  <c r="W47" i="13" s="1"/>
  <c r="AH46" i="13"/>
  <c r="AF46" i="13"/>
  <c r="AE46" i="13" s="1"/>
  <c r="Z46" i="13"/>
  <c r="X46" i="13"/>
  <c r="W46" i="13" s="1"/>
  <c r="AH45" i="13"/>
  <c r="AF45" i="13"/>
  <c r="AE45" i="13" s="1"/>
  <c r="Z45" i="13"/>
  <c r="X45" i="13"/>
  <c r="W45" i="13" s="1"/>
  <c r="AH44" i="13"/>
  <c r="AF44" i="13"/>
  <c r="AE44" i="13" s="1"/>
  <c r="Z44" i="13"/>
  <c r="X44" i="13"/>
  <c r="W44" i="13" s="1"/>
  <c r="AH43" i="13"/>
  <c r="AF43" i="13"/>
  <c r="AE43" i="13" s="1"/>
  <c r="Z43" i="13"/>
  <c r="X43" i="13"/>
  <c r="W43" i="13" s="1"/>
  <c r="AH42" i="13"/>
  <c r="AF42" i="13"/>
  <c r="AE42" i="13" s="1"/>
  <c r="Z42" i="13"/>
  <c r="X42" i="13"/>
  <c r="W42" i="13" s="1"/>
  <c r="AH41" i="13"/>
  <c r="AF41" i="13"/>
  <c r="AE41" i="13" s="1"/>
  <c r="Z41" i="13"/>
  <c r="X41" i="13"/>
  <c r="W41" i="13" s="1"/>
  <c r="AH40" i="13"/>
  <c r="AF40" i="13"/>
  <c r="AE40" i="13" s="1"/>
  <c r="Z40" i="13"/>
  <c r="X40" i="13"/>
  <c r="W40" i="13" s="1"/>
  <c r="AH39" i="13"/>
  <c r="AF39" i="13"/>
  <c r="AE39" i="13" s="1"/>
  <c r="Z39" i="13"/>
  <c r="X39" i="13"/>
  <c r="W39" i="13" s="1"/>
  <c r="AH38" i="13"/>
  <c r="AF38" i="13"/>
  <c r="AE38" i="13" s="1"/>
  <c r="Z38" i="13"/>
  <c r="X38" i="13"/>
  <c r="W38" i="13" s="1"/>
  <c r="AH37" i="13"/>
  <c r="AF37" i="13"/>
  <c r="AE37" i="13" s="1"/>
  <c r="Z37" i="13"/>
  <c r="X37" i="13"/>
  <c r="W37" i="13" s="1"/>
  <c r="AH36" i="13"/>
  <c r="AF36" i="13"/>
  <c r="AE36" i="13" s="1"/>
  <c r="Z36" i="13"/>
  <c r="X36" i="13"/>
  <c r="W36" i="13" s="1"/>
  <c r="AH35" i="13"/>
  <c r="AF35" i="13"/>
  <c r="AE35" i="13" s="1"/>
  <c r="Z35" i="13"/>
  <c r="X35" i="13"/>
  <c r="W35" i="13" s="1"/>
  <c r="AH34" i="13"/>
  <c r="AF34" i="13"/>
  <c r="AE34" i="13" s="1"/>
  <c r="Z34" i="13"/>
  <c r="X34" i="13"/>
  <c r="W34" i="13" s="1"/>
  <c r="AH33" i="13"/>
  <c r="AF33" i="13"/>
  <c r="AE33" i="13" s="1"/>
  <c r="Z33" i="13"/>
  <c r="X33" i="13"/>
  <c r="W33" i="13" s="1"/>
  <c r="AH32" i="13"/>
  <c r="AF32" i="13"/>
  <c r="AE32" i="13" s="1"/>
  <c r="Z32" i="13"/>
  <c r="X32" i="13"/>
  <c r="W32" i="13" s="1"/>
  <c r="AH31" i="13"/>
  <c r="AF31" i="13"/>
  <c r="AE31" i="13" s="1"/>
  <c r="Z31" i="13"/>
  <c r="X31" i="13"/>
  <c r="W31" i="13" s="1"/>
  <c r="AH30" i="13"/>
  <c r="AF30" i="13"/>
  <c r="AE30" i="13" s="1"/>
  <c r="Z30" i="13"/>
  <c r="X30" i="13"/>
  <c r="W30" i="13" s="1"/>
  <c r="AH29" i="13"/>
  <c r="AF29" i="13"/>
  <c r="AE29" i="13" s="1"/>
  <c r="Z29" i="13"/>
  <c r="X29" i="13"/>
  <c r="W29" i="13" s="1"/>
  <c r="AH28" i="13"/>
  <c r="AF28" i="13"/>
  <c r="AE28" i="13" s="1"/>
  <c r="Z28" i="13"/>
  <c r="X28" i="13"/>
  <c r="W28" i="13" s="1"/>
  <c r="AH27" i="13"/>
  <c r="AF27" i="13"/>
  <c r="AE27" i="13" s="1"/>
  <c r="Z27" i="13"/>
  <c r="X27" i="13"/>
  <c r="W27" i="13" s="1"/>
  <c r="AH26" i="13"/>
  <c r="AF26" i="13"/>
  <c r="AE26" i="13" s="1"/>
  <c r="Z26" i="13"/>
  <c r="X26" i="13"/>
  <c r="W26" i="13" s="1"/>
  <c r="AH25" i="13"/>
  <c r="AF25" i="13"/>
  <c r="AE25" i="13" s="1"/>
  <c r="Z25" i="13"/>
  <c r="X25" i="13"/>
  <c r="W25" i="13" s="1"/>
  <c r="AH24" i="13"/>
  <c r="AF24" i="13"/>
  <c r="AE24" i="13" s="1"/>
  <c r="Z24" i="13"/>
  <c r="X24" i="13"/>
  <c r="W24" i="13" s="1"/>
  <c r="AH23" i="13"/>
  <c r="AF23" i="13"/>
  <c r="AE23" i="13" s="1"/>
  <c r="Z23" i="13"/>
  <c r="X23" i="13"/>
  <c r="W23" i="13" s="1"/>
  <c r="AH22" i="13"/>
  <c r="AF22" i="13"/>
  <c r="AE22" i="13" s="1"/>
  <c r="Z22" i="13"/>
  <c r="X22" i="13"/>
  <c r="W22" i="13" s="1"/>
  <c r="AH21" i="13"/>
  <c r="AF21" i="13"/>
  <c r="AE21" i="13" s="1"/>
  <c r="Z21" i="13"/>
  <c r="X21" i="13"/>
  <c r="W21" i="13" s="1"/>
  <c r="AH20" i="13"/>
  <c r="AF20" i="13"/>
  <c r="AE20" i="13" s="1"/>
  <c r="Z20" i="13"/>
  <c r="X20" i="13"/>
  <c r="W20" i="13" s="1"/>
  <c r="AH19" i="13"/>
  <c r="AF19" i="13"/>
  <c r="AE19" i="13" s="1"/>
  <c r="Z19" i="13"/>
  <c r="X19" i="13"/>
  <c r="W19" i="13" s="1"/>
  <c r="AH18" i="13"/>
  <c r="AF18" i="13"/>
  <c r="AE18" i="13" s="1"/>
  <c r="Z18" i="13"/>
  <c r="X18" i="13"/>
  <c r="W18" i="13" s="1"/>
  <c r="AH17" i="13"/>
  <c r="AF17" i="13"/>
  <c r="AE17" i="13" s="1"/>
  <c r="Z17" i="13"/>
  <c r="X17" i="13"/>
  <c r="W17" i="13" s="1"/>
  <c r="AH16" i="13"/>
  <c r="AF16" i="13"/>
  <c r="AE16" i="13" s="1"/>
  <c r="Z16" i="13"/>
  <c r="X16" i="13"/>
  <c r="W16" i="13" s="1"/>
  <c r="AH15" i="13"/>
  <c r="AF15" i="13"/>
  <c r="AE15" i="13" s="1"/>
  <c r="Z15" i="13"/>
  <c r="X15" i="13"/>
  <c r="W15" i="13" s="1"/>
  <c r="P15" i="13"/>
  <c r="P16" i="13" s="1"/>
  <c r="P17" i="13" s="1"/>
  <c r="P18" i="13" s="1"/>
  <c r="P19" i="13" s="1"/>
  <c r="P20" i="13" s="1"/>
  <c r="P21" i="13" s="1"/>
  <c r="P22" i="13" s="1"/>
  <c r="P23" i="13" s="1"/>
  <c r="P24" i="13" s="1"/>
  <c r="P25" i="13" s="1"/>
  <c r="P26" i="13" s="1"/>
  <c r="P27" i="13" s="1"/>
  <c r="P28" i="13" s="1"/>
  <c r="P29" i="13" s="1"/>
  <c r="P30" i="13" s="1"/>
  <c r="P31" i="13" s="1"/>
  <c r="P32" i="13" s="1"/>
  <c r="P33" i="13" s="1"/>
  <c r="P34" i="13" s="1"/>
  <c r="P35" i="13" s="1"/>
  <c r="P36" i="13" s="1"/>
  <c r="P37" i="13" s="1"/>
  <c r="P38" i="13" s="1"/>
  <c r="P39" i="13" s="1"/>
  <c r="P40" i="13" s="1"/>
  <c r="P41" i="13" s="1"/>
  <c r="P42" i="13" s="1"/>
  <c r="P43" i="13" s="1"/>
  <c r="P44" i="13" s="1"/>
  <c r="P45" i="13" s="1"/>
  <c r="P46" i="13" s="1"/>
  <c r="P47" i="13" s="1"/>
  <c r="P48" i="13" s="1"/>
  <c r="P49" i="13" s="1"/>
  <c r="P50" i="13" s="1"/>
  <c r="P51" i="13" s="1"/>
  <c r="P52" i="13" s="1"/>
  <c r="P53" i="13" s="1"/>
  <c r="P54" i="13" s="1"/>
  <c r="AH14" i="13"/>
  <c r="AF14" i="13"/>
  <c r="AE14" i="13" s="1"/>
  <c r="Z14" i="13"/>
  <c r="X14" i="13"/>
  <c r="W14" i="13" s="1"/>
  <c r="AC11" i="13"/>
  <c r="T3" i="13"/>
  <c r="P3" i="13"/>
  <c r="AH120" i="12"/>
  <c r="AF120" i="12"/>
  <c r="Z120" i="12"/>
  <c r="X120" i="12"/>
  <c r="W120" i="12" s="1"/>
  <c r="P120" i="12"/>
  <c r="AH119" i="12"/>
  <c r="AF119" i="12"/>
  <c r="Z119" i="12"/>
  <c r="X119" i="12"/>
  <c r="W119" i="12" s="1"/>
  <c r="P119" i="12"/>
  <c r="AH118" i="12"/>
  <c r="AF118" i="12"/>
  <c r="Z118" i="12"/>
  <c r="X118" i="12"/>
  <c r="W118" i="12" s="1"/>
  <c r="P118" i="12"/>
  <c r="AH117" i="12"/>
  <c r="AF117" i="12"/>
  <c r="Z117" i="12"/>
  <c r="X117" i="12"/>
  <c r="W117" i="12" s="1"/>
  <c r="P117" i="12"/>
  <c r="AH116" i="12"/>
  <c r="AF116" i="12"/>
  <c r="Z116" i="12"/>
  <c r="X116" i="12"/>
  <c r="W116" i="12" s="1"/>
  <c r="P116" i="12"/>
  <c r="AH115" i="12"/>
  <c r="AF115" i="12"/>
  <c r="Z115" i="12"/>
  <c r="X115" i="12"/>
  <c r="W115" i="12" s="1"/>
  <c r="P115" i="12"/>
  <c r="AH114" i="12"/>
  <c r="AF114" i="12"/>
  <c r="Z114" i="12"/>
  <c r="X114" i="12"/>
  <c r="W114" i="12" s="1"/>
  <c r="P114" i="12"/>
  <c r="AH113" i="12"/>
  <c r="AF113" i="12"/>
  <c r="Z113" i="12"/>
  <c r="X113" i="12"/>
  <c r="W113" i="12" s="1"/>
  <c r="P113" i="12"/>
  <c r="AH112" i="12"/>
  <c r="AF112" i="12"/>
  <c r="Z112" i="12"/>
  <c r="X112" i="12"/>
  <c r="W112" i="12" s="1"/>
  <c r="P112" i="12"/>
  <c r="AH111" i="12"/>
  <c r="AF111" i="12"/>
  <c r="Z111" i="12"/>
  <c r="X111" i="12"/>
  <c r="W111" i="12" s="1"/>
  <c r="P111" i="12"/>
  <c r="AH110" i="12"/>
  <c r="AF110" i="12"/>
  <c r="Z110" i="12"/>
  <c r="X110" i="12"/>
  <c r="W110" i="12" s="1"/>
  <c r="P110" i="12"/>
  <c r="AH109" i="12"/>
  <c r="AF109" i="12"/>
  <c r="Z109" i="12"/>
  <c r="X109" i="12"/>
  <c r="W109" i="12" s="1"/>
  <c r="P109" i="12"/>
  <c r="AH108" i="12"/>
  <c r="AF108" i="12"/>
  <c r="Z108" i="12"/>
  <c r="X108" i="12"/>
  <c r="W108" i="12" s="1"/>
  <c r="P108" i="12"/>
  <c r="AH107" i="12"/>
  <c r="AF107" i="12"/>
  <c r="Z107" i="12"/>
  <c r="X107" i="12"/>
  <c r="W107" i="12" s="1"/>
  <c r="P107" i="12"/>
  <c r="AH106" i="12"/>
  <c r="AF106" i="12"/>
  <c r="Z106" i="12"/>
  <c r="X106" i="12"/>
  <c r="W106" i="12" s="1"/>
  <c r="P106" i="12"/>
  <c r="AH105" i="12"/>
  <c r="AF105" i="12"/>
  <c r="Z105" i="12"/>
  <c r="X105" i="12"/>
  <c r="W105" i="12" s="1"/>
  <c r="P105" i="12"/>
  <c r="AH104" i="12"/>
  <c r="AF104" i="12"/>
  <c r="Z104" i="12"/>
  <c r="X104" i="12"/>
  <c r="W104" i="12" s="1"/>
  <c r="P104" i="12"/>
  <c r="AH103" i="12"/>
  <c r="AF103" i="12"/>
  <c r="Z103" i="12"/>
  <c r="X103" i="12"/>
  <c r="W103" i="12" s="1"/>
  <c r="P103" i="12"/>
  <c r="AH102" i="12"/>
  <c r="AF102" i="12"/>
  <c r="Z102" i="12"/>
  <c r="X102" i="12"/>
  <c r="W102" i="12" s="1"/>
  <c r="P102" i="12"/>
  <c r="AH101" i="12"/>
  <c r="AF101" i="12"/>
  <c r="Z101" i="12"/>
  <c r="X101" i="12"/>
  <c r="W101" i="12" s="1"/>
  <c r="P101" i="12"/>
  <c r="AH100" i="12"/>
  <c r="AF100" i="12"/>
  <c r="Z100" i="12"/>
  <c r="X100" i="12"/>
  <c r="W100" i="12" s="1"/>
  <c r="P100" i="12"/>
  <c r="AH99" i="12"/>
  <c r="AF99" i="12"/>
  <c r="Z99" i="12"/>
  <c r="X99" i="12"/>
  <c r="W99" i="12" s="1"/>
  <c r="P99" i="12"/>
  <c r="AH98" i="12"/>
  <c r="AF98" i="12"/>
  <c r="Z98" i="12"/>
  <c r="X98" i="12"/>
  <c r="W98" i="12" s="1"/>
  <c r="P98" i="12"/>
  <c r="AH97" i="12"/>
  <c r="AF97" i="12"/>
  <c r="Z97" i="12"/>
  <c r="X97" i="12"/>
  <c r="W97" i="12" s="1"/>
  <c r="P97" i="12"/>
  <c r="AH96" i="12"/>
  <c r="AF96" i="12"/>
  <c r="Z96" i="12"/>
  <c r="X96" i="12"/>
  <c r="W96" i="12" s="1"/>
  <c r="P96" i="12"/>
  <c r="AH95" i="12"/>
  <c r="AF95" i="12"/>
  <c r="Z95" i="12"/>
  <c r="X95" i="12"/>
  <c r="W95" i="12" s="1"/>
  <c r="P95" i="12"/>
  <c r="AH94" i="12"/>
  <c r="AF94" i="12"/>
  <c r="Z94" i="12"/>
  <c r="X94" i="12"/>
  <c r="W94" i="12" s="1"/>
  <c r="P94" i="12"/>
  <c r="AH93" i="12"/>
  <c r="AF93" i="12"/>
  <c r="Z93" i="12"/>
  <c r="X93" i="12"/>
  <c r="W93" i="12" s="1"/>
  <c r="P93" i="12"/>
  <c r="AH92" i="12"/>
  <c r="AF92" i="12"/>
  <c r="Z92" i="12"/>
  <c r="X92" i="12"/>
  <c r="W92" i="12" s="1"/>
  <c r="P92" i="12"/>
  <c r="AH91" i="12"/>
  <c r="AF91" i="12"/>
  <c r="Z91" i="12"/>
  <c r="X91" i="12"/>
  <c r="W91" i="12" s="1"/>
  <c r="P91" i="12"/>
  <c r="AH90" i="12"/>
  <c r="AF90" i="12"/>
  <c r="Z90" i="12"/>
  <c r="X90" i="12"/>
  <c r="W90" i="12" s="1"/>
  <c r="P90" i="12"/>
  <c r="AH89" i="12"/>
  <c r="AF89" i="12"/>
  <c r="Z89" i="12"/>
  <c r="X89" i="12"/>
  <c r="W89" i="12" s="1"/>
  <c r="P89" i="12"/>
  <c r="AH88" i="12"/>
  <c r="AF88" i="12"/>
  <c r="Z88" i="12"/>
  <c r="X88" i="12"/>
  <c r="W88" i="12" s="1"/>
  <c r="P88" i="12"/>
  <c r="AH87" i="12"/>
  <c r="AF87" i="12"/>
  <c r="Z87" i="12"/>
  <c r="X87" i="12"/>
  <c r="W87" i="12" s="1"/>
  <c r="P87" i="12"/>
  <c r="AH86" i="12"/>
  <c r="AF86" i="12"/>
  <c r="Z86" i="12"/>
  <c r="X86" i="12"/>
  <c r="W86" i="12" s="1"/>
  <c r="P86" i="12"/>
  <c r="AH85" i="12"/>
  <c r="AF85" i="12"/>
  <c r="Z85" i="12"/>
  <c r="X85" i="12"/>
  <c r="W85" i="12" s="1"/>
  <c r="P85" i="12"/>
  <c r="AH84" i="12"/>
  <c r="AF84" i="12"/>
  <c r="Z84" i="12"/>
  <c r="X84" i="12"/>
  <c r="W84" i="12" s="1"/>
  <c r="P84" i="12"/>
  <c r="AH83" i="12"/>
  <c r="AF83" i="12"/>
  <c r="Z83" i="12"/>
  <c r="X83" i="12"/>
  <c r="W83" i="12" s="1"/>
  <c r="P83" i="12"/>
  <c r="AH82" i="12"/>
  <c r="AF82" i="12"/>
  <c r="Z82" i="12"/>
  <c r="X82" i="12"/>
  <c r="W82" i="12" s="1"/>
  <c r="P82" i="12"/>
  <c r="AH81" i="12"/>
  <c r="AF81" i="12"/>
  <c r="Z81" i="12"/>
  <c r="X81" i="12"/>
  <c r="W81" i="12" s="1"/>
  <c r="P81" i="12"/>
  <c r="AH80" i="12"/>
  <c r="AF80" i="12"/>
  <c r="Z80" i="12"/>
  <c r="X80" i="12"/>
  <c r="W80" i="12" s="1"/>
  <c r="P80" i="12"/>
  <c r="AH79" i="12"/>
  <c r="AF79" i="12"/>
  <c r="Z79" i="12"/>
  <c r="X79" i="12"/>
  <c r="W79" i="12" s="1"/>
  <c r="P79" i="12"/>
  <c r="AH78" i="12"/>
  <c r="AF78" i="12"/>
  <c r="Z78" i="12"/>
  <c r="X78" i="12"/>
  <c r="W78" i="12" s="1"/>
  <c r="P78" i="12"/>
  <c r="AH77" i="12"/>
  <c r="AF77" i="12"/>
  <c r="Z77" i="12"/>
  <c r="X77" i="12"/>
  <c r="W77" i="12" s="1"/>
  <c r="P77" i="12"/>
  <c r="AH76" i="12"/>
  <c r="AF76" i="12"/>
  <c r="Z76" i="12"/>
  <c r="X76" i="12"/>
  <c r="W76" i="12" s="1"/>
  <c r="P76" i="12"/>
  <c r="AH75" i="12"/>
  <c r="AF75" i="12"/>
  <c r="Z75" i="12"/>
  <c r="X75" i="12"/>
  <c r="W75" i="12" s="1"/>
  <c r="P75" i="12"/>
  <c r="AH74" i="12"/>
  <c r="AF74" i="12"/>
  <c r="Z74" i="12"/>
  <c r="X74" i="12"/>
  <c r="W74" i="12" s="1"/>
  <c r="P74" i="12"/>
  <c r="AH73" i="12"/>
  <c r="AF73" i="12"/>
  <c r="Z73" i="12"/>
  <c r="X73" i="12"/>
  <c r="W73" i="12" s="1"/>
  <c r="P73" i="12"/>
  <c r="AH72" i="12"/>
  <c r="AF72" i="12"/>
  <c r="Z72" i="12"/>
  <c r="X72" i="12"/>
  <c r="W72" i="12" s="1"/>
  <c r="P72" i="12"/>
  <c r="AH71" i="12"/>
  <c r="AF71" i="12"/>
  <c r="Z71" i="12"/>
  <c r="X71" i="12"/>
  <c r="W71" i="12" s="1"/>
  <c r="P71" i="12"/>
  <c r="AH70" i="12"/>
  <c r="AF70" i="12"/>
  <c r="Z70" i="12"/>
  <c r="X70" i="12"/>
  <c r="W70" i="12" s="1"/>
  <c r="P70" i="12"/>
  <c r="AH69" i="12"/>
  <c r="AF69" i="12"/>
  <c r="Z69" i="12"/>
  <c r="X69" i="12"/>
  <c r="W69" i="12" s="1"/>
  <c r="P69" i="12"/>
  <c r="AH68" i="12"/>
  <c r="AF68" i="12"/>
  <c r="Z68" i="12"/>
  <c r="X68" i="12"/>
  <c r="W68" i="12" s="1"/>
  <c r="P68" i="12"/>
  <c r="AH67" i="12"/>
  <c r="AF67" i="12"/>
  <c r="Z67" i="12"/>
  <c r="X67" i="12"/>
  <c r="W67" i="12" s="1"/>
  <c r="P67" i="12"/>
  <c r="AH66" i="12"/>
  <c r="AF66" i="12"/>
  <c r="Z66" i="12"/>
  <c r="X66" i="12"/>
  <c r="W66" i="12" s="1"/>
  <c r="P66" i="12"/>
  <c r="AH65" i="12"/>
  <c r="AF65" i="12"/>
  <c r="Z65" i="12"/>
  <c r="X65" i="12"/>
  <c r="W65" i="12" s="1"/>
  <c r="P65" i="12"/>
  <c r="AH64" i="12"/>
  <c r="AF64" i="12"/>
  <c r="Z64" i="12"/>
  <c r="X64" i="12"/>
  <c r="W64" i="12" s="1"/>
  <c r="P64" i="12"/>
  <c r="AH63" i="12"/>
  <c r="AF63" i="12"/>
  <c r="Z63" i="12"/>
  <c r="X63" i="12"/>
  <c r="W63" i="12" s="1"/>
  <c r="P63" i="12"/>
  <c r="AH62" i="12"/>
  <c r="AF62" i="12"/>
  <c r="Z62" i="12"/>
  <c r="X62" i="12"/>
  <c r="W62" i="12" s="1"/>
  <c r="P62" i="12"/>
  <c r="AH61" i="12"/>
  <c r="AF61" i="12"/>
  <c r="Z61" i="12"/>
  <c r="X61" i="12"/>
  <c r="W61" i="12" s="1"/>
  <c r="P61" i="12"/>
  <c r="AH60" i="12"/>
  <c r="AF60" i="12"/>
  <c r="Z60" i="12"/>
  <c r="X60" i="12"/>
  <c r="W60" i="12" s="1"/>
  <c r="P60" i="12"/>
  <c r="AH59" i="12"/>
  <c r="AF59" i="12"/>
  <c r="Z59" i="12"/>
  <c r="X59" i="12"/>
  <c r="W59" i="12" s="1"/>
  <c r="P59" i="12"/>
  <c r="AH58" i="12"/>
  <c r="AF58" i="12"/>
  <c r="AE58" i="12" s="1"/>
  <c r="Z58" i="12"/>
  <c r="X58" i="12"/>
  <c r="W58" i="12" s="1"/>
  <c r="P58" i="12"/>
  <c r="AH57" i="12"/>
  <c r="AF57" i="12"/>
  <c r="AE57" i="12" s="1"/>
  <c r="Z57" i="12"/>
  <c r="X57" i="12"/>
  <c r="W57" i="12" s="1"/>
  <c r="P57" i="12"/>
  <c r="AH56" i="12"/>
  <c r="AF56" i="12"/>
  <c r="AE56" i="12" s="1"/>
  <c r="Z56" i="12"/>
  <c r="X56" i="12"/>
  <c r="W56" i="12" s="1"/>
  <c r="P56" i="12"/>
  <c r="AH55" i="12"/>
  <c r="AF55" i="12"/>
  <c r="AE55" i="12" s="1"/>
  <c r="Z55" i="12"/>
  <c r="X55" i="12"/>
  <c r="W55" i="12" s="1"/>
  <c r="P55" i="12"/>
  <c r="AH54" i="12"/>
  <c r="AF54" i="12"/>
  <c r="AE54" i="12" s="1"/>
  <c r="Z54" i="12"/>
  <c r="X54" i="12"/>
  <c r="W54" i="12" s="1"/>
  <c r="AH53" i="12"/>
  <c r="AF53" i="12"/>
  <c r="AE53" i="12" s="1"/>
  <c r="Z53" i="12"/>
  <c r="X53" i="12"/>
  <c r="W53" i="12" s="1"/>
  <c r="AH52" i="12"/>
  <c r="AF52" i="12"/>
  <c r="AE52" i="12" s="1"/>
  <c r="Z52" i="12"/>
  <c r="X52" i="12"/>
  <c r="W52" i="12" s="1"/>
  <c r="AH51" i="12"/>
  <c r="AF51" i="12"/>
  <c r="AE51" i="12" s="1"/>
  <c r="Z51" i="12"/>
  <c r="X51" i="12"/>
  <c r="W51" i="12" s="1"/>
  <c r="AH50" i="12"/>
  <c r="AF50" i="12"/>
  <c r="AE50" i="12" s="1"/>
  <c r="Z50" i="12"/>
  <c r="X50" i="12"/>
  <c r="W50" i="12" s="1"/>
  <c r="AH49" i="12"/>
  <c r="AF49" i="12"/>
  <c r="AE49" i="12" s="1"/>
  <c r="Z49" i="12"/>
  <c r="X49" i="12"/>
  <c r="W49" i="12" s="1"/>
  <c r="AH48" i="12"/>
  <c r="AF48" i="12"/>
  <c r="AE48" i="12" s="1"/>
  <c r="Z48" i="12"/>
  <c r="X48" i="12"/>
  <c r="W48" i="12" s="1"/>
  <c r="AH47" i="12"/>
  <c r="AF47" i="12"/>
  <c r="AE47" i="12" s="1"/>
  <c r="Z47" i="12"/>
  <c r="X47" i="12"/>
  <c r="W47" i="12" s="1"/>
  <c r="AH46" i="12"/>
  <c r="AF46" i="12"/>
  <c r="AE46" i="12" s="1"/>
  <c r="Z46" i="12"/>
  <c r="X46" i="12"/>
  <c r="W46" i="12" s="1"/>
  <c r="AH45" i="12"/>
  <c r="AF45" i="12"/>
  <c r="AE45" i="12" s="1"/>
  <c r="Z45" i="12"/>
  <c r="X45" i="12"/>
  <c r="W45" i="12" s="1"/>
  <c r="AH44" i="12"/>
  <c r="AF44" i="12"/>
  <c r="AE44" i="12" s="1"/>
  <c r="Z44" i="12"/>
  <c r="X44" i="12"/>
  <c r="W44" i="12" s="1"/>
  <c r="AH43" i="12"/>
  <c r="AF43" i="12"/>
  <c r="AE43" i="12" s="1"/>
  <c r="Z43" i="12"/>
  <c r="X43" i="12"/>
  <c r="W43" i="12" s="1"/>
  <c r="AH42" i="12"/>
  <c r="AF42" i="12"/>
  <c r="AE42" i="12" s="1"/>
  <c r="Z42" i="12"/>
  <c r="X42" i="12"/>
  <c r="W42" i="12" s="1"/>
  <c r="AH41" i="12"/>
  <c r="AF41" i="12"/>
  <c r="AE41" i="12" s="1"/>
  <c r="Z41" i="12"/>
  <c r="X41" i="12"/>
  <c r="W41" i="12" s="1"/>
  <c r="AH40" i="12"/>
  <c r="AF40" i="12"/>
  <c r="AE40" i="12" s="1"/>
  <c r="Z40" i="12"/>
  <c r="X40" i="12"/>
  <c r="W40" i="12" s="1"/>
  <c r="AH39" i="12"/>
  <c r="AF39" i="12"/>
  <c r="AE39" i="12" s="1"/>
  <c r="Z39" i="12"/>
  <c r="X39" i="12"/>
  <c r="W39" i="12" s="1"/>
  <c r="AH38" i="12"/>
  <c r="AF38" i="12"/>
  <c r="AE38" i="12" s="1"/>
  <c r="Z38" i="12"/>
  <c r="X38" i="12"/>
  <c r="W38" i="12" s="1"/>
  <c r="AH37" i="12"/>
  <c r="AF37" i="12"/>
  <c r="AE37" i="12" s="1"/>
  <c r="Z37" i="12"/>
  <c r="X37" i="12"/>
  <c r="W37" i="12" s="1"/>
  <c r="AH36" i="12"/>
  <c r="AF36" i="12"/>
  <c r="AE36" i="12" s="1"/>
  <c r="Z36" i="12"/>
  <c r="X36" i="12"/>
  <c r="W36" i="12" s="1"/>
  <c r="AH35" i="12"/>
  <c r="AF35" i="12"/>
  <c r="AE35" i="12" s="1"/>
  <c r="Z35" i="12"/>
  <c r="X35" i="12"/>
  <c r="W35" i="12" s="1"/>
  <c r="AH34" i="12"/>
  <c r="AF34" i="12"/>
  <c r="AE34" i="12" s="1"/>
  <c r="Z34" i="12"/>
  <c r="X34" i="12"/>
  <c r="W34" i="12" s="1"/>
  <c r="AH33" i="12"/>
  <c r="AF33" i="12"/>
  <c r="AE33" i="12" s="1"/>
  <c r="Z33" i="12"/>
  <c r="X33" i="12"/>
  <c r="W33" i="12" s="1"/>
  <c r="AH32" i="12"/>
  <c r="AF32" i="12"/>
  <c r="AE32" i="12" s="1"/>
  <c r="Z32" i="12"/>
  <c r="X32" i="12"/>
  <c r="W32" i="12" s="1"/>
  <c r="AH31" i="12"/>
  <c r="AF31" i="12"/>
  <c r="AE31" i="12" s="1"/>
  <c r="Z31" i="12"/>
  <c r="X31" i="12"/>
  <c r="W31" i="12" s="1"/>
  <c r="AH30" i="12"/>
  <c r="AF30" i="12"/>
  <c r="AE30" i="12" s="1"/>
  <c r="Z30" i="12"/>
  <c r="X30" i="12"/>
  <c r="W30" i="12" s="1"/>
  <c r="AH29" i="12"/>
  <c r="AF29" i="12"/>
  <c r="AE29" i="12" s="1"/>
  <c r="Z29" i="12"/>
  <c r="X29" i="12"/>
  <c r="W29" i="12" s="1"/>
  <c r="AH28" i="12"/>
  <c r="AF28" i="12"/>
  <c r="AE28" i="12" s="1"/>
  <c r="Z28" i="12"/>
  <c r="X28" i="12"/>
  <c r="W28" i="12" s="1"/>
  <c r="AH27" i="12"/>
  <c r="AF27" i="12"/>
  <c r="AE27" i="12" s="1"/>
  <c r="Z27" i="12"/>
  <c r="X27" i="12"/>
  <c r="W27" i="12" s="1"/>
  <c r="AH26" i="12"/>
  <c r="AF26" i="12"/>
  <c r="AE26" i="12" s="1"/>
  <c r="Z26" i="12"/>
  <c r="X26" i="12"/>
  <c r="W26" i="12" s="1"/>
  <c r="AH25" i="12"/>
  <c r="AF25" i="12"/>
  <c r="AE25" i="12" s="1"/>
  <c r="Z25" i="12"/>
  <c r="X25" i="12"/>
  <c r="W25" i="12" s="1"/>
  <c r="AH24" i="12"/>
  <c r="AF24" i="12"/>
  <c r="AE24" i="12" s="1"/>
  <c r="Z24" i="12"/>
  <c r="X24" i="12"/>
  <c r="W24" i="12" s="1"/>
  <c r="AH23" i="12"/>
  <c r="AF23" i="12"/>
  <c r="AE23" i="12" s="1"/>
  <c r="Z23" i="12"/>
  <c r="X23" i="12"/>
  <c r="W23" i="12" s="1"/>
  <c r="AH22" i="12"/>
  <c r="AF22" i="12"/>
  <c r="AE22" i="12" s="1"/>
  <c r="Z22" i="12"/>
  <c r="X22" i="12"/>
  <c r="W22" i="12" s="1"/>
  <c r="AH21" i="12"/>
  <c r="AF21" i="12"/>
  <c r="AE21" i="12" s="1"/>
  <c r="Z21" i="12"/>
  <c r="X21" i="12"/>
  <c r="W21" i="12" s="1"/>
  <c r="AH20" i="12"/>
  <c r="AF20" i="12"/>
  <c r="AE20" i="12" s="1"/>
  <c r="Z20" i="12"/>
  <c r="X20" i="12"/>
  <c r="W20" i="12" s="1"/>
  <c r="AH19" i="12"/>
  <c r="AF19" i="12"/>
  <c r="AE19" i="12" s="1"/>
  <c r="Z19" i="12"/>
  <c r="X19" i="12"/>
  <c r="W19" i="12" s="1"/>
  <c r="AH18" i="12"/>
  <c r="AF18" i="12"/>
  <c r="AE18" i="12" s="1"/>
  <c r="Z18" i="12"/>
  <c r="X18" i="12"/>
  <c r="W18" i="12" s="1"/>
  <c r="AH17" i="12"/>
  <c r="AF17" i="12"/>
  <c r="AE17" i="12" s="1"/>
  <c r="Z17" i="12"/>
  <c r="X17" i="12"/>
  <c r="W17" i="12" s="1"/>
  <c r="AH16" i="12"/>
  <c r="AF16" i="12"/>
  <c r="AE16" i="12" s="1"/>
  <c r="Z16" i="12"/>
  <c r="X16" i="12"/>
  <c r="W16" i="12" s="1"/>
  <c r="AH15" i="12"/>
  <c r="AF15" i="12"/>
  <c r="AE15" i="12" s="1"/>
  <c r="Z15" i="12"/>
  <c r="X15" i="12"/>
  <c r="W15" i="12" s="1"/>
  <c r="P15" i="12"/>
  <c r="AH14" i="12"/>
  <c r="AF14" i="12"/>
  <c r="AE14" i="12" s="1"/>
  <c r="Z14" i="12"/>
  <c r="X14" i="12"/>
  <c r="W14" i="12" s="1"/>
  <c r="AC11" i="12"/>
  <c r="AB11" i="12" s="1"/>
  <c r="T3" i="12"/>
  <c r="P3" i="12"/>
  <c r="AH120" i="11"/>
  <c r="AF120" i="11"/>
  <c r="Z120" i="11"/>
  <c r="X120" i="11"/>
  <c r="W120" i="11" s="1"/>
  <c r="P120" i="11"/>
  <c r="AH119" i="11"/>
  <c r="AF119" i="11"/>
  <c r="Z119" i="11"/>
  <c r="X119" i="11"/>
  <c r="W119" i="11" s="1"/>
  <c r="P119" i="11"/>
  <c r="AH118" i="11"/>
  <c r="AF118" i="11"/>
  <c r="Z118" i="11"/>
  <c r="X118" i="11"/>
  <c r="W118" i="11" s="1"/>
  <c r="P118" i="11"/>
  <c r="AH117" i="11"/>
  <c r="AF117" i="11"/>
  <c r="Z117" i="11"/>
  <c r="X117" i="11"/>
  <c r="W117" i="11" s="1"/>
  <c r="P117" i="11"/>
  <c r="AH116" i="11"/>
  <c r="AF116" i="11"/>
  <c r="Z116" i="11"/>
  <c r="X116" i="11"/>
  <c r="W116" i="11" s="1"/>
  <c r="P116" i="11"/>
  <c r="AH115" i="11"/>
  <c r="AF115" i="11"/>
  <c r="Z115" i="11"/>
  <c r="X115" i="11"/>
  <c r="W115" i="11" s="1"/>
  <c r="P115" i="11"/>
  <c r="AH114" i="11"/>
  <c r="AF114" i="11"/>
  <c r="Z114" i="11"/>
  <c r="X114" i="11"/>
  <c r="W114" i="11" s="1"/>
  <c r="P114" i="11"/>
  <c r="AH113" i="11"/>
  <c r="AF113" i="11"/>
  <c r="Z113" i="11"/>
  <c r="X113" i="11"/>
  <c r="W113" i="11" s="1"/>
  <c r="P113" i="11"/>
  <c r="AH112" i="11"/>
  <c r="AF112" i="11"/>
  <c r="Z112" i="11"/>
  <c r="X112" i="11"/>
  <c r="W112" i="11" s="1"/>
  <c r="P112" i="11"/>
  <c r="AH111" i="11"/>
  <c r="AF111" i="11"/>
  <c r="Z111" i="11"/>
  <c r="X111" i="11"/>
  <c r="W111" i="11" s="1"/>
  <c r="P111" i="11"/>
  <c r="AH110" i="11"/>
  <c r="AF110" i="11"/>
  <c r="Z110" i="11"/>
  <c r="X110" i="11"/>
  <c r="W110" i="11" s="1"/>
  <c r="P110" i="11"/>
  <c r="AH109" i="11"/>
  <c r="AF109" i="11"/>
  <c r="Z109" i="11"/>
  <c r="X109" i="11"/>
  <c r="W109" i="11" s="1"/>
  <c r="P109" i="11"/>
  <c r="AH108" i="11"/>
  <c r="AF108" i="11"/>
  <c r="Z108" i="11"/>
  <c r="X108" i="11"/>
  <c r="W108" i="11" s="1"/>
  <c r="P108" i="11"/>
  <c r="AH107" i="11"/>
  <c r="AF107" i="11"/>
  <c r="Z107" i="11"/>
  <c r="X107" i="11"/>
  <c r="W107" i="11" s="1"/>
  <c r="P107" i="11"/>
  <c r="AH106" i="11"/>
  <c r="AF106" i="11"/>
  <c r="Z106" i="11"/>
  <c r="X106" i="11"/>
  <c r="W106" i="11" s="1"/>
  <c r="P106" i="11"/>
  <c r="AH105" i="11"/>
  <c r="AF105" i="11"/>
  <c r="Z105" i="11"/>
  <c r="X105" i="11"/>
  <c r="W105" i="11" s="1"/>
  <c r="P105" i="11"/>
  <c r="AH104" i="11"/>
  <c r="AF104" i="11"/>
  <c r="Z104" i="11"/>
  <c r="X104" i="11"/>
  <c r="W104" i="11" s="1"/>
  <c r="P104" i="11"/>
  <c r="AH103" i="11"/>
  <c r="AF103" i="11"/>
  <c r="Z103" i="11"/>
  <c r="X103" i="11"/>
  <c r="W103" i="11" s="1"/>
  <c r="P103" i="11"/>
  <c r="AH102" i="11"/>
  <c r="AF102" i="11"/>
  <c r="Z102" i="11"/>
  <c r="X102" i="11"/>
  <c r="W102" i="11" s="1"/>
  <c r="P102" i="11"/>
  <c r="AH101" i="11"/>
  <c r="AF101" i="11"/>
  <c r="Z101" i="11"/>
  <c r="X101" i="11"/>
  <c r="W101" i="11" s="1"/>
  <c r="P101" i="11"/>
  <c r="AH100" i="11"/>
  <c r="AF100" i="11"/>
  <c r="Z100" i="11"/>
  <c r="X100" i="11"/>
  <c r="W100" i="11" s="1"/>
  <c r="P100" i="11"/>
  <c r="AH99" i="11"/>
  <c r="AF99" i="11"/>
  <c r="Z99" i="11"/>
  <c r="X99" i="11"/>
  <c r="W99" i="11" s="1"/>
  <c r="P99" i="11"/>
  <c r="AH98" i="11"/>
  <c r="AF98" i="11"/>
  <c r="Z98" i="11"/>
  <c r="X98" i="11"/>
  <c r="W98" i="11" s="1"/>
  <c r="P98" i="11"/>
  <c r="AH97" i="11"/>
  <c r="AF97" i="11"/>
  <c r="Z97" i="11"/>
  <c r="X97" i="11"/>
  <c r="W97" i="11" s="1"/>
  <c r="P97" i="11"/>
  <c r="AH96" i="11"/>
  <c r="AF96" i="11"/>
  <c r="Z96" i="11"/>
  <c r="X96" i="11"/>
  <c r="W96" i="11" s="1"/>
  <c r="P96" i="11"/>
  <c r="AH95" i="11"/>
  <c r="AF95" i="11"/>
  <c r="Z95" i="11"/>
  <c r="X95" i="11"/>
  <c r="W95" i="11" s="1"/>
  <c r="P95" i="11"/>
  <c r="AH94" i="11"/>
  <c r="AF94" i="11"/>
  <c r="Z94" i="11"/>
  <c r="X94" i="11"/>
  <c r="W94" i="11" s="1"/>
  <c r="P94" i="11"/>
  <c r="AH93" i="11"/>
  <c r="AF93" i="11"/>
  <c r="Z93" i="11"/>
  <c r="X93" i="11"/>
  <c r="W93" i="11" s="1"/>
  <c r="P93" i="11"/>
  <c r="AH92" i="11"/>
  <c r="AF92" i="11"/>
  <c r="Z92" i="11"/>
  <c r="X92" i="11"/>
  <c r="W92" i="11" s="1"/>
  <c r="P92" i="11"/>
  <c r="AH91" i="11"/>
  <c r="AF91" i="11"/>
  <c r="Z91" i="11"/>
  <c r="X91" i="11"/>
  <c r="W91" i="11" s="1"/>
  <c r="P91" i="11"/>
  <c r="AH90" i="11"/>
  <c r="AF90" i="11"/>
  <c r="Z90" i="11"/>
  <c r="X90" i="11"/>
  <c r="W90" i="11" s="1"/>
  <c r="P90" i="11"/>
  <c r="AH89" i="11"/>
  <c r="AF89" i="11"/>
  <c r="Z89" i="11"/>
  <c r="X89" i="11"/>
  <c r="W89" i="11" s="1"/>
  <c r="P89" i="11"/>
  <c r="AH88" i="11"/>
  <c r="AF88" i="11"/>
  <c r="Z88" i="11"/>
  <c r="X88" i="11"/>
  <c r="W88" i="11" s="1"/>
  <c r="P88" i="11"/>
  <c r="AH87" i="11"/>
  <c r="AF87" i="11"/>
  <c r="Z87" i="11"/>
  <c r="X87" i="11"/>
  <c r="W87" i="11" s="1"/>
  <c r="P87" i="11"/>
  <c r="AH86" i="11"/>
  <c r="AF86" i="11"/>
  <c r="Z86" i="11"/>
  <c r="X86" i="11"/>
  <c r="W86" i="11" s="1"/>
  <c r="P86" i="11"/>
  <c r="AH85" i="11"/>
  <c r="AF85" i="11"/>
  <c r="Z85" i="11"/>
  <c r="X85" i="11"/>
  <c r="W85" i="11" s="1"/>
  <c r="P85" i="11"/>
  <c r="AH84" i="11"/>
  <c r="AF84" i="11"/>
  <c r="Z84" i="11"/>
  <c r="X84" i="11"/>
  <c r="W84" i="11" s="1"/>
  <c r="P84" i="11"/>
  <c r="AH83" i="11"/>
  <c r="AF83" i="11"/>
  <c r="Z83" i="11"/>
  <c r="X83" i="11"/>
  <c r="W83" i="11" s="1"/>
  <c r="P83" i="11"/>
  <c r="AH82" i="11"/>
  <c r="AF82" i="11"/>
  <c r="Z82" i="11"/>
  <c r="X82" i="11"/>
  <c r="W82" i="11" s="1"/>
  <c r="P82" i="11"/>
  <c r="AH81" i="11"/>
  <c r="AF81" i="11"/>
  <c r="Z81" i="11"/>
  <c r="X81" i="11"/>
  <c r="W81" i="11" s="1"/>
  <c r="P81" i="11"/>
  <c r="AH80" i="11"/>
  <c r="AF80" i="11"/>
  <c r="Z80" i="11"/>
  <c r="X80" i="11"/>
  <c r="W80" i="11" s="1"/>
  <c r="P80" i="11"/>
  <c r="AH79" i="11"/>
  <c r="AF79" i="11"/>
  <c r="Z79" i="11"/>
  <c r="X79" i="11"/>
  <c r="W79" i="11" s="1"/>
  <c r="P79" i="11"/>
  <c r="AH78" i="11"/>
  <c r="AF78" i="11"/>
  <c r="Z78" i="11"/>
  <c r="X78" i="11"/>
  <c r="W78" i="11" s="1"/>
  <c r="P78" i="11"/>
  <c r="AH77" i="11"/>
  <c r="AF77" i="11"/>
  <c r="Z77" i="11"/>
  <c r="X77" i="11"/>
  <c r="W77" i="11" s="1"/>
  <c r="P77" i="11"/>
  <c r="AH76" i="11"/>
  <c r="AF76" i="11"/>
  <c r="Z76" i="11"/>
  <c r="X76" i="11"/>
  <c r="W76" i="11" s="1"/>
  <c r="P76" i="11"/>
  <c r="AH75" i="11"/>
  <c r="AF75" i="11"/>
  <c r="Z75" i="11"/>
  <c r="X75" i="11"/>
  <c r="W75" i="11" s="1"/>
  <c r="P75" i="11"/>
  <c r="AH74" i="11"/>
  <c r="AF74" i="11"/>
  <c r="Z74" i="11"/>
  <c r="X74" i="11"/>
  <c r="W74" i="11" s="1"/>
  <c r="P74" i="11"/>
  <c r="AH73" i="11"/>
  <c r="AF73" i="11"/>
  <c r="Z73" i="11"/>
  <c r="X73" i="11"/>
  <c r="W73" i="11" s="1"/>
  <c r="P73" i="11"/>
  <c r="AH72" i="11"/>
  <c r="AF72" i="11"/>
  <c r="Z72" i="11"/>
  <c r="X72" i="11"/>
  <c r="W72" i="11" s="1"/>
  <c r="P72" i="11"/>
  <c r="AH71" i="11"/>
  <c r="AF71" i="11"/>
  <c r="Z71" i="11"/>
  <c r="X71" i="11"/>
  <c r="W71" i="11" s="1"/>
  <c r="P71" i="11"/>
  <c r="AH70" i="11"/>
  <c r="AF70" i="11"/>
  <c r="Z70" i="11"/>
  <c r="X70" i="11"/>
  <c r="W70" i="11" s="1"/>
  <c r="P70" i="11"/>
  <c r="AH69" i="11"/>
  <c r="AF69" i="11"/>
  <c r="Z69" i="11"/>
  <c r="X69" i="11"/>
  <c r="W69" i="11" s="1"/>
  <c r="P69" i="11"/>
  <c r="AH68" i="11"/>
  <c r="AF68" i="11"/>
  <c r="Z68" i="11"/>
  <c r="X68" i="11"/>
  <c r="W68" i="11" s="1"/>
  <c r="P68" i="11"/>
  <c r="AH67" i="11"/>
  <c r="AF67" i="11"/>
  <c r="Z67" i="11"/>
  <c r="X67" i="11"/>
  <c r="W67" i="11" s="1"/>
  <c r="P67" i="11"/>
  <c r="AH66" i="11"/>
  <c r="AF66" i="11"/>
  <c r="Z66" i="11"/>
  <c r="X66" i="11"/>
  <c r="W66" i="11" s="1"/>
  <c r="P66" i="11"/>
  <c r="AH65" i="11"/>
  <c r="AF65" i="11"/>
  <c r="Z65" i="11"/>
  <c r="X65" i="11"/>
  <c r="W65" i="11" s="1"/>
  <c r="P65" i="11"/>
  <c r="AH64" i="11"/>
  <c r="AF64" i="11"/>
  <c r="Z64" i="11"/>
  <c r="X64" i="11"/>
  <c r="W64" i="11" s="1"/>
  <c r="P64" i="11"/>
  <c r="AH63" i="11"/>
  <c r="AF63" i="11"/>
  <c r="Z63" i="11"/>
  <c r="X63" i="11"/>
  <c r="W63" i="11" s="1"/>
  <c r="P63" i="11"/>
  <c r="AH62" i="11"/>
  <c r="AF62" i="11"/>
  <c r="Z62" i="11"/>
  <c r="X62" i="11"/>
  <c r="W62" i="11" s="1"/>
  <c r="P62" i="11"/>
  <c r="AH61" i="11"/>
  <c r="AF61" i="11"/>
  <c r="Z61" i="11"/>
  <c r="X61" i="11"/>
  <c r="W61" i="11" s="1"/>
  <c r="P61" i="11"/>
  <c r="AH60" i="11"/>
  <c r="AF60" i="11"/>
  <c r="Z60" i="11"/>
  <c r="X60" i="11"/>
  <c r="W60" i="11" s="1"/>
  <c r="P60" i="11"/>
  <c r="AH59" i="11"/>
  <c r="AF59" i="11"/>
  <c r="AE59" i="11" s="1"/>
  <c r="Z59" i="11"/>
  <c r="X59" i="11"/>
  <c r="W59" i="11" s="1"/>
  <c r="P59" i="11"/>
  <c r="AH58" i="11"/>
  <c r="AF58" i="11"/>
  <c r="AE58" i="11" s="1"/>
  <c r="Z58" i="11"/>
  <c r="X58" i="11"/>
  <c r="W58" i="11" s="1"/>
  <c r="P58" i="11"/>
  <c r="AH57" i="11"/>
  <c r="AF57" i="11"/>
  <c r="AE57" i="11" s="1"/>
  <c r="Z57" i="11"/>
  <c r="X57" i="11"/>
  <c r="W57" i="11" s="1"/>
  <c r="P57" i="11"/>
  <c r="AH56" i="11"/>
  <c r="AF56" i="11"/>
  <c r="AE56" i="11" s="1"/>
  <c r="Z56" i="11"/>
  <c r="X56" i="11"/>
  <c r="W56" i="11" s="1"/>
  <c r="P56" i="11"/>
  <c r="AH55" i="11"/>
  <c r="AF55" i="11"/>
  <c r="AE55" i="11" s="1"/>
  <c r="Z55" i="11"/>
  <c r="X55" i="11"/>
  <c r="W55" i="11" s="1"/>
  <c r="P55" i="11"/>
  <c r="AH54" i="11"/>
  <c r="AF54" i="11"/>
  <c r="AE54" i="11" s="1"/>
  <c r="Z54" i="11"/>
  <c r="X54" i="11"/>
  <c r="W54" i="11" s="1"/>
  <c r="AH53" i="11"/>
  <c r="AF53" i="11"/>
  <c r="AE53" i="11" s="1"/>
  <c r="Z53" i="11"/>
  <c r="X53" i="11"/>
  <c r="W53" i="11" s="1"/>
  <c r="AH52" i="11"/>
  <c r="AF52" i="11"/>
  <c r="AE52" i="11" s="1"/>
  <c r="Z52" i="11"/>
  <c r="X52" i="11"/>
  <c r="W52" i="11" s="1"/>
  <c r="AH51" i="11"/>
  <c r="AF51" i="11"/>
  <c r="AE51" i="11" s="1"/>
  <c r="Z51" i="11"/>
  <c r="X51" i="11"/>
  <c r="W51" i="11" s="1"/>
  <c r="AH50" i="11"/>
  <c r="AF50" i="11"/>
  <c r="AE50" i="11" s="1"/>
  <c r="Z50" i="11"/>
  <c r="X50" i="11"/>
  <c r="W50" i="11" s="1"/>
  <c r="AH49" i="11"/>
  <c r="AF49" i="11"/>
  <c r="AE49" i="11" s="1"/>
  <c r="Z49" i="11"/>
  <c r="X49" i="11"/>
  <c r="W49" i="11" s="1"/>
  <c r="AH48" i="11"/>
  <c r="AF48" i="11"/>
  <c r="AE48" i="11" s="1"/>
  <c r="Z48" i="11"/>
  <c r="X48" i="11"/>
  <c r="W48" i="11" s="1"/>
  <c r="AH47" i="11"/>
  <c r="AF47" i="11"/>
  <c r="AE47" i="11" s="1"/>
  <c r="Z47" i="11"/>
  <c r="X47" i="11"/>
  <c r="W47" i="11" s="1"/>
  <c r="AH46" i="11"/>
  <c r="AF46" i="11"/>
  <c r="AE46" i="11" s="1"/>
  <c r="Z46" i="11"/>
  <c r="X46" i="11"/>
  <c r="W46" i="11" s="1"/>
  <c r="AH45" i="11"/>
  <c r="AF45" i="11"/>
  <c r="AE45" i="11" s="1"/>
  <c r="Z45" i="11"/>
  <c r="X45" i="11"/>
  <c r="W45" i="11" s="1"/>
  <c r="AH44" i="11"/>
  <c r="AF44" i="11"/>
  <c r="AE44" i="11" s="1"/>
  <c r="Z44" i="11"/>
  <c r="X44" i="11"/>
  <c r="W44" i="11" s="1"/>
  <c r="AH43" i="11"/>
  <c r="AF43" i="11"/>
  <c r="AE43" i="11" s="1"/>
  <c r="Z43" i="11"/>
  <c r="X43" i="11"/>
  <c r="W43" i="11" s="1"/>
  <c r="AH42" i="11"/>
  <c r="AF42" i="11"/>
  <c r="AE42" i="11" s="1"/>
  <c r="Z42" i="11"/>
  <c r="X42" i="11"/>
  <c r="W42" i="11" s="1"/>
  <c r="AH41" i="11"/>
  <c r="AF41" i="11"/>
  <c r="AE41" i="11" s="1"/>
  <c r="Z41" i="11"/>
  <c r="X41" i="11"/>
  <c r="W41" i="11" s="1"/>
  <c r="AH40" i="11"/>
  <c r="AF40" i="11"/>
  <c r="AE40" i="11" s="1"/>
  <c r="Z40" i="11"/>
  <c r="X40" i="11"/>
  <c r="W40" i="11" s="1"/>
  <c r="AH39" i="11"/>
  <c r="AF39" i="11"/>
  <c r="AE39" i="11" s="1"/>
  <c r="Z39" i="11"/>
  <c r="X39" i="11"/>
  <c r="W39" i="11" s="1"/>
  <c r="AH38" i="11"/>
  <c r="AF38" i="11"/>
  <c r="AE38" i="11" s="1"/>
  <c r="Z38" i="11"/>
  <c r="X38" i="11"/>
  <c r="W38" i="11" s="1"/>
  <c r="AH37" i="11"/>
  <c r="AF37" i="11"/>
  <c r="AE37" i="11" s="1"/>
  <c r="Z37" i="11"/>
  <c r="X37" i="11"/>
  <c r="W37" i="11" s="1"/>
  <c r="AH36" i="11"/>
  <c r="AF36" i="11"/>
  <c r="AE36" i="11" s="1"/>
  <c r="Z36" i="11"/>
  <c r="X36" i="11"/>
  <c r="W36" i="11" s="1"/>
  <c r="AH35" i="11"/>
  <c r="AF35" i="11"/>
  <c r="AE35" i="11" s="1"/>
  <c r="Z35" i="11"/>
  <c r="X35" i="11"/>
  <c r="W35" i="11" s="1"/>
  <c r="AH34" i="11"/>
  <c r="AF34" i="11"/>
  <c r="AE34" i="11" s="1"/>
  <c r="Z34" i="11"/>
  <c r="X34" i="11"/>
  <c r="W34" i="11" s="1"/>
  <c r="AH33" i="11"/>
  <c r="AF33" i="11"/>
  <c r="AE33" i="11" s="1"/>
  <c r="Z33" i="11"/>
  <c r="X33" i="11"/>
  <c r="W33" i="11" s="1"/>
  <c r="AH32" i="11"/>
  <c r="AF32" i="11"/>
  <c r="AE32" i="11" s="1"/>
  <c r="Z32" i="11"/>
  <c r="X32" i="11"/>
  <c r="W32" i="11" s="1"/>
  <c r="AH31" i="11"/>
  <c r="AF31" i="11"/>
  <c r="AE31" i="11" s="1"/>
  <c r="Z31" i="11"/>
  <c r="X31" i="11"/>
  <c r="W31" i="11" s="1"/>
  <c r="AH30" i="11"/>
  <c r="AF30" i="11"/>
  <c r="AE30" i="11" s="1"/>
  <c r="Z30" i="11"/>
  <c r="X30" i="11"/>
  <c r="W30" i="11" s="1"/>
  <c r="AH29" i="11"/>
  <c r="AF29" i="11"/>
  <c r="AE29" i="11" s="1"/>
  <c r="Z29" i="11"/>
  <c r="X29" i="11"/>
  <c r="W29" i="11" s="1"/>
  <c r="AH28" i="11"/>
  <c r="AF28" i="11"/>
  <c r="AE28" i="11" s="1"/>
  <c r="Z28" i="11"/>
  <c r="X28" i="11"/>
  <c r="W28" i="11" s="1"/>
  <c r="AH27" i="11"/>
  <c r="AF27" i="11"/>
  <c r="AE27" i="11" s="1"/>
  <c r="Z27" i="11"/>
  <c r="X27" i="11"/>
  <c r="W27" i="11" s="1"/>
  <c r="AH26" i="11"/>
  <c r="AF26" i="11"/>
  <c r="AE26" i="11" s="1"/>
  <c r="Z26" i="11"/>
  <c r="X26" i="11"/>
  <c r="W26" i="11" s="1"/>
  <c r="AH25" i="11"/>
  <c r="AF25" i="11"/>
  <c r="AE25" i="11" s="1"/>
  <c r="Z25" i="11"/>
  <c r="X25" i="11"/>
  <c r="W25" i="11" s="1"/>
  <c r="AH24" i="11"/>
  <c r="AF24" i="11"/>
  <c r="AE24" i="11" s="1"/>
  <c r="Z24" i="11"/>
  <c r="X24" i="11"/>
  <c r="W24" i="11" s="1"/>
  <c r="AH23" i="11"/>
  <c r="AF23" i="11"/>
  <c r="AE23" i="11" s="1"/>
  <c r="Z23" i="11"/>
  <c r="X23" i="11"/>
  <c r="W23" i="11" s="1"/>
  <c r="AH22" i="11"/>
  <c r="AF22" i="11"/>
  <c r="AE22" i="11" s="1"/>
  <c r="Z22" i="11"/>
  <c r="X22" i="11"/>
  <c r="W22" i="11" s="1"/>
  <c r="AH21" i="11"/>
  <c r="AF21" i="11"/>
  <c r="AE21" i="11" s="1"/>
  <c r="Z21" i="11"/>
  <c r="X21" i="11"/>
  <c r="W21" i="11" s="1"/>
  <c r="AH20" i="11"/>
  <c r="AF20" i="11"/>
  <c r="AE20" i="11" s="1"/>
  <c r="Z20" i="11"/>
  <c r="X20" i="11"/>
  <c r="W20" i="11" s="1"/>
  <c r="AH19" i="11"/>
  <c r="AF19" i="11"/>
  <c r="AE19" i="11" s="1"/>
  <c r="Z19" i="11"/>
  <c r="X19" i="11"/>
  <c r="W19" i="11" s="1"/>
  <c r="AH18" i="11"/>
  <c r="AF18" i="11"/>
  <c r="AE18" i="11" s="1"/>
  <c r="Z18" i="11"/>
  <c r="X18" i="11"/>
  <c r="W18" i="11" s="1"/>
  <c r="AH17" i="11"/>
  <c r="AF17" i="11"/>
  <c r="AE17" i="11" s="1"/>
  <c r="Z17" i="11"/>
  <c r="X17" i="11"/>
  <c r="W17" i="11" s="1"/>
  <c r="AH16" i="11"/>
  <c r="AF16" i="11"/>
  <c r="AE16" i="11" s="1"/>
  <c r="Z16" i="11"/>
  <c r="X16" i="11"/>
  <c r="W16" i="11" s="1"/>
  <c r="AH15" i="11"/>
  <c r="AF15" i="11"/>
  <c r="AE15" i="11" s="1"/>
  <c r="Z15" i="11"/>
  <c r="X15" i="11"/>
  <c r="W15" i="11" s="1"/>
  <c r="P15" i="11"/>
  <c r="P16" i="11" s="1"/>
  <c r="AH14" i="11"/>
  <c r="AF14" i="11"/>
  <c r="AE14" i="11" s="1"/>
  <c r="Z14" i="11"/>
  <c r="X14" i="11"/>
  <c r="W14" i="11" s="1"/>
  <c r="AC11" i="11"/>
  <c r="AB11" i="11" s="1"/>
  <c r="T3" i="11"/>
  <c r="P3" i="11"/>
  <c r="AH120" i="10"/>
  <c r="AF120" i="10"/>
  <c r="Z120" i="10"/>
  <c r="X120" i="10"/>
  <c r="W120" i="10" s="1"/>
  <c r="P120" i="10"/>
  <c r="AH119" i="10"/>
  <c r="AF119" i="10"/>
  <c r="Z119" i="10"/>
  <c r="X119" i="10"/>
  <c r="W119" i="10" s="1"/>
  <c r="P119" i="10"/>
  <c r="AH118" i="10"/>
  <c r="AF118" i="10"/>
  <c r="Z118" i="10"/>
  <c r="X118" i="10"/>
  <c r="W118" i="10" s="1"/>
  <c r="P118" i="10"/>
  <c r="AH117" i="10"/>
  <c r="AF117" i="10"/>
  <c r="Z117" i="10"/>
  <c r="X117" i="10"/>
  <c r="W117" i="10" s="1"/>
  <c r="P117" i="10"/>
  <c r="AH116" i="10"/>
  <c r="AF116" i="10"/>
  <c r="Z116" i="10"/>
  <c r="X116" i="10"/>
  <c r="W116" i="10" s="1"/>
  <c r="P116" i="10"/>
  <c r="AH115" i="10"/>
  <c r="AF115" i="10"/>
  <c r="Z115" i="10"/>
  <c r="X115" i="10"/>
  <c r="W115" i="10" s="1"/>
  <c r="P115" i="10"/>
  <c r="AH114" i="10"/>
  <c r="AF114" i="10"/>
  <c r="Z114" i="10"/>
  <c r="X114" i="10"/>
  <c r="W114" i="10" s="1"/>
  <c r="P114" i="10"/>
  <c r="AH113" i="10"/>
  <c r="AF113" i="10"/>
  <c r="Z113" i="10"/>
  <c r="X113" i="10"/>
  <c r="W113" i="10" s="1"/>
  <c r="P113" i="10"/>
  <c r="AH112" i="10"/>
  <c r="AF112" i="10"/>
  <c r="Z112" i="10"/>
  <c r="X112" i="10"/>
  <c r="W112" i="10" s="1"/>
  <c r="P112" i="10"/>
  <c r="AH111" i="10"/>
  <c r="AF111" i="10"/>
  <c r="Z111" i="10"/>
  <c r="X111" i="10"/>
  <c r="W111" i="10" s="1"/>
  <c r="P111" i="10"/>
  <c r="AH110" i="10"/>
  <c r="AF110" i="10"/>
  <c r="Z110" i="10"/>
  <c r="X110" i="10"/>
  <c r="W110" i="10" s="1"/>
  <c r="P110" i="10"/>
  <c r="AH109" i="10"/>
  <c r="AF109" i="10"/>
  <c r="Z109" i="10"/>
  <c r="X109" i="10"/>
  <c r="W109" i="10" s="1"/>
  <c r="P109" i="10"/>
  <c r="AH108" i="10"/>
  <c r="AF108" i="10"/>
  <c r="Z108" i="10"/>
  <c r="X108" i="10"/>
  <c r="W108" i="10" s="1"/>
  <c r="P108" i="10"/>
  <c r="AH107" i="10"/>
  <c r="AF107" i="10"/>
  <c r="Z107" i="10"/>
  <c r="X107" i="10"/>
  <c r="W107" i="10" s="1"/>
  <c r="P107" i="10"/>
  <c r="AH106" i="10"/>
  <c r="AF106" i="10"/>
  <c r="Z106" i="10"/>
  <c r="X106" i="10"/>
  <c r="W106" i="10" s="1"/>
  <c r="P106" i="10"/>
  <c r="AH105" i="10"/>
  <c r="AF105" i="10"/>
  <c r="Z105" i="10"/>
  <c r="X105" i="10"/>
  <c r="W105" i="10" s="1"/>
  <c r="P105" i="10"/>
  <c r="AH104" i="10"/>
  <c r="AF104" i="10"/>
  <c r="Z104" i="10"/>
  <c r="X104" i="10"/>
  <c r="W104" i="10" s="1"/>
  <c r="P104" i="10"/>
  <c r="AH103" i="10"/>
  <c r="AF103" i="10"/>
  <c r="Z103" i="10"/>
  <c r="X103" i="10"/>
  <c r="W103" i="10" s="1"/>
  <c r="P103" i="10"/>
  <c r="AH102" i="10"/>
  <c r="AF102" i="10"/>
  <c r="Z102" i="10"/>
  <c r="X102" i="10"/>
  <c r="W102" i="10" s="1"/>
  <c r="P102" i="10"/>
  <c r="AH101" i="10"/>
  <c r="AF101" i="10"/>
  <c r="Z101" i="10"/>
  <c r="X101" i="10"/>
  <c r="W101" i="10" s="1"/>
  <c r="P101" i="10"/>
  <c r="AH100" i="10"/>
  <c r="AF100" i="10"/>
  <c r="Z100" i="10"/>
  <c r="X100" i="10"/>
  <c r="W100" i="10" s="1"/>
  <c r="P100" i="10"/>
  <c r="AH99" i="10"/>
  <c r="AF99" i="10"/>
  <c r="Z99" i="10"/>
  <c r="X99" i="10"/>
  <c r="W99" i="10" s="1"/>
  <c r="P99" i="10"/>
  <c r="AH98" i="10"/>
  <c r="AF98" i="10"/>
  <c r="Z98" i="10"/>
  <c r="X98" i="10"/>
  <c r="W98" i="10" s="1"/>
  <c r="P98" i="10"/>
  <c r="AH97" i="10"/>
  <c r="AF97" i="10"/>
  <c r="Z97" i="10"/>
  <c r="X97" i="10"/>
  <c r="W97" i="10" s="1"/>
  <c r="P97" i="10"/>
  <c r="AH96" i="10"/>
  <c r="AF96" i="10"/>
  <c r="Z96" i="10"/>
  <c r="X96" i="10"/>
  <c r="W96" i="10" s="1"/>
  <c r="P96" i="10"/>
  <c r="AH95" i="10"/>
  <c r="AF95" i="10"/>
  <c r="Z95" i="10"/>
  <c r="X95" i="10"/>
  <c r="W95" i="10" s="1"/>
  <c r="P95" i="10"/>
  <c r="AH94" i="10"/>
  <c r="AF94" i="10"/>
  <c r="Z94" i="10"/>
  <c r="X94" i="10"/>
  <c r="W94" i="10" s="1"/>
  <c r="P94" i="10"/>
  <c r="AH93" i="10"/>
  <c r="AF93" i="10"/>
  <c r="Z93" i="10"/>
  <c r="X93" i="10"/>
  <c r="W93" i="10" s="1"/>
  <c r="P93" i="10"/>
  <c r="AH92" i="10"/>
  <c r="AF92" i="10"/>
  <c r="Z92" i="10"/>
  <c r="X92" i="10"/>
  <c r="W92" i="10" s="1"/>
  <c r="P92" i="10"/>
  <c r="AH91" i="10"/>
  <c r="AF91" i="10"/>
  <c r="Z91" i="10"/>
  <c r="X91" i="10"/>
  <c r="W91" i="10" s="1"/>
  <c r="P91" i="10"/>
  <c r="AH90" i="10"/>
  <c r="AF90" i="10"/>
  <c r="Z90" i="10"/>
  <c r="X90" i="10"/>
  <c r="W90" i="10" s="1"/>
  <c r="P90" i="10"/>
  <c r="AH89" i="10"/>
  <c r="AF89" i="10"/>
  <c r="Z89" i="10"/>
  <c r="X89" i="10"/>
  <c r="W89" i="10" s="1"/>
  <c r="P89" i="10"/>
  <c r="AH88" i="10"/>
  <c r="AF88" i="10"/>
  <c r="Z88" i="10"/>
  <c r="X88" i="10"/>
  <c r="W88" i="10" s="1"/>
  <c r="P88" i="10"/>
  <c r="AH87" i="10"/>
  <c r="AF87" i="10"/>
  <c r="Z87" i="10"/>
  <c r="X87" i="10"/>
  <c r="W87" i="10" s="1"/>
  <c r="P87" i="10"/>
  <c r="AH86" i="10"/>
  <c r="AF86" i="10"/>
  <c r="Z86" i="10"/>
  <c r="X86" i="10"/>
  <c r="W86" i="10" s="1"/>
  <c r="P86" i="10"/>
  <c r="AH85" i="10"/>
  <c r="AF85" i="10"/>
  <c r="Z85" i="10"/>
  <c r="X85" i="10"/>
  <c r="W85" i="10" s="1"/>
  <c r="P85" i="10"/>
  <c r="AH84" i="10"/>
  <c r="AF84" i="10"/>
  <c r="Z84" i="10"/>
  <c r="X84" i="10"/>
  <c r="W84" i="10" s="1"/>
  <c r="P84" i="10"/>
  <c r="AH83" i="10"/>
  <c r="AF83" i="10"/>
  <c r="Z83" i="10"/>
  <c r="X83" i="10"/>
  <c r="W83" i="10" s="1"/>
  <c r="P83" i="10"/>
  <c r="AH82" i="10"/>
  <c r="AF82" i="10"/>
  <c r="Z82" i="10"/>
  <c r="X82" i="10"/>
  <c r="W82" i="10" s="1"/>
  <c r="P82" i="10"/>
  <c r="AH81" i="10"/>
  <c r="AF81" i="10"/>
  <c r="Z81" i="10"/>
  <c r="X81" i="10"/>
  <c r="W81" i="10" s="1"/>
  <c r="P81" i="10"/>
  <c r="AH80" i="10"/>
  <c r="AF80" i="10"/>
  <c r="Z80" i="10"/>
  <c r="X80" i="10"/>
  <c r="W80" i="10" s="1"/>
  <c r="P80" i="10"/>
  <c r="AH79" i="10"/>
  <c r="AF79" i="10"/>
  <c r="Z79" i="10"/>
  <c r="X79" i="10"/>
  <c r="W79" i="10" s="1"/>
  <c r="P79" i="10"/>
  <c r="AH78" i="10"/>
  <c r="AF78" i="10"/>
  <c r="Z78" i="10"/>
  <c r="X78" i="10"/>
  <c r="W78" i="10" s="1"/>
  <c r="P78" i="10"/>
  <c r="AH77" i="10"/>
  <c r="AF77" i="10"/>
  <c r="Z77" i="10"/>
  <c r="X77" i="10"/>
  <c r="W77" i="10" s="1"/>
  <c r="P77" i="10"/>
  <c r="AH76" i="10"/>
  <c r="AF76" i="10"/>
  <c r="Z76" i="10"/>
  <c r="X76" i="10"/>
  <c r="W76" i="10" s="1"/>
  <c r="P76" i="10"/>
  <c r="AH75" i="10"/>
  <c r="AF75" i="10"/>
  <c r="Z75" i="10"/>
  <c r="X75" i="10"/>
  <c r="W75" i="10" s="1"/>
  <c r="P75" i="10"/>
  <c r="AH74" i="10"/>
  <c r="AF74" i="10"/>
  <c r="Z74" i="10"/>
  <c r="X74" i="10"/>
  <c r="W74" i="10" s="1"/>
  <c r="P74" i="10"/>
  <c r="AH73" i="10"/>
  <c r="AF73" i="10"/>
  <c r="Z73" i="10"/>
  <c r="X73" i="10"/>
  <c r="W73" i="10" s="1"/>
  <c r="P73" i="10"/>
  <c r="AH72" i="10"/>
  <c r="AF72" i="10"/>
  <c r="Z72" i="10"/>
  <c r="X72" i="10"/>
  <c r="W72" i="10" s="1"/>
  <c r="P72" i="10"/>
  <c r="AH71" i="10"/>
  <c r="AF71" i="10"/>
  <c r="Z71" i="10"/>
  <c r="X71" i="10"/>
  <c r="W71" i="10" s="1"/>
  <c r="P71" i="10"/>
  <c r="AH70" i="10"/>
  <c r="AF70" i="10"/>
  <c r="Z70" i="10"/>
  <c r="X70" i="10"/>
  <c r="W70" i="10" s="1"/>
  <c r="P70" i="10"/>
  <c r="AH69" i="10"/>
  <c r="AF69" i="10"/>
  <c r="Z69" i="10"/>
  <c r="X69" i="10"/>
  <c r="W69" i="10" s="1"/>
  <c r="P69" i="10"/>
  <c r="AH68" i="10"/>
  <c r="AF68" i="10"/>
  <c r="Z68" i="10"/>
  <c r="X68" i="10"/>
  <c r="W68" i="10" s="1"/>
  <c r="P68" i="10"/>
  <c r="AH67" i="10"/>
  <c r="AF67" i="10"/>
  <c r="Z67" i="10"/>
  <c r="X67" i="10"/>
  <c r="W67" i="10" s="1"/>
  <c r="P67" i="10"/>
  <c r="AH66" i="10"/>
  <c r="AF66" i="10"/>
  <c r="Z66" i="10"/>
  <c r="X66" i="10"/>
  <c r="W66" i="10" s="1"/>
  <c r="P66" i="10"/>
  <c r="AH65" i="10"/>
  <c r="AF65" i="10"/>
  <c r="Z65" i="10"/>
  <c r="X65" i="10"/>
  <c r="W65" i="10" s="1"/>
  <c r="P65" i="10"/>
  <c r="AH64" i="10"/>
  <c r="AF64" i="10"/>
  <c r="Z64" i="10"/>
  <c r="X64" i="10"/>
  <c r="W64" i="10" s="1"/>
  <c r="P64" i="10"/>
  <c r="AH63" i="10"/>
  <c r="AF63" i="10"/>
  <c r="Z63" i="10"/>
  <c r="X63" i="10"/>
  <c r="W63" i="10" s="1"/>
  <c r="P63" i="10"/>
  <c r="AH62" i="10"/>
  <c r="AF62" i="10"/>
  <c r="Z62" i="10"/>
  <c r="X62" i="10"/>
  <c r="W62" i="10" s="1"/>
  <c r="P62" i="10"/>
  <c r="AH61" i="10"/>
  <c r="AF61" i="10"/>
  <c r="AE61" i="10" s="1"/>
  <c r="Z61" i="10"/>
  <c r="X61" i="10"/>
  <c r="W61" i="10" s="1"/>
  <c r="P61" i="10"/>
  <c r="AH60" i="10"/>
  <c r="AF60" i="10"/>
  <c r="AE60" i="10" s="1"/>
  <c r="Z60" i="10"/>
  <c r="X60" i="10"/>
  <c r="W60" i="10" s="1"/>
  <c r="P60" i="10"/>
  <c r="AH59" i="10"/>
  <c r="AF59" i="10"/>
  <c r="AE59" i="10" s="1"/>
  <c r="Z59" i="10"/>
  <c r="X59" i="10"/>
  <c r="W59" i="10" s="1"/>
  <c r="P59" i="10"/>
  <c r="AH58" i="10"/>
  <c r="AF58" i="10"/>
  <c r="AE58" i="10" s="1"/>
  <c r="Z58" i="10"/>
  <c r="X58" i="10"/>
  <c r="W58" i="10" s="1"/>
  <c r="P58" i="10"/>
  <c r="AH57" i="10"/>
  <c r="AF57" i="10"/>
  <c r="AE57" i="10" s="1"/>
  <c r="Z57" i="10"/>
  <c r="X57" i="10"/>
  <c r="W57" i="10" s="1"/>
  <c r="P57" i="10"/>
  <c r="AH56" i="10"/>
  <c r="AF56" i="10"/>
  <c r="AE56" i="10" s="1"/>
  <c r="Z56" i="10"/>
  <c r="X56" i="10"/>
  <c r="W56" i="10" s="1"/>
  <c r="P56" i="10"/>
  <c r="AH55" i="10"/>
  <c r="AF55" i="10"/>
  <c r="AE55" i="10" s="1"/>
  <c r="Z55" i="10"/>
  <c r="X55" i="10"/>
  <c r="W55" i="10" s="1"/>
  <c r="P55" i="10"/>
  <c r="AH54" i="10"/>
  <c r="AF54" i="10"/>
  <c r="AE54" i="10" s="1"/>
  <c r="Z54" i="10"/>
  <c r="X54" i="10"/>
  <c r="W54" i="10" s="1"/>
  <c r="AH53" i="10"/>
  <c r="AF53" i="10"/>
  <c r="AE53" i="10" s="1"/>
  <c r="Z53" i="10"/>
  <c r="X53" i="10"/>
  <c r="W53" i="10" s="1"/>
  <c r="AH52" i="10"/>
  <c r="AF52" i="10"/>
  <c r="AE52" i="10" s="1"/>
  <c r="Z52" i="10"/>
  <c r="X52" i="10"/>
  <c r="W52" i="10" s="1"/>
  <c r="AH51" i="10"/>
  <c r="AF51" i="10"/>
  <c r="AE51" i="10" s="1"/>
  <c r="Z51" i="10"/>
  <c r="X51" i="10"/>
  <c r="W51" i="10" s="1"/>
  <c r="AH50" i="10"/>
  <c r="AF50" i="10"/>
  <c r="AE50" i="10" s="1"/>
  <c r="Z50" i="10"/>
  <c r="X50" i="10"/>
  <c r="W50" i="10" s="1"/>
  <c r="AH49" i="10"/>
  <c r="AF49" i="10"/>
  <c r="AE49" i="10" s="1"/>
  <c r="Z49" i="10"/>
  <c r="X49" i="10"/>
  <c r="W49" i="10" s="1"/>
  <c r="AH48" i="10"/>
  <c r="AF48" i="10"/>
  <c r="AE48" i="10" s="1"/>
  <c r="Z48" i="10"/>
  <c r="X48" i="10"/>
  <c r="W48" i="10" s="1"/>
  <c r="AH47" i="10"/>
  <c r="AF47" i="10"/>
  <c r="AE47" i="10" s="1"/>
  <c r="Z47" i="10"/>
  <c r="X47" i="10"/>
  <c r="W47" i="10" s="1"/>
  <c r="AH46" i="10"/>
  <c r="AF46" i="10"/>
  <c r="AE46" i="10" s="1"/>
  <c r="Z46" i="10"/>
  <c r="X46" i="10"/>
  <c r="W46" i="10" s="1"/>
  <c r="AH45" i="10"/>
  <c r="AF45" i="10"/>
  <c r="AE45" i="10" s="1"/>
  <c r="Z45" i="10"/>
  <c r="X45" i="10"/>
  <c r="W45" i="10" s="1"/>
  <c r="AH44" i="10"/>
  <c r="AF44" i="10"/>
  <c r="AE44" i="10" s="1"/>
  <c r="Z44" i="10"/>
  <c r="X44" i="10"/>
  <c r="W44" i="10" s="1"/>
  <c r="AH43" i="10"/>
  <c r="AF43" i="10"/>
  <c r="AE43" i="10" s="1"/>
  <c r="Z43" i="10"/>
  <c r="X43" i="10"/>
  <c r="W43" i="10" s="1"/>
  <c r="AH42" i="10"/>
  <c r="AF42" i="10"/>
  <c r="AE42" i="10" s="1"/>
  <c r="Z42" i="10"/>
  <c r="X42" i="10"/>
  <c r="W42" i="10" s="1"/>
  <c r="AH41" i="10"/>
  <c r="AF41" i="10"/>
  <c r="AE41" i="10" s="1"/>
  <c r="Z41" i="10"/>
  <c r="X41" i="10"/>
  <c r="W41" i="10" s="1"/>
  <c r="AH40" i="10"/>
  <c r="AF40" i="10"/>
  <c r="AE40" i="10" s="1"/>
  <c r="Z40" i="10"/>
  <c r="X40" i="10"/>
  <c r="W40" i="10" s="1"/>
  <c r="AH39" i="10"/>
  <c r="AF39" i="10"/>
  <c r="AE39" i="10" s="1"/>
  <c r="Z39" i="10"/>
  <c r="X39" i="10"/>
  <c r="W39" i="10" s="1"/>
  <c r="AH38" i="10"/>
  <c r="AF38" i="10"/>
  <c r="AE38" i="10" s="1"/>
  <c r="Z38" i="10"/>
  <c r="X38" i="10"/>
  <c r="W38" i="10" s="1"/>
  <c r="AH37" i="10"/>
  <c r="AF37" i="10"/>
  <c r="AE37" i="10" s="1"/>
  <c r="Z37" i="10"/>
  <c r="X37" i="10"/>
  <c r="W37" i="10" s="1"/>
  <c r="AH36" i="10"/>
  <c r="AF36" i="10"/>
  <c r="AE36" i="10" s="1"/>
  <c r="Z36" i="10"/>
  <c r="X36" i="10"/>
  <c r="W36" i="10" s="1"/>
  <c r="AH35" i="10"/>
  <c r="AF35" i="10"/>
  <c r="AE35" i="10" s="1"/>
  <c r="Z35" i="10"/>
  <c r="X35" i="10"/>
  <c r="W35" i="10" s="1"/>
  <c r="AH34" i="10"/>
  <c r="AF34" i="10"/>
  <c r="AE34" i="10" s="1"/>
  <c r="Z34" i="10"/>
  <c r="X34" i="10"/>
  <c r="W34" i="10" s="1"/>
  <c r="AH33" i="10"/>
  <c r="AF33" i="10"/>
  <c r="AE33" i="10" s="1"/>
  <c r="Z33" i="10"/>
  <c r="X33" i="10"/>
  <c r="W33" i="10" s="1"/>
  <c r="AH32" i="10"/>
  <c r="AF32" i="10"/>
  <c r="AE32" i="10" s="1"/>
  <c r="Z32" i="10"/>
  <c r="X32" i="10"/>
  <c r="W32" i="10" s="1"/>
  <c r="AH31" i="10"/>
  <c r="AF31" i="10"/>
  <c r="AE31" i="10" s="1"/>
  <c r="Z31" i="10"/>
  <c r="X31" i="10"/>
  <c r="W31" i="10" s="1"/>
  <c r="AH30" i="10"/>
  <c r="AF30" i="10"/>
  <c r="AE30" i="10" s="1"/>
  <c r="Z30" i="10"/>
  <c r="X30" i="10"/>
  <c r="W30" i="10" s="1"/>
  <c r="AH29" i="10"/>
  <c r="AF29" i="10"/>
  <c r="AE29" i="10" s="1"/>
  <c r="Z29" i="10"/>
  <c r="X29" i="10"/>
  <c r="W29" i="10" s="1"/>
  <c r="AH28" i="10"/>
  <c r="AF28" i="10"/>
  <c r="AE28" i="10" s="1"/>
  <c r="Z28" i="10"/>
  <c r="X28" i="10"/>
  <c r="W28" i="10" s="1"/>
  <c r="AH27" i="10"/>
  <c r="AF27" i="10"/>
  <c r="AE27" i="10" s="1"/>
  <c r="Z27" i="10"/>
  <c r="X27" i="10"/>
  <c r="W27" i="10" s="1"/>
  <c r="AH26" i="10"/>
  <c r="AF26" i="10"/>
  <c r="AE26" i="10" s="1"/>
  <c r="Z26" i="10"/>
  <c r="X26" i="10"/>
  <c r="W26" i="10" s="1"/>
  <c r="AH25" i="10"/>
  <c r="AF25" i="10"/>
  <c r="AE25" i="10" s="1"/>
  <c r="Z25" i="10"/>
  <c r="X25" i="10"/>
  <c r="W25" i="10" s="1"/>
  <c r="AH24" i="10"/>
  <c r="AF24" i="10"/>
  <c r="AE24" i="10" s="1"/>
  <c r="Z24" i="10"/>
  <c r="X24" i="10"/>
  <c r="W24" i="10" s="1"/>
  <c r="AH23" i="10"/>
  <c r="AF23" i="10"/>
  <c r="AE23" i="10" s="1"/>
  <c r="Z23" i="10"/>
  <c r="X23" i="10"/>
  <c r="W23" i="10" s="1"/>
  <c r="AH22" i="10"/>
  <c r="AF22" i="10"/>
  <c r="AE22" i="10" s="1"/>
  <c r="Z22" i="10"/>
  <c r="X22" i="10"/>
  <c r="W22" i="10" s="1"/>
  <c r="AH21" i="10"/>
  <c r="AF21" i="10"/>
  <c r="AE21" i="10" s="1"/>
  <c r="Z21" i="10"/>
  <c r="X21" i="10"/>
  <c r="W21" i="10" s="1"/>
  <c r="AH20" i="10"/>
  <c r="AF20" i="10"/>
  <c r="AE20" i="10" s="1"/>
  <c r="Z20" i="10"/>
  <c r="X20" i="10"/>
  <c r="W20" i="10" s="1"/>
  <c r="AH19" i="10"/>
  <c r="AF19" i="10"/>
  <c r="AE19" i="10" s="1"/>
  <c r="Z19" i="10"/>
  <c r="X19" i="10"/>
  <c r="W19" i="10" s="1"/>
  <c r="AH18" i="10"/>
  <c r="AF18" i="10"/>
  <c r="AE18" i="10" s="1"/>
  <c r="Z18" i="10"/>
  <c r="X18" i="10"/>
  <c r="W18" i="10" s="1"/>
  <c r="AH17" i="10"/>
  <c r="AF17" i="10"/>
  <c r="AE17" i="10" s="1"/>
  <c r="Z17" i="10"/>
  <c r="X17" i="10"/>
  <c r="W17" i="10" s="1"/>
  <c r="AH16" i="10"/>
  <c r="AF16" i="10"/>
  <c r="AE16" i="10" s="1"/>
  <c r="Z16" i="10"/>
  <c r="X16" i="10"/>
  <c r="W16" i="10" s="1"/>
  <c r="AH15" i="10"/>
  <c r="AF15" i="10"/>
  <c r="AE15" i="10" s="1"/>
  <c r="Z15" i="10"/>
  <c r="X15" i="10"/>
  <c r="W15" i="10" s="1"/>
  <c r="P15" i="10"/>
  <c r="P16" i="10" s="1"/>
  <c r="P17" i="10" s="1"/>
  <c r="P18" i="10" s="1"/>
  <c r="P19" i="10" s="1"/>
  <c r="P20" i="10" s="1"/>
  <c r="P21" i="10" s="1"/>
  <c r="P22" i="10" s="1"/>
  <c r="P23" i="10" s="1"/>
  <c r="P24" i="10" s="1"/>
  <c r="P25" i="10" s="1"/>
  <c r="P26" i="10" s="1"/>
  <c r="P27" i="10" s="1"/>
  <c r="P28" i="10" s="1"/>
  <c r="P29" i="10" s="1"/>
  <c r="P30" i="10" s="1"/>
  <c r="P31" i="10" s="1"/>
  <c r="P32" i="10" s="1"/>
  <c r="P33" i="10" s="1"/>
  <c r="P34" i="10" s="1"/>
  <c r="P35" i="10" s="1"/>
  <c r="P36" i="10" s="1"/>
  <c r="P37" i="10" s="1"/>
  <c r="P38" i="10" s="1"/>
  <c r="P39" i="10" s="1"/>
  <c r="P40" i="10" s="1"/>
  <c r="P41" i="10" s="1"/>
  <c r="P42" i="10" s="1"/>
  <c r="P43" i="10" s="1"/>
  <c r="P44" i="10" s="1"/>
  <c r="P45" i="10" s="1"/>
  <c r="P46" i="10" s="1"/>
  <c r="P47" i="10" s="1"/>
  <c r="P48" i="10" s="1"/>
  <c r="P49" i="10" s="1"/>
  <c r="P50" i="10" s="1"/>
  <c r="P51" i="10" s="1"/>
  <c r="P52" i="10" s="1"/>
  <c r="P53" i="10" s="1"/>
  <c r="P54" i="10" s="1"/>
  <c r="AH14" i="10"/>
  <c r="AF14" i="10"/>
  <c r="AE14" i="10" s="1"/>
  <c r="Z14" i="10"/>
  <c r="X14" i="10"/>
  <c r="W14" i="10" s="1"/>
  <c r="AC11" i="10"/>
  <c r="T3" i="10"/>
  <c r="P3" i="10"/>
  <c r="AH120" i="9"/>
  <c r="AF120" i="9"/>
  <c r="Z120" i="9"/>
  <c r="X120" i="9"/>
  <c r="W120" i="9" s="1"/>
  <c r="P120" i="9"/>
  <c r="AH119" i="9"/>
  <c r="AF119" i="9"/>
  <c r="Z119" i="9"/>
  <c r="X119" i="9"/>
  <c r="W119" i="9" s="1"/>
  <c r="P119" i="9"/>
  <c r="AH118" i="9"/>
  <c r="AF118" i="9"/>
  <c r="Z118" i="9"/>
  <c r="X118" i="9"/>
  <c r="W118" i="9" s="1"/>
  <c r="P118" i="9"/>
  <c r="AH117" i="9"/>
  <c r="AF117" i="9"/>
  <c r="Z117" i="9"/>
  <c r="X117" i="9"/>
  <c r="W117" i="9" s="1"/>
  <c r="P117" i="9"/>
  <c r="AH116" i="9"/>
  <c r="AF116" i="9"/>
  <c r="Z116" i="9"/>
  <c r="X116" i="9"/>
  <c r="W116" i="9" s="1"/>
  <c r="P116" i="9"/>
  <c r="AH115" i="9"/>
  <c r="AF115" i="9"/>
  <c r="Z115" i="9"/>
  <c r="X115" i="9"/>
  <c r="W115" i="9" s="1"/>
  <c r="P115" i="9"/>
  <c r="AH114" i="9"/>
  <c r="AF114" i="9"/>
  <c r="Z114" i="9"/>
  <c r="X114" i="9"/>
  <c r="W114" i="9" s="1"/>
  <c r="P114" i="9"/>
  <c r="AH113" i="9"/>
  <c r="AF113" i="9"/>
  <c r="Z113" i="9"/>
  <c r="X113" i="9"/>
  <c r="W113" i="9"/>
  <c r="P113" i="9"/>
  <c r="AH112" i="9"/>
  <c r="AF112" i="9"/>
  <c r="Z112" i="9"/>
  <c r="X112" i="9"/>
  <c r="W112" i="9" s="1"/>
  <c r="P112" i="9"/>
  <c r="AH111" i="9"/>
  <c r="AF111" i="9"/>
  <c r="Z111" i="9"/>
  <c r="X111" i="9"/>
  <c r="W111" i="9" s="1"/>
  <c r="P111" i="9"/>
  <c r="AH110" i="9"/>
  <c r="AF110" i="9"/>
  <c r="Z110" i="9"/>
  <c r="X110" i="9"/>
  <c r="W110" i="9" s="1"/>
  <c r="P110" i="9"/>
  <c r="AH109" i="9"/>
  <c r="AF109" i="9"/>
  <c r="Z109" i="9"/>
  <c r="X109" i="9"/>
  <c r="W109" i="9" s="1"/>
  <c r="P109" i="9"/>
  <c r="AH108" i="9"/>
  <c r="AF108" i="9"/>
  <c r="Z108" i="9"/>
  <c r="X108" i="9"/>
  <c r="W108" i="9" s="1"/>
  <c r="P108" i="9"/>
  <c r="AH107" i="9"/>
  <c r="AF107" i="9"/>
  <c r="Z107" i="9"/>
  <c r="X107" i="9"/>
  <c r="W107" i="9" s="1"/>
  <c r="P107" i="9"/>
  <c r="AH106" i="9"/>
  <c r="AF106" i="9"/>
  <c r="Z106" i="9"/>
  <c r="X106" i="9"/>
  <c r="W106" i="9" s="1"/>
  <c r="P106" i="9"/>
  <c r="AH105" i="9"/>
  <c r="AF105" i="9"/>
  <c r="Z105" i="9"/>
  <c r="X105" i="9"/>
  <c r="W105" i="9" s="1"/>
  <c r="P105" i="9"/>
  <c r="AH104" i="9"/>
  <c r="AF104" i="9"/>
  <c r="Z104" i="9"/>
  <c r="X104" i="9"/>
  <c r="W104" i="9" s="1"/>
  <c r="P104" i="9"/>
  <c r="AH103" i="9"/>
  <c r="AF103" i="9"/>
  <c r="Z103" i="9"/>
  <c r="X103" i="9"/>
  <c r="W103" i="9" s="1"/>
  <c r="P103" i="9"/>
  <c r="AH102" i="9"/>
  <c r="AF102" i="9"/>
  <c r="Z102" i="9"/>
  <c r="X102" i="9"/>
  <c r="W102" i="9" s="1"/>
  <c r="P102" i="9"/>
  <c r="AH101" i="9"/>
  <c r="AF101" i="9"/>
  <c r="Z101" i="9"/>
  <c r="X101" i="9"/>
  <c r="W101" i="9" s="1"/>
  <c r="P101" i="9"/>
  <c r="AH100" i="9"/>
  <c r="AF100" i="9"/>
  <c r="Z100" i="9"/>
  <c r="X100" i="9"/>
  <c r="W100" i="9" s="1"/>
  <c r="P100" i="9"/>
  <c r="AH99" i="9"/>
  <c r="AF99" i="9"/>
  <c r="Z99" i="9"/>
  <c r="X99" i="9"/>
  <c r="W99" i="9" s="1"/>
  <c r="P99" i="9"/>
  <c r="AH98" i="9"/>
  <c r="AF98" i="9"/>
  <c r="Z98" i="9"/>
  <c r="X98" i="9"/>
  <c r="W98" i="9" s="1"/>
  <c r="P98" i="9"/>
  <c r="AH97" i="9"/>
  <c r="AF97" i="9"/>
  <c r="Z97" i="9"/>
  <c r="X97" i="9"/>
  <c r="W97" i="9" s="1"/>
  <c r="P97" i="9"/>
  <c r="AH96" i="9"/>
  <c r="AF96" i="9"/>
  <c r="Z96" i="9"/>
  <c r="X96" i="9"/>
  <c r="W96" i="9" s="1"/>
  <c r="P96" i="9"/>
  <c r="AH95" i="9"/>
  <c r="AF95" i="9"/>
  <c r="Z95" i="9"/>
  <c r="X95" i="9"/>
  <c r="W95" i="9" s="1"/>
  <c r="P95" i="9"/>
  <c r="AH94" i="9"/>
  <c r="AF94" i="9"/>
  <c r="Z94" i="9"/>
  <c r="X94" i="9"/>
  <c r="W94" i="9" s="1"/>
  <c r="P94" i="9"/>
  <c r="AH93" i="9"/>
  <c r="AF93" i="9"/>
  <c r="Z93" i="9"/>
  <c r="X93" i="9"/>
  <c r="W93" i="9" s="1"/>
  <c r="P93" i="9"/>
  <c r="AH92" i="9"/>
  <c r="AF92" i="9"/>
  <c r="Z92" i="9"/>
  <c r="X92" i="9"/>
  <c r="W92" i="9" s="1"/>
  <c r="P92" i="9"/>
  <c r="AH91" i="9"/>
  <c r="AF91" i="9"/>
  <c r="Z91" i="9"/>
  <c r="X91" i="9"/>
  <c r="W91" i="9" s="1"/>
  <c r="P91" i="9"/>
  <c r="AH90" i="9"/>
  <c r="AF90" i="9"/>
  <c r="Z90" i="9"/>
  <c r="X90" i="9"/>
  <c r="W90" i="9" s="1"/>
  <c r="P90" i="9"/>
  <c r="AH89" i="9"/>
  <c r="AF89" i="9"/>
  <c r="Z89" i="9"/>
  <c r="X89" i="9"/>
  <c r="W89" i="9" s="1"/>
  <c r="P89" i="9"/>
  <c r="AH88" i="9"/>
  <c r="AF88" i="9"/>
  <c r="Z88" i="9"/>
  <c r="X88" i="9"/>
  <c r="W88" i="9" s="1"/>
  <c r="P88" i="9"/>
  <c r="AH87" i="9"/>
  <c r="AF87" i="9"/>
  <c r="Z87" i="9"/>
  <c r="X87" i="9"/>
  <c r="W87" i="9" s="1"/>
  <c r="P87" i="9"/>
  <c r="AH86" i="9"/>
  <c r="AF86" i="9"/>
  <c r="Z86" i="9"/>
  <c r="X86" i="9"/>
  <c r="W86" i="9" s="1"/>
  <c r="P86" i="9"/>
  <c r="AH85" i="9"/>
  <c r="AF85" i="9"/>
  <c r="Z85" i="9"/>
  <c r="X85" i="9"/>
  <c r="W85" i="9" s="1"/>
  <c r="P85" i="9"/>
  <c r="AH84" i="9"/>
  <c r="AF84" i="9"/>
  <c r="Z84" i="9"/>
  <c r="X84" i="9"/>
  <c r="W84" i="9" s="1"/>
  <c r="P84" i="9"/>
  <c r="AH83" i="9"/>
  <c r="AF83" i="9"/>
  <c r="Z83" i="9"/>
  <c r="X83" i="9"/>
  <c r="W83" i="9"/>
  <c r="P83" i="9"/>
  <c r="AH82" i="9"/>
  <c r="AF82" i="9"/>
  <c r="Z82" i="9"/>
  <c r="X82" i="9"/>
  <c r="W82" i="9" s="1"/>
  <c r="P82" i="9"/>
  <c r="AH81" i="9"/>
  <c r="AF81" i="9"/>
  <c r="Z81" i="9"/>
  <c r="X81" i="9"/>
  <c r="W81" i="9" s="1"/>
  <c r="P81" i="9"/>
  <c r="AH80" i="9"/>
  <c r="AF80" i="9"/>
  <c r="Z80" i="9"/>
  <c r="X80" i="9"/>
  <c r="W80" i="9" s="1"/>
  <c r="P80" i="9"/>
  <c r="AH79" i="9"/>
  <c r="AF79" i="9"/>
  <c r="Z79" i="9"/>
  <c r="X79" i="9"/>
  <c r="W79" i="9" s="1"/>
  <c r="P79" i="9"/>
  <c r="AH78" i="9"/>
  <c r="AF78" i="9"/>
  <c r="Z78" i="9"/>
  <c r="X78" i="9"/>
  <c r="W78" i="9" s="1"/>
  <c r="P78" i="9"/>
  <c r="AH77" i="9"/>
  <c r="AF77" i="9"/>
  <c r="Z77" i="9"/>
  <c r="X77" i="9"/>
  <c r="W77" i="9" s="1"/>
  <c r="P77" i="9"/>
  <c r="AH76" i="9"/>
  <c r="AF76" i="9"/>
  <c r="Z76" i="9"/>
  <c r="X76" i="9"/>
  <c r="W76" i="9" s="1"/>
  <c r="P76" i="9"/>
  <c r="AH75" i="9"/>
  <c r="AF75" i="9"/>
  <c r="Z75" i="9"/>
  <c r="X75" i="9"/>
  <c r="W75" i="9" s="1"/>
  <c r="P75" i="9"/>
  <c r="AH74" i="9"/>
  <c r="AF74" i="9"/>
  <c r="Z74" i="9"/>
  <c r="X74" i="9"/>
  <c r="W74" i="9" s="1"/>
  <c r="P74" i="9"/>
  <c r="AH73" i="9"/>
  <c r="AF73" i="9"/>
  <c r="Z73" i="9"/>
  <c r="X73" i="9"/>
  <c r="W73" i="9" s="1"/>
  <c r="P73" i="9"/>
  <c r="AH72" i="9"/>
  <c r="AF72" i="9"/>
  <c r="Z72" i="9"/>
  <c r="X72" i="9"/>
  <c r="W72" i="9" s="1"/>
  <c r="P72" i="9"/>
  <c r="AH71" i="9"/>
  <c r="AF71" i="9"/>
  <c r="Z71" i="9"/>
  <c r="X71" i="9"/>
  <c r="W71" i="9" s="1"/>
  <c r="P71" i="9"/>
  <c r="AH70" i="9"/>
  <c r="AF70" i="9"/>
  <c r="Z70" i="9"/>
  <c r="X70" i="9"/>
  <c r="W70" i="9" s="1"/>
  <c r="P70" i="9"/>
  <c r="AH69" i="9"/>
  <c r="AF69" i="9"/>
  <c r="Z69" i="9"/>
  <c r="X69" i="9"/>
  <c r="W69" i="9" s="1"/>
  <c r="P69" i="9"/>
  <c r="AH68" i="9"/>
  <c r="AF68" i="9"/>
  <c r="Z68" i="9"/>
  <c r="X68" i="9"/>
  <c r="W68" i="9" s="1"/>
  <c r="P68" i="9"/>
  <c r="AH67" i="9"/>
  <c r="AF67" i="9"/>
  <c r="Z67" i="9"/>
  <c r="X67" i="9"/>
  <c r="W67" i="9" s="1"/>
  <c r="P67" i="9"/>
  <c r="AH66" i="9"/>
  <c r="AF66" i="9"/>
  <c r="Z66" i="9"/>
  <c r="X66" i="9"/>
  <c r="W66" i="9" s="1"/>
  <c r="P66" i="9"/>
  <c r="AH65" i="9"/>
  <c r="AF65" i="9"/>
  <c r="Z65" i="9"/>
  <c r="X65" i="9"/>
  <c r="W65" i="9" s="1"/>
  <c r="P65" i="9"/>
  <c r="AH64" i="9"/>
  <c r="AF64" i="9"/>
  <c r="Z64" i="9"/>
  <c r="X64" i="9"/>
  <c r="W64" i="9" s="1"/>
  <c r="P64" i="9"/>
  <c r="AH63" i="9"/>
  <c r="AF63" i="9"/>
  <c r="Z63" i="9"/>
  <c r="X63" i="9"/>
  <c r="W63" i="9" s="1"/>
  <c r="P63" i="9"/>
  <c r="AH62" i="9"/>
  <c r="AF62" i="9"/>
  <c r="Z62" i="9"/>
  <c r="X62" i="9"/>
  <c r="W62" i="9" s="1"/>
  <c r="P62" i="9"/>
  <c r="AH61" i="9"/>
  <c r="AF61" i="9"/>
  <c r="Z61" i="9"/>
  <c r="X61" i="9"/>
  <c r="W61" i="9" s="1"/>
  <c r="P61" i="9"/>
  <c r="AH60" i="9"/>
  <c r="AF60" i="9"/>
  <c r="Z60" i="9"/>
  <c r="X60" i="9"/>
  <c r="W60" i="9" s="1"/>
  <c r="P60" i="9"/>
  <c r="AH59" i="9"/>
  <c r="AF59" i="9"/>
  <c r="Z59" i="9"/>
  <c r="X59" i="9"/>
  <c r="W59" i="9" s="1"/>
  <c r="P59" i="9"/>
  <c r="AH58" i="9"/>
  <c r="AF58" i="9"/>
  <c r="Z58" i="9"/>
  <c r="X58" i="9"/>
  <c r="W58" i="9" s="1"/>
  <c r="P58" i="9"/>
  <c r="AH57" i="9"/>
  <c r="AF57" i="9"/>
  <c r="Z57" i="9"/>
  <c r="X57" i="9"/>
  <c r="W57" i="9" s="1"/>
  <c r="P57" i="9"/>
  <c r="AH56" i="9"/>
  <c r="AF56" i="9"/>
  <c r="AE56" i="9" s="1"/>
  <c r="Z56" i="9"/>
  <c r="X56" i="9"/>
  <c r="W56" i="9" s="1"/>
  <c r="P56" i="9"/>
  <c r="AH55" i="9"/>
  <c r="AF55" i="9"/>
  <c r="AE55" i="9" s="1"/>
  <c r="Z55" i="9"/>
  <c r="X55" i="9"/>
  <c r="W55" i="9" s="1"/>
  <c r="P55" i="9"/>
  <c r="AH54" i="9"/>
  <c r="AF54" i="9"/>
  <c r="AE54" i="9" s="1"/>
  <c r="Z54" i="9"/>
  <c r="X54" i="9"/>
  <c r="W54" i="9" s="1"/>
  <c r="AH53" i="9"/>
  <c r="AF53" i="9"/>
  <c r="AE53" i="9" s="1"/>
  <c r="Z53" i="9"/>
  <c r="X53" i="9"/>
  <c r="W53" i="9" s="1"/>
  <c r="AH52" i="9"/>
  <c r="AF52" i="9"/>
  <c r="AE52" i="9" s="1"/>
  <c r="Z52" i="9"/>
  <c r="X52" i="9"/>
  <c r="W52" i="9" s="1"/>
  <c r="AH51" i="9"/>
  <c r="AF51" i="9"/>
  <c r="AE51" i="9" s="1"/>
  <c r="Z51" i="9"/>
  <c r="X51" i="9"/>
  <c r="W51" i="9" s="1"/>
  <c r="AH50" i="9"/>
  <c r="AF50" i="9"/>
  <c r="AE50" i="9" s="1"/>
  <c r="Z50" i="9"/>
  <c r="X50" i="9"/>
  <c r="W50" i="9" s="1"/>
  <c r="AH49" i="9"/>
  <c r="AF49" i="9"/>
  <c r="AE49" i="9" s="1"/>
  <c r="Z49" i="9"/>
  <c r="X49" i="9"/>
  <c r="W49" i="9" s="1"/>
  <c r="AH48" i="9"/>
  <c r="AF48" i="9"/>
  <c r="AE48" i="9" s="1"/>
  <c r="Z48" i="9"/>
  <c r="X48" i="9"/>
  <c r="W48" i="9" s="1"/>
  <c r="AH47" i="9"/>
  <c r="AF47" i="9"/>
  <c r="AE47" i="9" s="1"/>
  <c r="Z47" i="9"/>
  <c r="X47" i="9"/>
  <c r="W47" i="9" s="1"/>
  <c r="AH46" i="9"/>
  <c r="AF46" i="9"/>
  <c r="AE46" i="9" s="1"/>
  <c r="Z46" i="9"/>
  <c r="X46" i="9"/>
  <c r="W46" i="9" s="1"/>
  <c r="AH45" i="9"/>
  <c r="AF45" i="9"/>
  <c r="AE45" i="9" s="1"/>
  <c r="Z45" i="9"/>
  <c r="X45" i="9"/>
  <c r="W45" i="9" s="1"/>
  <c r="AH44" i="9"/>
  <c r="AF44" i="9"/>
  <c r="AE44" i="9" s="1"/>
  <c r="Z44" i="9"/>
  <c r="X44" i="9"/>
  <c r="W44" i="9" s="1"/>
  <c r="AH43" i="9"/>
  <c r="AF43" i="9"/>
  <c r="AE43" i="9" s="1"/>
  <c r="Z43" i="9"/>
  <c r="X43" i="9"/>
  <c r="W43" i="9" s="1"/>
  <c r="AH42" i="9"/>
  <c r="AF42" i="9"/>
  <c r="AE42" i="9" s="1"/>
  <c r="Z42" i="9"/>
  <c r="X42" i="9"/>
  <c r="W42" i="9" s="1"/>
  <c r="AH41" i="9"/>
  <c r="AF41" i="9"/>
  <c r="AE41" i="9" s="1"/>
  <c r="Z41" i="9"/>
  <c r="X41" i="9"/>
  <c r="W41" i="9" s="1"/>
  <c r="AH40" i="9"/>
  <c r="AF40" i="9"/>
  <c r="AE40" i="9" s="1"/>
  <c r="Z40" i="9"/>
  <c r="X40" i="9"/>
  <c r="W40" i="9" s="1"/>
  <c r="AH39" i="9"/>
  <c r="AF39" i="9"/>
  <c r="AE39" i="9" s="1"/>
  <c r="Z39" i="9"/>
  <c r="X39" i="9"/>
  <c r="W39" i="9" s="1"/>
  <c r="AH38" i="9"/>
  <c r="AF38" i="9"/>
  <c r="AE38" i="9" s="1"/>
  <c r="Z38" i="9"/>
  <c r="X38" i="9"/>
  <c r="W38" i="9" s="1"/>
  <c r="AH37" i="9"/>
  <c r="AF37" i="9"/>
  <c r="AE37" i="9" s="1"/>
  <c r="Z37" i="9"/>
  <c r="X37" i="9"/>
  <c r="W37" i="9" s="1"/>
  <c r="AH36" i="9"/>
  <c r="AF36" i="9"/>
  <c r="AE36" i="9" s="1"/>
  <c r="Z36" i="9"/>
  <c r="X36" i="9"/>
  <c r="W36" i="9" s="1"/>
  <c r="AH35" i="9"/>
  <c r="AF35" i="9"/>
  <c r="AE35" i="9" s="1"/>
  <c r="Z35" i="9"/>
  <c r="X35" i="9"/>
  <c r="W35" i="9" s="1"/>
  <c r="AH34" i="9"/>
  <c r="AF34" i="9"/>
  <c r="AE34" i="9" s="1"/>
  <c r="Z34" i="9"/>
  <c r="X34" i="9"/>
  <c r="W34" i="9" s="1"/>
  <c r="AH33" i="9"/>
  <c r="AF33" i="9"/>
  <c r="AE33" i="9" s="1"/>
  <c r="Z33" i="9"/>
  <c r="X33" i="9"/>
  <c r="W33" i="9" s="1"/>
  <c r="AH32" i="9"/>
  <c r="AF32" i="9"/>
  <c r="AE32" i="9" s="1"/>
  <c r="Z32" i="9"/>
  <c r="X32" i="9"/>
  <c r="W32" i="9" s="1"/>
  <c r="AH31" i="9"/>
  <c r="AF31" i="9"/>
  <c r="AE31" i="9" s="1"/>
  <c r="Z31" i="9"/>
  <c r="X31" i="9"/>
  <c r="W31" i="9" s="1"/>
  <c r="AH30" i="9"/>
  <c r="AF30" i="9"/>
  <c r="AE30" i="9" s="1"/>
  <c r="Z30" i="9"/>
  <c r="X30" i="9"/>
  <c r="W30" i="9" s="1"/>
  <c r="AH29" i="9"/>
  <c r="AF29" i="9"/>
  <c r="AE29" i="9" s="1"/>
  <c r="Z29" i="9"/>
  <c r="X29" i="9"/>
  <c r="W29" i="9" s="1"/>
  <c r="AH28" i="9"/>
  <c r="AF28" i="9"/>
  <c r="AE28" i="9" s="1"/>
  <c r="Z28" i="9"/>
  <c r="X28" i="9"/>
  <c r="W28" i="9" s="1"/>
  <c r="AH27" i="9"/>
  <c r="AF27" i="9"/>
  <c r="AE27" i="9" s="1"/>
  <c r="Z27" i="9"/>
  <c r="X27" i="9"/>
  <c r="W27" i="9" s="1"/>
  <c r="AH26" i="9"/>
  <c r="AF26" i="9"/>
  <c r="AE26" i="9" s="1"/>
  <c r="Z26" i="9"/>
  <c r="X26" i="9"/>
  <c r="W26" i="9" s="1"/>
  <c r="AH25" i="9"/>
  <c r="AF25" i="9"/>
  <c r="AE25" i="9" s="1"/>
  <c r="Z25" i="9"/>
  <c r="X25" i="9"/>
  <c r="W25" i="9" s="1"/>
  <c r="AH24" i="9"/>
  <c r="AF24" i="9"/>
  <c r="AE24" i="9" s="1"/>
  <c r="Z24" i="9"/>
  <c r="X24" i="9"/>
  <c r="W24" i="9" s="1"/>
  <c r="AH23" i="9"/>
  <c r="AF23" i="9"/>
  <c r="AE23" i="9" s="1"/>
  <c r="Z23" i="9"/>
  <c r="X23" i="9"/>
  <c r="W23" i="9" s="1"/>
  <c r="AH22" i="9"/>
  <c r="AF22" i="9"/>
  <c r="AE22" i="9" s="1"/>
  <c r="Z22" i="9"/>
  <c r="X22" i="9"/>
  <c r="W22" i="9" s="1"/>
  <c r="AH21" i="9"/>
  <c r="AF21" i="9"/>
  <c r="AE21" i="9" s="1"/>
  <c r="Z21" i="9"/>
  <c r="X21" i="9"/>
  <c r="W21" i="9" s="1"/>
  <c r="AH20" i="9"/>
  <c r="AF20" i="9"/>
  <c r="AE20" i="9" s="1"/>
  <c r="Z20" i="9"/>
  <c r="X20" i="9"/>
  <c r="W20" i="9" s="1"/>
  <c r="AH19" i="9"/>
  <c r="AF19" i="9"/>
  <c r="AE19" i="9" s="1"/>
  <c r="Z19" i="9"/>
  <c r="X19" i="9"/>
  <c r="W19" i="9" s="1"/>
  <c r="AH18" i="9"/>
  <c r="AF18" i="9"/>
  <c r="AE18" i="9" s="1"/>
  <c r="Z18" i="9"/>
  <c r="X18" i="9"/>
  <c r="W18" i="9" s="1"/>
  <c r="AH17" i="9"/>
  <c r="AF17" i="9"/>
  <c r="AE17" i="9" s="1"/>
  <c r="Z17" i="9"/>
  <c r="X17" i="9"/>
  <c r="W17" i="9" s="1"/>
  <c r="AH16" i="9"/>
  <c r="AF16" i="9"/>
  <c r="AE16" i="9" s="1"/>
  <c r="Z16" i="9"/>
  <c r="X16" i="9"/>
  <c r="W16" i="9" s="1"/>
  <c r="AH15" i="9"/>
  <c r="AF15" i="9"/>
  <c r="AE15" i="9" s="1"/>
  <c r="Z15" i="9"/>
  <c r="X15" i="9"/>
  <c r="W15" i="9" s="1"/>
  <c r="P15" i="9"/>
  <c r="P16" i="9" s="1"/>
  <c r="AH14" i="9"/>
  <c r="AF14" i="9"/>
  <c r="AE14" i="9" s="1"/>
  <c r="Z14" i="9"/>
  <c r="X14" i="9"/>
  <c r="W14" i="9" s="1"/>
  <c r="AC11" i="9"/>
  <c r="AB11" i="9" s="1"/>
  <c r="T3" i="9"/>
  <c r="P3" i="9"/>
  <c r="AH120" i="8"/>
  <c r="AF120" i="8"/>
  <c r="Z120" i="8"/>
  <c r="X120" i="8"/>
  <c r="W120" i="8" s="1"/>
  <c r="P120" i="8"/>
  <c r="AH119" i="8"/>
  <c r="AF119" i="8"/>
  <c r="Z119" i="8"/>
  <c r="X119" i="8"/>
  <c r="W119" i="8" s="1"/>
  <c r="P119" i="8"/>
  <c r="AH118" i="8"/>
  <c r="AF118" i="8"/>
  <c r="Z118" i="8"/>
  <c r="X118" i="8"/>
  <c r="W118" i="8" s="1"/>
  <c r="P118" i="8"/>
  <c r="AH117" i="8"/>
  <c r="AF117" i="8"/>
  <c r="Z117" i="8"/>
  <c r="X117" i="8"/>
  <c r="W117" i="8" s="1"/>
  <c r="P117" i="8"/>
  <c r="AH116" i="8"/>
  <c r="AF116" i="8"/>
  <c r="Z116" i="8"/>
  <c r="X116" i="8"/>
  <c r="W116" i="8" s="1"/>
  <c r="P116" i="8"/>
  <c r="AH115" i="8"/>
  <c r="AF115" i="8"/>
  <c r="Z115" i="8"/>
  <c r="X115" i="8"/>
  <c r="W115" i="8" s="1"/>
  <c r="P115" i="8"/>
  <c r="AH114" i="8"/>
  <c r="AF114" i="8"/>
  <c r="Z114" i="8"/>
  <c r="X114" i="8"/>
  <c r="W114" i="8" s="1"/>
  <c r="P114" i="8"/>
  <c r="AH113" i="8"/>
  <c r="AF113" i="8"/>
  <c r="Z113" i="8"/>
  <c r="X113" i="8"/>
  <c r="W113" i="8" s="1"/>
  <c r="P113" i="8"/>
  <c r="AH112" i="8"/>
  <c r="AF112" i="8"/>
  <c r="Z112" i="8"/>
  <c r="X112" i="8"/>
  <c r="W112" i="8"/>
  <c r="P112" i="8"/>
  <c r="AH111" i="8"/>
  <c r="AF111" i="8"/>
  <c r="Z111" i="8"/>
  <c r="X111" i="8"/>
  <c r="W111" i="8" s="1"/>
  <c r="P111" i="8"/>
  <c r="AH110" i="8"/>
  <c r="AF110" i="8"/>
  <c r="Z110" i="8"/>
  <c r="X110" i="8"/>
  <c r="W110" i="8" s="1"/>
  <c r="P110" i="8"/>
  <c r="AH109" i="8"/>
  <c r="AF109" i="8"/>
  <c r="Z109" i="8"/>
  <c r="X109" i="8"/>
  <c r="W109" i="8" s="1"/>
  <c r="P109" i="8"/>
  <c r="AH108" i="8"/>
  <c r="AF108" i="8"/>
  <c r="Z108" i="8"/>
  <c r="X108" i="8"/>
  <c r="W108" i="8" s="1"/>
  <c r="P108" i="8"/>
  <c r="AH107" i="8"/>
  <c r="AF107" i="8"/>
  <c r="Z107" i="8"/>
  <c r="X107" i="8"/>
  <c r="W107" i="8" s="1"/>
  <c r="P107" i="8"/>
  <c r="AH106" i="8"/>
  <c r="AF106" i="8"/>
  <c r="Z106" i="8"/>
  <c r="X106" i="8"/>
  <c r="W106" i="8" s="1"/>
  <c r="P106" i="8"/>
  <c r="AH105" i="8"/>
  <c r="AF105" i="8"/>
  <c r="Z105" i="8"/>
  <c r="X105" i="8"/>
  <c r="W105" i="8" s="1"/>
  <c r="P105" i="8"/>
  <c r="AH104" i="8"/>
  <c r="AF104" i="8"/>
  <c r="Z104" i="8"/>
  <c r="X104" i="8"/>
  <c r="W104" i="8" s="1"/>
  <c r="P104" i="8"/>
  <c r="AH103" i="8"/>
  <c r="AF103" i="8"/>
  <c r="Z103" i="8"/>
  <c r="X103" i="8"/>
  <c r="W103" i="8" s="1"/>
  <c r="P103" i="8"/>
  <c r="AH102" i="8"/>
  <c r="AF102" i="8"/>
  <c r="Z102" i="8"/>
  <c r="X102" i="8"/>
  <c r="W102" i="8" s="1"/>
  <c r="P102" i="8"/>
  <c r="AH101" i="8"/>
  <c r="AF101" i="8"/>
  <c r="Z101" i="8"/>
  <c r="X101" i="8"/>
  <c r="W101" i="8" s="1"/>
  <c r="P101" i="8"/>
  <c r="AH100" i="8"/>
  <c r="AF100" i="8"/>
  <c r="Z100" i="8"/>
  <c r="X100" i="8"/>
  <c r="W100" i="8" s="1"/>
  <c r="P100" i="8"/>
  <c r="AH99" i="8"/>
  <c r="AF99" i="8"/>
  <c r="Z99" i="8"/>
  <c r="X99" i="8"/>
  <c r="W99" i="8" s="1"/>
  <c r="P99" i="8"/>
  <c r="AH98" i="8"/>
  <c r="AF98" i="8"/>
  <c r="Z98" i="8"/>
  <c r="X98" i="8"/>
  <c r="W98" i="8" s="1"/>
  <c r="P98" i="8"/>
  <c r="AH97" i="8"/>
  <c r="AF97" i="8"/>
  <c r="Z97" i="8"/>
  <c r="X97" i="8"/>
  <c r="W97" i="8" s="1"/>
  <c r="P97" i="8"/>
  <c r="AH96" i="8"/>
  <c r="AF96" i="8"/>
  <c r="Z96" i="8"/>
  <c r="X96" i="8"/>
  <c r="W96" i="8" s="1"/>
  <c r="P96" i="8"/>
  <c r="AH95" i="8"/>
  <c r="AF95" i="8"/>
  <c r="Z95" i="8"/>
  <c r="X95" i="8"/>
  <c r="W95" i="8" s="1"/>
  <c r="P95" i="8"/>
  <c r="AH94" i="8"/>
  <c r="AF94" i="8"/>
  <c r="Z94" i="8"/>
  <c r="X94" i="8"/>
  <c r="W94" i="8" s="1"/>
  <c r="P94" i="8"/>
  <c r="AH93" i="8"/>
  <c r="AF93" i="8"/>
  <c r="Z93" i="8"/>
  <c r="X93" i="8"/>
  <c r="W93" i="8" s="1"/>
  <c r="P93" i="8"/>
  <c r="AH92" i="8"/>
  <c r="AF92" i="8"/>
  <c r="Z92" i="8"/>
  <c r="X92" i="8"/>
  <c r="W92" i="8" s="1"/>
  <c r="P92" i="8"/>
  <c r="AH91" i="8"/>
  <c r="AF91" i="8"/>
  <c r="Z91" i="8"/>
  <c r="X91" i="8"/>
  <c r="W91" i="8" s="1"/>
  <c r="P91" i="8"/>
  <c r="AH90" i="8"/>
  <c r="AF90" i="8"/>
  <c r="Z90" i="8"/>
  <c r="X90" i="8"/>
  <c r="W90" i="8" s="1"/>
  <c r="P90" i="8"/>
  <c r="AH89" i="8"/>
  <c r="AF89" i="8"/>
  <c r="Z89" i="8"/>
  <c r="X89" i="8"/>
  <c r="W89" i="8" s="1"/>
  <c r="P89" i="8"/>
  <c r="AH88" i="8"/>
  <c r="AF88" i="8"/>
  <c r="Z88" i="8"/>
  <c r="X88" i="8"/>
  <c r="W88" i="8" s="1"/>
  <c r="P88" i="8"/>
  <c r="AH87" i="8"/>
  <c r="AF87" i="8"/>
  <c r="Z87" i="8"/>
  <c r="X87" i="8"/>
  <c r="W87" i="8" s="1"/>
  <c r="P87" i="8"/>
  <c r="AH86" i="8"/>
  <c r="AF86" i="8"/>
  <c r="Z86" i="8"/>
  <c r="X86" i="8"/>
  <c r="W86" i="8" s="1"/>
  <c r="P86" i="8"/>
  <c r="AH85" i="8"/>
  <c r="AF85" i="8"/>
  <c r="Z85" i="8"/>
  <c r="X85" i="8"/>
  <c r="W85" i="8" s="1"/>
  <c r="P85" i="8"/>
  <c r="AH84" i="8"/>
  <c r="AF84" i="8"/>
  <c r="Z84" i="8"/>
  <c r="X84" i="8"/>
  <c r="W84" i="8" s="1"/>
  <c r="P84" i="8"/>
  <c r="AH83" i="8"/>
  <c r="AF83" i="8"/>
  <c r="Z83" i="8"/>
  <c r="X83" i="8"/>
  <c r="W83" i="8" s="1"/>
  <c r="P83" i="8"/>
  <c r="AH82" i="8"/>
  <c r="AF82" i="8"/>
  <c r="Z82" i="8"/>
  <c r="X82" i="8"/>
  <c r="W82" i="8" s="1"/>
  <c r="P82" i="8"/>
  <c r="AH81" i="8"/>
  <c r="AF81" i="8"/>
  <c r="Z81" i="8"/>
  <c r="X81" i="8"/>
  <c r="W81" i="8" s="1"/>
  <c r="P81" i="8"/>
  <c r="AH80" i="8"/>
  <c r="AF80" i="8"/>
  <c r="Z80" i="8"/>
  <c r="X80" i="8"/>
  <c r="W80" i="8" s="1"/>
  <c r="P80" i="8"/>
  <c r="AH79" i="8"/>
  <c r="AF79" i="8"/>
  <c r="Z79" i="8"/>
  <c r="X79" i="8"/>
  <c r="W79" i="8" s="1"/>
  <c r="P79" i="8"/>
  <c r="AH78" i="8"/>
  <c r="AF78" i="8"/>
  <c r="Z78" i="8"/>
  <c r="X78" i="8"/>
  <c r="W78" i="8" s="1"/>
  <c r="P78" i="8"/>
  <c r="AH77" i="8"/>
  <c r="AF77" i="8"/>
  <c r="Z77" i="8"/>
  <c r="X77" i="8"/>
  <c r="W77" i="8" s="1"/>
  <c r="P77" i="8"/>
  <c r="AH76" i="8"/>
  <c r="AF76" i="8"/>
  <c r="Z76" i="8"/>
  <c r="X76" i="8"/>
  <c r="W76" i="8" s="1"/>
  <c r="P76" i="8"/>
  <c r="AH75" i="8"/>
  <c r="AF75" i="8"/>
  <c r="Z75" i="8"/>
  <c r="X75" i="8"/>
  <c r="W75" i="8" s="1"/>
  <c r="P75" i="8"/>
  <c r="AH74" i="8"/>
  <c r="AF74" i="8"/>
  <c r="Z74" i="8"/>
  <c r="X74" i="8"/>
  <c r="W74" i="8"/>
  <c r="P74" i="8"/>
  <c r="AH73" i="8"/>
  <c r="AF73" i="8"/>
  <c r="Z73" i="8"/>
  <c r="X73" i="8"/>
  <c r="W73" i="8" s="1"/>
  <c r="P73" i="8"/>
  <c r="AH72" i="8"/>
  <c r="AF72" i="8"/>
  <c r="Z72" i="8"/>
  <c r="X72" i="8"/>
  <c r="W72" i="8" s="1"/>
  <c r="P72" i="8"/>
  <c r="AH71" i="8"/>
  <c r="AF71" i="8"/>
  <c r="Z71" i="8"/>
  <c r="X71" i="8"/>
  <c r="W71" i="8" s="1"/>
  <c r="P71" i="8"/>
  <c r="AH70" i="8"/>
  <c r="AF70" i="8"/>
  <c r="Z70" i="8"/>
  <c r="X70" i="8"/>
  <c r="W70" i="8" s="1"/>
  <c r="P70" i="8"/>
  <c r="AH69" i="8"/>
  <c r="AF69" i="8"/>
  <c r="Z69" i="8"/>
  <c r="X69" i="8"/>
  <c r="W69" i="8" s="1"/>
  <c r="P69" i="8"/>
  <c r="AH68" i="8"/>
  <c r="AF68" i="8"/>
  <c r="Z68" i="8"/>
  <c r="X68" i="8"/>
  <c r="W68" i="8" s="1"/>
  <c r="P68" i="8"/>
  <c r="AH67" i="8"/>
  <c r="AF67" i="8"/>
  <c r="Z67" i="8"/>
  <c r="X67" i="8"/>
  <c r="W67" i="8" s="1"/>
  <c r="P67" i="8"/>
  <c r="AH66" i="8"/>
  <c r="AF66" i="8"/>
  <c r="Z66" i="8"/>
  <c r="X66" i="8"/>
  <c r="W66" i="8" s="1"/>
  <c r="P66" i="8"/>
  <c r="AH65" i="8"/>
  <c r="AF65" i="8"/>
  <c r="Z65" i="8"/>
  <c r="X65" i="8"/>
  <c r="W65" i="8" s="1"/>
  <c r="P65" i="8"/>
  <c r="AH64" i="8"/>
  <c r="AF64" i="8"/>
  <c r="Z64" i="8"/>
  <c r="X64" i="8"/>
  <c r="W64" i="8" s="1"/>
  <c r="P64" i="8"/>
  <c r="AH63" i="8"/>
  <c r="AF63" i="8"/>
  <c r="Z63" i="8"/>
  <c r="X63" i="8"/>
  <c r="W63" i="8" s="1"/>
  <c r="P63" i="8"/>
  <c r="AH62" i="8"/>
  <c r="AF62" i="8"/>
  <c r="Z62" i="8"/>
  <c r="X62" i="8"/>
  <c r="W62" i="8" s="1"/>
  <c r="P62" i="8"/>
  <c r="AH61" i="8"/>
  <c r="AF61" i="8"/>
  <c r="Z61" i="8"/>
  <c r="X61" i="8"/>
  <c r="W61" i="8" s="1"/>
  <c r="P61" i="8"/>
  <c r="AH60" i="8"/>
  <c r="AF60" i="8"/>
  <c r="Z60" i="8"/>
  <c r="X60" i="8"/>
  <c r="W60" i="8" s="1"/>
  <c r="P60" i="8"/>
  <c r="AH59" i="8"/>
  <c r="AF59" i="8"/>
  <c r="Z59" i="8"/>
  <c r="X59" i="8"/>
  <c r="W59" i="8" s="1"/>
  <c r="P59" i="8"/>
  <c r="AH58" i="8"/>
  <c r="AF58" i="8"/>
  <c r="Z58" i="8"/>
  <c r="X58" i="8"/>
  <c r="W58" i="8" s="1"/>
  <c r="P58" i="8"/>
  <c r="AH57" i="8"/>
  <c r="AF57" i="8"/>
  <c r="Z57" i="8"/>
  <c r="X57" i="8"/>
  <c r="W57" i="8" s="1"/>
  <c r="P57" i="8"/>
  <c r="AH56" i="8"/>
  <c r="AF56" i="8"/>
  <c r="Z56" i="8"/>
  <c r="X56" i="8"/>
  <c r="W56" i="8" s="1"/>
  <c r="P56" i="8"/>
  <c r="AH55" i="8"/>
  <c r="AF55" i="8"/>
  <c r="Z55" i="8"/>
  <c r="X55" i="8"/>
  <c r="W55" i="8" s="1"/>
  <c r="P55" i="8"/>
  <c r="AH54" i="8"/>
  <c r="AF54" i="8"/>
  <c r="AE54" i="8" s="1"/>
  <c r="Z54" i="8"/>
  <c r="X54" i="8"/>
  <c r="W54" i="8" s="1"/>
  <c r="AH53" i="8"/>
  <c r="AF53" i="8"/>
  <c r="AE53" i="8" s="1"/>
  <c r="Z53" i="8"/>
  <c r="X53" i="8"/>
  <c r="W53" i="8" s="1"/>
  <c r="AH52" i="8"/>
  <c r="AF52" i="8"/>
  <c r="AE52" i="8" s="1"/>
  <c r="Z52" i="8"/>
  <c r="X52" i="8"/>
  <c r="W52" i="8" s="1"/>
  <c r="AH51" i="8"/>
  <c r="AF51" i="8"/>
  <c r="AE51" i="8" s="1"/>
  <c r="Z51" i="8"/>
  <c r="X51" i="8"/>
  <c r="W51" i="8" s="1"/>
  <c r="AH50" i="8"/>
  <c r="AF50" i="8"/>
  <c r="AE50" i="8" s="1"/>
  <c r="Z50" i="8"/>
  <c r="X50" i="8"/>
  <c r="W50" i="8" s="1"/>
  <c r="AH49" i="8"/>
  <c r="AF49" i="8"/>
  <c r="AE49" i="8" s="1"/>
  <c r="Z49" i="8"/>
  <c r="X49" i="8"/>
  <c r="W49" i="8" s="1"/>
  <c r="AH48" i="8"/>
  <c r="AF48" i="8"/>
  <c r="AE48" i="8" s="1"/>
  <c r="Z48" i="8"/>
  <c r="X48" i="8"/>
  <c r="W48" i="8" s="1"/>
  <c r="AH47" i="8"/>
  <c r="AF47" i="8"/>
  <c r="AE47" i="8" s="1"/>
  <c r="Z47" i="8"/>
  <c r="X47" i="8"/>
  <c r="W47" i="8" s="1"/>
  <c r="AH46" i="8"/>
  <c r="AF46" i="8"/>
  <c r="AE46" i="8" s="1"/>
  <c r="Z46" i="8"/>
  <c r="X46" i="8"/>
  <c r="W46" i="8" s="1"/>
  <c r="AH45" i="8"/>
  <c r="AF45" i="8"/>
  <c r="AE45" i="8" s="1"/>
  <c r="Z45" i="8"/>
  <c r="X45" i="8"/>
  <c r="W45" i="8" s="1"/>
  <c r="AH44" i="8"/>
  <c r="AF44" i="8"/>
  <c r="AE44" i="8" s="1"/>
  <c r="Z44" i="8"/>
  <c r="X44" i="8"/>
  <c r="W44" i="8" s="1"/>
  <c r="AH43" i="8"/>
  <c r="AF43" i="8"/>
  <c r="AE43" i="8" s="1"/>
  <c r="Z43" i="8"/>
  <c r="X43" i="8"/>
  <c r="W43" i="8" s="1"/>
  <c r="AH42" i="8"/>
  <c r="AF42" i="8"/>
  <c r="AE42" i="8" s="1"/>
  <c r="Z42" i="8"/>
  <c r="X42" i="8"/>
  <c r="W42" i="8" s="1"/>
  <c r="AH41" i="8"/>
  <c r="AF41" i="8"/>
  <c r="AE41" i="8" s="1"/>
  <c r="Z41" i="8"/>
  <c r="X41" i="8"/>
  <c r="W41" i="8" s="1"/>
  <c r="AH40" i="8"/>
  <c r="AF40" i="8"/>
  <c r="AE40" i="8" s="1"/>
  <c r="Z40" i="8"/>
  <c r="X40" i="8"/>
  <c r="W40" i="8" s="1"/>
  <c r="AH39" i="8"/>
  <c r="AF39" i="8"/>
  <c r="AE39" i="8" s="1"/>
  <c r="Z39" i="8"/>
  <c r="X39" i="8"/>
  <c r="W39" i="8" s="1"/>
  <c r="AH38" i="8"/>
  <c r="AF38" i="8"/>
  <c r="AE38" i="8" s="1"/>
  <c r="Z38" i="8"/>
  <c r="X38" i="8"/>
  <c r="W38" i="8" s="1"/>
  <c r="AH37" i="8"/>
  <c r="AF37" i="8"/>
  <c r="AE37" i="8" s="1"/>
  <c r="Z37" i="8"/>
  <c r="X37" i="8"/>
  <c r="W37" i="8" s="1"/>
  <c r="AH36" i="8"/>
  <c r="AF36" i="8"/>
  <c r="AE36" i="8" s="1"/>
  <c r="Z36" i="8"/>
  <c r="X36" i="8"/>
  <c r="W36" i="8" s="1"/>
  <c r="AH35" i="8"/>
  <c r="AF35" i="8"/>
  <c r="AE35" i="8" s="1"/>
  <c r="Z35" i="8"/>
  <c r="X35" i="8"/>
  <c r="W35" i="8" s="1"/>
  <c r="AH34" i="8"/>
  <c r="AF34" i="8"/>
  <c r="AE34" i="8" s="1"/>
  <c r="Z34" i="8"/>
  <c r="X34" i="8"/>
  <c r="W34" i="8" s="1"/>
  <c r="AH33" i="8"/>
  <c r="AF33" i="8"/>
  <c r="AE33" i="8" s="1"/>
  <c r="Z33" i="8"/>
  <c r="X33" i="8"/>
  <c r="W33" i="8" s="1"/>
  <c r="AH32" i="8"/>
  <c r="AF32" i="8"/>
  <c r="AE32" i="8" s="1"/>
  <c r="Z32" i="8"/>
  <c r="X32" i="8"/>
  <c r="W32" i="8" s="1"/>
  <c r="AH31" i="8"/>
  <c r="AF31" i="8"/>
  <c r="AE31" i="8" s="1"/>
  <c r="Z31" i="8"/>
  <c r="X31" i="8"/>
  <c r="W31" i="8" s="1"/>
  <c r="AH30" i="8"/>
  <c r="AF30" i="8"/>
  <c r="AE30" i="8" s="1"/>
  <c r="Z30" i="8"/>
  <c r="X30" i="8"/>
  <c r="W30" i="8" s="1"/>
  <c r="AH29" i="8"/>
  <c r="AF29" i="8"/>
  <c r="AE29" i="8" s="1"/>
  <c r="Z29" i="8"/>
  <c r="X29" i="8"/>
  <c r="W29" i="8" s="1"/>
  <c r="AH28" i="8"/>
  <c r="AF28" i="8"/>
  <c r="AE28" i="8" s="1"/>
  <c r="Z28" i="8"/>
  <c r="X28" i="8"/>
  <c r="W28" i="8" s="1"/>
  <c r="AH27" i="8"/>
  <c r="AF27" i="8"/>
  <c r="AE27" i="8" s="1"/>
  <c r="Z27" i="8"/>
  <c r="X27" i="8"/>
  <c r="W27" i="8" s="1"/>
  <c r="AH26" i="8"/>
  <c r="AF26" i="8"/>
  <c r="AE26" i="8" s="1"/>
  <c r="Z26" i="8"/>
  <c r="X26" i="8"/>
  <c r="W26" i="8" s="1"/>
  <c r="AH25" i="8"/>
  <c r="AF25" i="8"/>
  <c r="AE25" i="8" s="1"/>
  <c r="Z25" i="8"/>
  <c r="X25" i="8"/>
  <c r="W25" i="8" s="1"/>
  <c r="AH24" i="8"/>
  <c r="AF24" i="8"/>
  <c r="AE24" i="8" s="1"/>
  <c r="Z24" i="8"/>
  <c r="X24" i="8"/>
  <c r="W24" i="8" s="1"/>
  <c r="AH23" i="8"/>
  <c r="AF23" i="8"/>
  <c r="AE23" i="8" s="1"/>
  <c r="Z23" i="8"/>
  <c r="X23" i="8"/>
  <c r="W23" i="8" s="1"/>
  <c r="AH22" i="8"/>
  <c r="AF22" i="8"/>
  <c r="AE22" i="8" s="1"/>
  <c r="Z22" i="8"/>
  <c r="X22" i="8"/>
  <c r="W22" i="8" s="1"/>
  <c r="AH21" i="8"/>
  <c r="AF21" i="8"/>
  <c r="AE21" i="8" s="1"/>
  <c r="Z21" i="8"/>
  <c r="X21" i="8"/>
  <c r="W21" i="8" s="1"/>
  <c r="AH20" i="8"/>
  <c r="AF20" i="8"/>
  <c r="AE20" i="8" s="1"/>
  <c r="Z20" i="8"/>
  <c r="X20" i="8"/>
  <c r="W20" i="8" s="1"/>
  <c r="AH19" i="8"/>
  <c r="AF19" i="8"/>
  <c r="AE19" i="8" s="1"/>
  <c r="Z19" i="8"/>
  <c r="X19" i="8"/>
  <c r="W19" i="8" s="1"/>
  <c r="AH18" i="8"/>
  <c r="AF18" i="8"/>
  <c r="AE18" i="8" s="1"/>
  <c r="Z18" i="8"/>
  <c r="X18" i="8"/>
  <c r="W18" i="8" s="1"/>
  <c r="AH17" i="8"/>
  <c r="AF17" i="8"/>
  <c r="AE17" i="8" s="1"/>
  <c r="Z17" i="8"/>
  <c r="X17" i="8"/>
  <c r="W17" i="8" s="1"/>
  <c r="AH16" i="8"/>
  <c r="AF16" i="8"/>
  <c r="AE16" i="8" s="1"/>
  <c r="Z16" i="8"/>
  <c r="X16" i="8"/>
  <c r="W16" i="8" s="1"/>
  <c r="AH15" i="8"/>
  <c r="AF15" i="8"/>
  <c r="AE15" i="8" s="1"/>
  <c r="Z15" i="8"/>
  <c r="X15" i="8"/>
  <c r="W15" i="8" s="1"/>
  <c r="P15" i="8"/>
  <c r="P16" i="8" s="1"/>
  <c r="P17" i="8" s="1"/>
  <c r="P18" i="8" s="1"/>
  <c r="P19" i="8" s="1"/>
  <c r="P20" i="8" s="1"/>
  <c r="P21" i="8" s="1"/>
  <c r="P22" i="8" s="1"/>
  <c r="P23" i="8" s="1"/>
  <c r="P24" i="8" s="1"/>
  <c r="P25" i="8" s="1"/>
  <c r="P26" i="8" s="1"/>
  <c r="P27" i="8" s="1"/>
  <c r="P28" i="8" s="1"/>
  <c r="P29" i="8" s="1"/>
  <c r="P30" i="8" s="1"/>
  <c r="P31" i="8" s="1"/>
  <c r="P32" i="8" s="1"/>
  <c r="P33" i="8" s="1"/>
  <c r="P34" i="8" s="1"/>
  <c r="P35" i="8" s="1"/>
  <c r="P36" i="8" s="1"/>
  <c r="P37" i="8" s="1"/>
  <c r="P38" i="8" s="1"/>
  <c r="P39" i="8" s="1"/>
  <c r="P40" i="8" s="1"/>
  <c r="P41" i="8" s="1"/>
  <c r="P42" i="8" s="1"/>
  <c r="P43" i="8" s="1"/>
  <c r="P44" i="8" s="1"/>
  <c r="P45" i="8" s="1"/>
  <c r="P46" i="8" s="1"/>
  <c r="P47" i="8" s="1"/>
  <c r="P48" i="8" s="1"/>
  <c r="P49" i="8" s="1"/>
  <c r="P50" i="8" s="1"/>
  <c r="P51" i="8" s="1"/>
  <c r="P52" i="8" s="1"/>
  <c r="P53" i="8" s="1"/>
  <c r="P54" i="8" s="1"/>
  <c r="AH14" i="8"/>
  <c r="AF14" i="8"/>
  <c r="AE14" i="8" s="1"/>
  <c r="Z14" i="8"/>
  <c r="X14" i="8"/>
  <c r="W14" i="8" s="1"/>
  <c r="AC11" i="8"/>
  <c r="T3" i="8"/>
  <c r="P3" i="8"/>
  <c r="AH120" i="7"/>
  <c r="AF120" i="7"/>
  <c r="Z120" i="7"/>
  <c r="X120" i="7"/>
  <c r="W120" i="7" s="1"/>
  <c r="P120" i="7"/>
  <c r="AH119" i="7"/>
  <c r="AF119" i="7"/>
  <c r="Z119" i="7"/>
  <c r="X119" i="7"/>
  <c r="W119" i="7" s="1"/>
  <c r="P119" i="7"/>
  <c r="AH118" i="7"/>
  <c r="AF118" i="7"/>
  <c r="Z118" i="7"/>
  <c r="X118" i="7"/>
  <c r="W118" i="7" s="1"/>
  <c r="P118" i="7"/>
  <c r="AH117" i="7"/>
  <c r="AF117" i="7"/>
  <c r="Z117" i="7"/>
  <c r="X117" i="7"/>
  <c r="W117" i="7" s="1"/>
  <c r="P117" i="7"/>
  <c r="AH116" i="7"/>
  <c r="AF116" i="7"/>
  <c r="Z116" i="7"/>
  <c r="X116" i="7"/>
  <c r="W116" i="7" s="1"/>
  <c r="P116" i="7"/>
  <c r="AH115" i="7"/>
  <c r="AF115" i="7"/>
  <c r="Z115" i="7"/>
  <c r="X115" i="7"/>
  <c r="W115" i="7" s="1"/>
  <c r="P115" i="7"/>
  <c r="AH114" i="7"/>
  <c r="AF114" i="7"/>
  <c r="Z114" i="7"/>
  <c r="X114" i="7"/>
  <c r="W114" i="7" s="1"/>
  <c r="P114" i="7"/>
  <c r="AH113" i="7"/>
  <c r="AF113" i="7"/>
  <c r="Z113" i="7"/>
  <c r="X113" i="7"/>
  <c r="W113" i="7" s="1"/>
  <c r="P113" i="7"/>
  <c r="AH112" i="7"/>
  <c r="AF112" i="7"/>
  <c r="Z112" i="7"/>
  <c r="X112" i="7"/>
  <c r="W112" i="7"/>
  <c r="P112" i="7"/>
  <c r="AH111" i="7"/>
  <c r="AF111" i="7"/>
  <c r="Z111" i="7"/>
  <c r="X111" i="7"/>
  <c r="W111" i="7" s="1"/>
  <c r="P111" i="7"/>
  <c r="AH110" i="7"/>
  <c r="AF110" i="7"/>
  <c r="Z110" i="7"/>
  <c r="X110" i="7"/>
  <c r="W110" i="7" s="1"/>
  <c r="P110" i="7"/>
  <c r="AH109" i="7"/>
  <c r="AF109" i="7"/>
  <c r="Z109" i="7"/>
  <c r="X109" i="7"/>
  <c r="W109" i="7" s="1"/>
  <c r="P109" i="7"/>
  <c r="AH108" i="7"/>
  <c r="AF108" i="7"/>
  <c r="Z108" i="7"/>
  <c r="X108" i="7"/>
  <c r="W108" i="7" s="1"/>
  <c r="P108" i="7"/>
  <c r="AH107" i="7"/>
  <c r="AF107" i="7"/>
  <c r="Z107" i="7"/>
  <c r="X107" i="7"/>
  <c r="W107" i="7" s="1"/>
  <c r="P107" i="7"/>
  <c r="AH106" i="7"/>
  <c r="AF106" i="7"/>
  <c r="Z106" i="7"/>
  <c r="X106" i="7"/>
  <c r="W106" i="7" s="1"/>
  <c r="P106" i="7"/>
  <c r="AH105" i="7"/>
  <c r="AF105" i="7"/>
  <c r="Z105" i="7"/>
  <c r="X105" i="7"/>
  <c r="W105" i="7" s="1"/>
  <c r="P105" i="7"/>
  <c r="AH104" i="7"/>
  <c r="AF104" i="7"/>
  <c r="Z104" i="7"/>
  <c r="X104" i="7"/>
  <c r="W104" i="7"/>
  <c r="P104" i="7"/>
  <c r="AH103" i="7"/>
  <c r="AF103" i="7"/>
  <c r="Z103" i="7"/>
  <c r="X103" i="7"/>
  <c r="W103" i="7" s="1"/>
  <c r="P103" i="7"/>
  <c r="AH102" i="7"/>
  <c r="AF102" i="7"/>
  <c r="Z102" i="7"/>
  <c r="X102" i="7"/>
  <c r="W102" i="7" s="1"/>
  <c r="P102" i="7"/>
  <c r="AH101" i="7"/>
  <c r="AF101" i="7"/>
  <c r="Z101" i="7"/>
  <c r="X101" i="7"/>
  <c r="W101" i="7" s="1"/>
  <c r="P101" i="7"/>
  <c r="AH100" i="7"/>
  <c r="AF100" i="7"/>
  <c r="Z100" i="7"/>
  <c r="X100" i="7"/>
  <c r="W100" i="7" s="1"/>
  <c r="P100" i="7"/>
  <c r="AH99" i="7"/>
  <c r="AF99" i="7"/>
  <c r="Z99" i="7"/>
  <c r="X99" i="7"/>
  <c r="W99" i="7" s="1"/>
  <c r="P99" i="7"/>
  <c r="AH98" i="7"/>
  <c r="AF98" i="7"/>
  <c r="Z98" i="7"/>
  <c r="X98" i="7"/>
  <c r="W98" i="7" s="1"/>
  <c r="P98" i="7"/>
  <c r="AH97" i="7"/>
  <c r="AF97" i="7"/>
  <c r="Z97" i="7"/>
  <c r="X97" i="7"/>
  <c r="W97" i="7" s="1"/>
  <c r="P97" i="7"/>
  <c r="AH96" i="7"/>
  <c r="AF96" i="7"/>
  <c r="Z96" i="7"/>
  <c r="X96" i="7"/>
  <c r="W96" i="7" s="1"/>
  <c r="P96" i="7"/>
  <c r="AH95" i="7"/>
  <c r="AF95" i="7"/>
  <c r="Z95" i="7"/>
  <c r="X95" i="7"/>
  <c r="W95" i="7" s="1"/>
  <c r="P95" i="7"/>
  <c r="AH94" i="7"/>
  <c r="AF94" i="7"/>
  <c r="Z94" i="7"/>
  <c r="X94" i="7"/>
  <c r="W94" i="7" s="1"/>
  <c r="P94" i="7"/>
  <c r="AH93" i="7"/>
  <c r="AF93" i="7"/>
  <c r="Z93" i="7"/>
  <c r="X93" i="7"/>
  <c r="W93" i="7" s="1"/>
  <c r="P93" i="7"/>
  <c r="AH92" i="7"/>
  <c r="AF92" i="7"/>
  <c r="Z92" i="7"/>
  <c r="X92" i="7"/>
  <c r="W92" i="7" s="1"/>
  <c r="P92" i="7"/>
  <c r="AH91" i="7"/>
  <c r="AF91" i="7"/>
  <c r="Z91" i="7"/>
  <c r="X91" i="7"/>
  <c r="W91" i="7" s="1"/>
  <c r="P91" i="7"/>
  <c r="AH90" i="7"/>
  <c r="AF90" i="7"/>
  <c r="Z90" i="7"/>
  <c r="X90" i="7"/>
  <c r="W90" i="7" s="1"/>
  <c r="P90" i="7"/>
  <c r="AH89" i="7"/>
  <c r="AF89" i="7"/>
  <c r="Z89" i="7"/>
  <c r="X89" i="7"/>
  <c r="W89" i="7" s="1"/>
  <c r="P89" i="7"/>
  <c r="AH88" i="7"/>
  <c r="AF88" i="7"/>
  <c r="Z88" i="7"/>
  <c r="X88" i="7"/>
  <c r="W88" i="7" s="1"/>
  <c r="P88" i="7"/>
  <c r="AH87" i="7"/>
  <c r="AF87" i="7"/>
  <c r="Z87" i="7"/>
  <c r="X87" i="7"/>
  <c r="W87" i="7" s="1"/>
  <c r="P87" i="7"/>
  <c r="AH86" i="7"/>
  <c r="AF86" i="7"/>
  <c r="Z86" i="7"/>
  <c r="X86" i="7"/>
  <c r="W86" i="7" s="1"/>
  <c r="P86" i="7"/>
  <c r="AH85" i="7"/>
  <c r="AF85" i="7"/>
  <c r="Z85" i="7"/>
  <c r="X85" i="7"/>
  <c r="W85" i="7" s="1"/>
  <c r="P85" i="7"/>
  <c r="AH84" i="7"/>
  <c r="AF84" i="7"/>
  <c r="Z84" i="7"/>
  <c r="X84" i="7"/>
  <c r="W84" i="7" s="1"/>
  <c r="P84" i="7"/>
  <c r="AH83" i="7"/>
  <c r="AF83" i="7"/>
  <c r="Z83" i="7"/>
  <c r="X83" i="7"/>
  <c r="W83" i="7" s="1"/>
  <c r="P83" i="7"/>
  <c r="AH82" i="7"/>
  <c r="AF82" i="7"/>
  <c r="Z82" i="7"/>
  <c r="X82" i="7"/>
  <c r="W82" i="7" s="1"/>
  <c r="P82" i="7"/>
  <c r="AH81" i="7"/>
  <c r="AF81" i="7"/>
  <c r="Z81" i="7"/>
  <c r="X81" i="7"/>
  <c r="W81" i="7" s="1"/>
  <c r="P81" i="7"/>
  <c r="AH80" i="7"/>
  <c r="AF80" i="7"/>
  <c r="Z80" i="7"/>
  <c r="X80" i="7"/>
  <c r="W80" i="7" s="1"/>
  <c r="P80" i="7"/>
  <c r="AH79" i="7"/>
  <c r="AF79" i="7"/>
  <c r="Z79" i="7"/>
  <c r="X79" i="7"/>
  <c r="W79" i="7" s="1"/>
  <c r="P79" i="7"/>
  <c r="AH78" i="7"/>
  <c r="AF78" i="7"/>
  <c r="Z78" i="7"/>
  <c r="X78" i="7"/>
  <c r="W78" i="7" s="1"/>
  <c r="P78" i="7"/>
  <c r="AH77" i="7"/>
  <c r="AF77" i="7"/>
  <c r="Z77" i="7"/>
  <c r="X77" i="7"/>
  <c r="W77" i="7" s="1"/>
  <c r="P77" i="7"/>
  <c r="AH76" i="7"/>
  <c r="AF76" i="7"/>
  <c r="Z76" i="7"/>
  <c r="X76" i="7"/>
  <c r="W76" i="7" s="1"/>
  <c r="P76" i="7"/>
  <c r="AH75" i="7"/>
  <c r="AF75" i="7"/>
  <c r="Z75" i="7"/>
  <c r="X75" i="7"/>
  <c r="W75" i="7" s="1"/>
  <c r="P75" i="7"/>
  <c r="AH74" i="7"/>
  <c r="AF74" i="7"/>
  <c r="Z74" i="7"/>
  <c r="X74" i="7"/>
  <c r="W74" i="7" s="1"/>
  <c r="P74" i="7"/>
  <c r="AH73" i="7"/>
  <c r="AF73" i="7"/>
  <c r="Z73" i="7"/>
  <c r="X73" i="7"/>
  <c r="W73" i="7" s="1"/>
  <c r="P73" i="7"/>
  <c r="AH72" i="7"/>
  <c r="AF72" i="7"/>
  <c r="Z72" i="7"/>
  <c r="X72" i="7"/>
  <c r="W72" i="7" s="1"/>
  <c r="P72" i="7"/>
  <c r="AH71" i="7"/>
  <c r="AF71" i="7"/>
  <c r="Z71" i="7"/>
  <c r="X71" i="7"/>
  <c r="W71" i="7" s="1"/>
  <c r="P71" i="7"/>
  <c r="AH70" i="7"/>
  <c r="AF70" i="7"/>
  <c r="Z70" i="7"/>
  <c r="X70" i="7"/>
  <c r="W70" i="7" s="1"/>
  <c r="P70" i="7"/>
  <c r="AH69" i="7"/>
  <c r="AF69" i="7"/>
  <c r="Z69" i="7"/>
  <c r="X69" i="7"/>
  <c r="W69" i="7" s="1"/>
  <c r="P69" i="7"/>
  <c r="AH68" i="7"/>
  <c r="AF68" i="7"/>
  <c r="Z68" i="7"/>
  <c r="X68" i="7"/>
  <c r="W68" i="7" s="1"/>
  <c r="P68" i="7"/>
  <c r="AH67" i="7"/>
  <c r="AF67" i="7"/>
  <c r="Z67" i="7"/>
  <c r="X67" i="7"/>
  <c r="W67" i="7" s="1"/>
  <c r="P67" i="7"/>
  <c r="AH66" i="7"/>
  <c r="AF66" i="7"/>
  <c r="Z66" i="7"/>
  <c r="X66" i="7"/>
  <c r="W66" i="7" s="1"/>
  <c r="P66" i="7"/>
  <c r="AH65" i="7"/>
  <c r="AF65" i="7"/>
  <c r="Z65" i="7"/>
  <c r="X65" i="7"/>
  <c r="W65" i="7" s="1"/>
  <c r="P65" i="7"/>
  <c r="AH64" i="7"/>
  <c r="AF64" i="7"/>
  <c r="Z64" i="7"/>
  <c r="X64" i="7"/>
  <c r="W64" i="7" s="1"/>
  <c r="P64" i="7"/>
  <c r="AH63" i="7"/>
  <c r="AF63" i="7"/>
  <c r="Z63" i="7"/>
  <c r="X63" i="7"/>
  <c r="W63" i="7" s="1"/>
  <c r="P63" i="7"/>
  <c r="AH62" i="7"/>
  <c r="AF62" i="7"/>
  <c r="Z62" i="7"/>
  <c r="X62" i="7"/>
  <c r="W62" i="7" s="1"/>
  <c r="P62" i="7"/>
  <c r="AH61" i="7"/>
  <c r="AF61" i="7"/>
  <c r="Z61" i="7"/>
  <c r="X61" i="7"/>
  <c r="W61" i="7" s="1"/>
  <c r="P61" i="7"/>
  <c r="AH60" i="7"/>
  <c r="AF60" i="7"/>
  <c r="Z60" i="7"/>
  <c r="X60" i="7"/>
  <c r="W60" i="7" s="1"/>
  <c r="P60" i="7"/>
  <c r="AH59" i="7"/>
  <c r="AF59" i="7"/>
  <c r="Z59" i="7"/>
  <c r="X59" i="7"/>
  <c r="W59" i="7" s="1"/>
  <c r="P59" i="7"/>
  <c r="AH58" i="7"/>
  <c r="AF58" i="7"/>
  <c r="Z58" i="7"/>
  <c r="X58" i="7"/>
  <c r="W58" i="7" s="1"/>
  <c r="P58" i="7"/>
  <c r="AH57" i="7"/>
  <c r="AF57" i="7"/>
  <c r="Z57" i="7"/>
  <c r="X57" i="7"/>
  <c r="W57" i="7" s="1"/>
  <c r="P57" i="7"/>
  <c r="AH56" i="7"/>
  <c r="AF56" i="7"/>
  <c r="Z56" i="7"/>
  <c r="X56" i="7"/>
  <c r="W56" i="7" s="1"/>
  <c r="P56" i="7"/>
  <c r="AH55" i="7"/>
  <c r="AF55" i="7"/>
  <c r="Z55" i="7"/>
  <c r="X55" i="7"/>
  <c r="W55" i="7" s="1"/>
  <c r="P55" i="7"/>
  <c r="AH54" i="7"/>
  <c r="AF54" i="7"/>
  <c r="Z54" i="7"/>
  <c r="X54" i="7"/>
  <c r="W54" i="7" s="1"/>
  <c r="P54" i="7"/>
  <c r="AH53" i="7"/>
  <c r="AF53" i="7"/>
  <c r="AE53" i="7" s="1"/>
  <c r="Z53" i="7"/>
  <c r="X53" i="7"/>
  <c r="W53" i="7" s="1"/>
  <c r="AH52" i="7"/>
  <c r="AF52" i="7"/>
  <c r="AE52" i="7" s="1"/>
  <c r="Z52" i="7"/>
  <c r="X52" i="7"/>
  <c r="W52" i="7" s="1"/>
  <c r="AH51" i="7"/>
  <c r="AF51" i="7"/>
  <c r="AE51" i="7" s="1"/>
  <c r="Z51" i="7"/>
  <c r="X51" i="7"/>
  <c r="W51" i="7" s="1"/>
  <c r="AH50" i="7"/>
  <c r="AF50" i="7"/>
  <c r="AE50" i="7" s="1"/>
  <c r="Z50" i="7"/>
  <c r="X50" i="7"/>
  <c r="W50" i="7" s="1"/>
  <c r="AH49" i="7"/>
  <c r="AF49" i="7"/>
  <c r="AE49" i="7" s="1"/>
  <c r="Z49" i="7"/>
  <c r="X49" i="7"/>
  <c r="W49" i="7" s="1"/>
  <c r="AH48" i="7"/>
  <c r="AF48" i="7"/>
  <c r="AE48" i="7" s="1"/>
  <c r="Z48" i="7"/>
  <c r="X48" i="7"/>
  <c r="W48" i="7" s="1"/>
  <c r="AH47" i="7"/>
  <c r="AF47" i="7"/>
  <c r="AE47" i="7" s="1"/>
  <c r="Z47" i="7"/>
  <c r="X47" i="7"/>
  <c r="W47" i="7" s="1"/>
  <c r="AH46" i="7"/>
  <c r="AF46" i="7"/>
  <c r="AE46" i="7" s="1"/>
  <c r="Z46" i="7"/>
  <c r="X46" i="7"/>
  <c r="W46" i="7" s="1"/>
  <c r="AH45" i="7"/>
  <c r="AF45" i="7"/>
  <c r="AE45" i="7" s="1"/>
  <c r="Z45" i="7"/>
  <c r="X45" i="7"/>
  <c r="W45" i="7" s="1"/>
  <c r="AH44" i="7"/>
  <c r="AF44" i="7"/>
  <c r="AE44" i="7" s="1"/>
  <c r="Z44" i="7"/>
  <c r="X44" i="7"/>
  <c r="W44" i="7" s="1"/>
  <c r="AH43" i="7"/>
  <c r="AF43" i="7"/>
  <c r="AE43" i="7" s="1"/>
  <c r="Z43" i="7"/>
  <c r="X43" i="7"/>
  <c r="W43" i="7" s="1"/>
  <c r="AH42" i="7"/>
  <c r="AF42" i="7"/>
  <c r="AE42" i="7" s="1"/>
  <c r="Z42" i="7"/>
  <c r="X42" i="7"/>
  <c r="W42" i="7" s="1"/>
  <c r="AH41" i="7"/>
  <c r="AF41" i="7"/>
  <c r="AE41" i="7" s="1"/>
  <c r="Z41" i="7"/>
  <c r="X41" i="7"/>
  <c r="W41" i="7" s="1"/>
  <c r="AH40" i="7"/>
  <c r="AF40" i="7"/>
  <c r="AE40" i="7" s="1"/>
  <c r="Z40" i="7"/>
  <c r="X40" i="7"/>
  <c r="W40" i="7" s="1"/>
  <c r="AH39" i="7"/>
  <c r="AF39" i="7"/>
  <c r="AE39" i="7" s="1"/>
  <c r="Z39" i="7"/>
  <c r="X39" i="7"/>
  <c r="W39" i="7" s="1"/>
  <c r="AH38" i="7"/>
  <c r="AF38" i="7"/>
  <c r="AE38" i="7" s="1"/>
  <c r="Z38" i="7"/>
  <c r="X38" i="7"/>
  <c r="W38" i="7" s="1"/>
  <c r="AH37" i="7"/>
  <c r="AF37" i="7"/>
  <c r="AE37" i="7" s="1"/>
  <c r="Z37" i="7"/>
  <c r="X37" i="7"/>
  <c r="W37" i="7" s="1"/>
  <c r="AH36" i="7"/>
  <c r="AF36" i="7"/>
  <c r="AE36" i="7" s="1"/>
  <c r="Z36" i="7"/>
  <c r="X36" i="7"/>
  <c r="W36" i="7" s="1"/>
  <c r="AH35" i="7"/>
  <c r="AF35" i="7"/>
  <c r="AE35" i="7" s="1"/>
  <c r="Z35" i="7"/>
  <c r="X35" i="7"/>
  <c r="W35" i="7" s="1"/>
  <c r="AH34" i="7"/>
  <c r="AF34" i="7"/>
  <c r="AE34" i="7" s="1"/>
  <c r="Z34" i="7"/>
  <c r="X34" i="7"/>
  <c r="W34" i="7" s="1"/>
  <c r="AH33" i="7"/>
  <c r="AF33" i="7"/>
  <c r="AE33" i="7" s="1"/>
  <c r="Z33" i="7"/>
  <c r="X33" i="7"/>
  <c r="W33" i="7" s="1"/>
  <c r="AH32" i="7"/>
  <c r="AF32" i="7"/>
  <c r="AE32" i="7" s="1"/>
  <c r="Z32" i="7"/>
  <c r="X32" i="7"/>
  <c r="W32" i="7" s="1"/>
  <c r="AH31" i="7"/>
  <c r="AF31" i="7"/>
  <c r="AE31" i="7" s="1"/>
  <c r="Z31" i="7"/>
  <c r="X31" i="7"/>
  <c r="W31" i="7" s="1"/>
  <c r="AH30" i="7"/>
  <c r="AF30" i="7"/>
  <c r="AE30" i="7" s="1"/>
  <c r="Z30" i="7"/>
  <c r="X30" i="7"/>
  <c r="W30" i="7" s="1"/>
  <c r="AH29" i="7"/>
  <c r="AF29" i="7"/>
  <c r="AE29" i="7" s="1"/>
  <c r="Z29" i="7"/>
  <c r="X29" i="7"/>
  <c r="W29" i="7" s="1"/>
  <c r="AH28" i="7"/>
  <c r="AF28" i="7"/>
  <c r="AE28" i="7" s="1"/>
  <c r="Z28" i="7"/>
  <c r="X28" i="7"/>
  <c r="W28" i="7" s="1"/>
  <c r="AH27" i="7"/>
  <c r="AF27" i="7"/>
  <c r="AE27" i="7" s="1"/>
  <c r="Z27" i="7"/>
  <c r="X27" i="7"/>
  <c r="W27" i="7" s="1"/>
  <c r="AH26" i="7"/>
  <c r="AF26" i="7"/>
  <c r="AE26" i="7" s="1"/>
  <c r="Z26" i="7"/>
  <c r="X26" i="7"/>
  <c r="W26" i="7" s="1"/>
  <c r="AH25" i="7"/>
  <c r="AF25" i="7"/>
  <c r="AE25" i="7" s="1"/>
  <c r="Z25" i="7"/>
  <c r="X25" i="7"/>
  <c r="W25" i="7" s="1"/>
  <c r="AH24" i="7"/>
  <c r="AF24" i="7"/>
  <c r="AE24" i="7" s="1"/>
  <c r="Z24" i="7"/>
  <c r="X24" i="7"/>
  <c r="W24" i="7" s="1"/>
  <c r="AH23" i="7"/>
  <c r="AF23" i="7"/>
  <c r="AE23" i="7" s="1"/>
  <c r="Z23" i="7"/>
  <c r="X23" i="7"/>
  <c r="W23" i="7" s="1"/>
  <c r="AH22" i="7"/>
  <c r="AF22" i="7"/>
  <c r="AE22" i="7" s="1"/>
  <c r="Z22" i="7"/>
  <c r="X22" i="7"/>
  <c r="W22" i="7" s="1"/>
  <c r="AH21" i="7"/>
  <c r="AF21" i="7"/>
  <c r="AE21" i="7" s="1"/>
  <c r="Z21" i="7"/>
  <c r="X21" i="7"/>
  <c r="W21" i="7" s="1"/>
  <c r="AH20" i="7"/>
  <c r="AF20" i="7"/>
  <c r="AE20" i="7" s="1"/>
  <c r="Z20" i="7"/>
  <c r="X20" i="7"/>
  <c r="W20" i="7" s="1"/>
  <c r="AH19" i="7"/>
  <c r="AF19" i="7"/>
  <c r="AE19" i="7" s="1"/>
  <c r="Z19" i="7"/>
  <c r="X19" i="7"/>
  <c r="W19" i="7" s="1"/>
  <c r="AH18" i="7"/>
  <c r="AF18" i="7"/>
  <c r="AE18" i="7" s="1"/>
  <c r="Z18" i="7"/>
  <c r="X18" i="7"/>
  <c r="W18" i="7" s="1"/>
  <c r="AH17" i="7"/>
  <c r="AF17" i="7"/>
  <c r="AE17" i="7" s="1"/>
  <c r="Z17" i="7"/>
  <c r="X17" i="7"/>
  <c r="W17" i="7" s="1"/>
  <c r="AH16" i="7"/>
  <c r="AF16" i="7"/>
  <c r="AE16" i="7" s="1"/>
  <c r="Z16" i="7"/>
  <c r="X16" i="7"/>
  <c r="W16" i="7" s="1"/>
  <c r="AH15" i="7"/>
  <c r="AF15" i="7"/>
  <c r="AE15" i="7" s="1"/>
  <c r="Z15" i="7"/>
  <c r="X15" i="7"/>
  <c r="W15" i="7" s="1"/>
  <c r="P15" i="7"/>
  <c r="AH14" i="7"/>
  <c r="AF14" i="7"/>
  <c r="AE14" i="7" s="1"/>
  <c r="Z14" i="7"/>
  <c r="X14" i="7"/>
  <c r="W14" i="7" s="1"/>
  <c r="AC11" i="7"/>
  <c r="AB11" i="7" s="1"/>
  <c r="T3" i="7"/>
  <c r="P3" i="7"/>
  <c r="AH120" i="6"/>
  <c r="AF120" i="6"/>
  <c r="Z120" i="6"/>
  <c r="X120" i="6"/>
  <c r="W120" i="6" s="1"/>
  <c r="P120" i="6"/>
  <c r="AH119" i="6"/>
  <c r="AF119" i="6"/>
  <c r="Z119" i="6"/>
  <c r="X119" i="6"/>
  <c r="W119" i="6" s="1"/>
  <c r="P119" i="6"/>
  <c r="AH118" i="6"/>
  <c r="AF118" i="6"/>
  <c r="Z118" i="6"/>
  <c r="X118" i="6"/>
  <c r="W118" i="6" s="1"/>
  <c r="P118" i="6"/>
  <c r="AH117" i="6"/>
  <c r="AF117" i="6"/>
  <c r="Z117" i="6"/>
  <c r="X117" i="6"/>
  <c r="W117" i="6" s="1"/>
  <c r="P117" i="6"/>
  <c r="AH116" i="6"/>
  <c r="AF116" i="6"/>
  <c r="Z116" i="6"/>
  <c r="X116" i="6"/>
  <c r="W116" i="6" s="1"/>
  <c r="P116" i="6"/>
  <c r="AH115" i="6"/>
  <c r="AF115" i="6"/>
  <c r="Z115" i="6"/>
  <c r="X115" i="6"/>
  <c r="W115" i="6" s="1"/>
  <c r="P115" i="6"/>
  <c r="AH114" i="6"/>
  <c r="AF114" i="6"/>
  <c r="Z114" i="6"/>
  <c r="X114" i="6"/>
  <c r="W114" i="6" s="1"/>
  <c r="P114" i="6"/>
  <c r="AH113" i="6"/>
  <c r="AF113" i="6"/>
  <c r="Z113" i="6"/>
  <c r="X113" i="6"/>
  <c r="W113" i="6" s="1"/>
  <c r="P113" i="6"/>
  <c r="AH112" i="6"/>
  <c r="AF112" i="6"/>
  <c r="Z112" i="6"/>
  <c r="X112" i="6"/>
  <c r="W112" i="6" s="1"/>
  <c r="P112" i="6"/>
  <c r="AH111" i="6"/>
  <c r="AF111" i="6"/>
  <c r="Z111" i="6"/>
  <c r="X111" i="6"/>
  <c r="W111" i="6" s="1"/>
  <c r="P111" i="6"/>
  <c r="AH110" i="6"/>
  <c r="AF110" i="6"/>
  <c r="Z110" i="6"/>
  <c r="X110" i="6"/>
  <c r="W110" i="6" s="1"/>
  <c r="P110" i="6"/>
  <c r="AH109" i="6"/>
  <c r="AF109" i="6"/>
  <c r="Z109" i="6"/>
  <c r="X109" i="6"/>
  <c r="W109" i="6" s="1"/>
  <c r="P109" i="6"/>
  <c r="AH108" i="6"/>
  <c r="AF108" i="6"/>
  <c r="Z108" i="6"/>
  <c r="X108" i="6"/>
  <c r="W108" i="6" s="1"/>
  <c r="P108" i="6"/>
  <c r="AH107" i="6"/>
  <c r="AF107" i="6"/>
  <c r="Z107" i="6"/>
  <c r="X107" i="6"/>
  <c r="W107" i="6" s="1"/>
  <c r="P107" i="6"/>
  <c r="AH106" i="6"/>
  <c r="AF106" i="6"/>
  <c r="Z106" i="6"/>
  <c r="X106" i="6"/>
  <c r="W106" i="6" s="1"/>
  <c r="P106" i="6"/>
  <c r="AH105" i="6"/>
  <c r="AF105" i="6"/>
  <c r="Z105" i="6"/>
  <c r="X105" i="6"/>
  <c r="W105" i="6" s="1"/>
  <c r="P105" i="6"/>
  <c r="AH104" i="6"/>
  <c r="AF104" i="6"/>
  <c r="Z104" i="6"/>
  <c r="X104" i="6"/>
  <c r="W104" i="6" s="1"/>
  <c r="P104" i="6"/>
  <c r="AH103" i="6"/>
  <c r="AF103" i="6"/>
  <c r="Z103" i="6"/>
  <c r="X103" i="6"/>
  <c r="W103" i="6" s="1"/>
  <c r="P103" i="6"/>
  <c r="AH102" i="6"/>
  <c r="AF102" i="6"/>
  <c r="Z102" i="6"/>
  <c r="X102" i="6"/>
  <c r="W102" i="6" s="1"/>
  <c r="P102" i="6"/>
  <c r="AH101" i="6"/>
  <c r="AF101" i="6"/>
  <c r="Z101" i="6"/>
  <c r="X101" i="6"/>
  <c r="W101" i="6" s="1"/>
  <c r="P101" i="6"/>
  <c r="AH100" i="6"/>
  <c r="AF100" i="6"/>
  <c r="Z100" i="6"/>
  <c r="X100" i="6"/>
  <c r="W100" i="6" s="1"/>
  <c r="P100" i="6"/>
  <c r="AH99" i="6"/>
  <c r="AF99" i="6"/>
  <c r="Z99" i="6"/>
  <c r="X99" i="6"/>
  <c r="W99" i="6" s="1"/>
  <c r="P99" i="6"/>
  <c r="AH98" i="6"/>
  <c r="AF98" i="6"/>
  <c r="Z98" i="6"/>
  <c r="X98" i="6"/>
  <c r="W98" i="6" s="1"/>
  <c r="P98" i="6"/>
  <c r="AH97" i="6"/>
  <c r="AF97" i="6"/>
  <c r="Z97" i="6"/>
  <c r="X97" i="6"/>
  <c r="W97" i="6" s="1"/>
  <c r="P97" i="6"/>
  <c r="AH96" i="6"/>
  <c r="AF96" i="6"/>
  <c r="Z96" i="6"/>
  <c r="X96" i="6"/>
  <c r="W96" i="6" s="1"/>
  <c r="P96" i="6"/>
  <c r="AH95" i="6"/>
  <c r="AF95" i="6"/>
  <c r="Z95" i="6"/>
  <c r="X95" i="6"/>
  <c r="W95" i="6" s="1"/>
  <c r="P95" i="6"/>
  <c r="AH94" i="6"/>
  <c r="AF94" i="6"/>
  <c r="Z94" i="6"/>
  <c r="X94" i="6"/>
  <c r="W94" i="6" s="1"/>
  <c r="P94" i="6"/>
  <c r="AH93" i="6"/>
  <c r="AF93" i="6"/>
  <c r="Z93" i="6"/>
  <c r="X93" i="6"/>
  <c r="W93" i="6" s="1"/>
  <c r="P93" i="6"/>
  <c r="AH92" i="6"/>
  <c r="AF92" i="6"/>
  <c r="Z92" i="6"/>
  <c r="X92" i="6"/>
  <c r="W92" i="6" s="1"/>
  <c r="P92" i="6"/>
  <c r="AH91" i="6"/>
  <c r="AF91" i="6"/>
  <c r="Z91" i="6"/>
  <c r="X91" i="6"/>
  <c r="W91" i="6" s="1"/>
  <c r="P91" i="6"/>
  <c r="AH90" i="6"/>
  <c r="AF90" i="6"/>
  <c r="Z90" i="6"/>
  <c r="X90" i="6"/>
  <c r="W90" i="6" s="1"/>
  <c r="P90" i="6"/>
  <c r="AH89" i="6"/>
  <c r="AF89" i="6"/>
  <c r="Z89" i="6"/>
  <c r="X89" i="6"/>
  <c r="W89" i="6" s="1"/>
  <c r="P89" i="6"/>
  <c r="AH88" i="6"/>
  <c r="AF88" i="6"/>
  <c r="Z88" i="6"/>
  <c r="X88" i="6"/>
  <c r="W88" i="6" s="1"/>
  <c r="P88" i="6"/>
  <c r="AH87" i="6"/>
  <c r="AF87" i="6"/>
  <c r="Z87" i="6"/>
  <c r="X87" i="6"/>
  <c r="W87" i="6" s="1"/>
  <c r="P87" i="6"/>
  <c r="AH86" i="6"/>
  <c r="AF86" i="6"/>
  <c r="Z86" i="6"/>
  <c r="X86" i="6"/>
  <c r="W86" i="6" s="1"/>
  <c r="P86" i="6"/>
  <c r="AH85" i="6"/>
  <c r="AF85" i="6"/>
  <c r="Z85" i="6"/>
  <c r="X85" i="6"/>
  <c r="W85" i="6" s="1"/>
  <c r="P85" i="6"/>
  <c r="AH84" i="6"/>
  <c r="AF84" i="6"/>
  <c r="Z84" i="6"/>
  <c r="X84" i="6"/>
  <c r="W84" i="6" s="1"/>
  <c r="P84" i="6"/>
  <c r="AH83" i="6"/>
  <c r="AF83" i="6"/>
  <c r="Z83" i="6"/>
  <c r="X83" i="6"/>
  <c r="W83" i="6" s="1"/>
  <c r="P83" i="6"/>
  <c r="AH82" i="6"/>
  <c r="AF82" i="6"/>
  <c r="Z82" i="6"/>
  <c r="X82" i="6"/>
  <c r="W82" i="6" s="1"/>
  <c r="P82" i="6"/>
  <c r="AH81" i="6"/>
  <c r="AF81" i="6"/>
  <c r="Z81" i="6"/>
  <c r="X81" i="6"/>
  <c r="W81" i="6" s="1"/>
  <c r="P81" i="6"/>
  <c r="AH80" i="6"/>
  <c r="AF80" i="6"/>
  <c r="Z80" i="6"/>
  <c r="X80" i="6"/>
  <c r="W80" i="6" s="1"/>
  <c r="P80" i="6"/>
  <c r="AH79" i="6"/>
  <c r="AF79" i="6"/>
  <c r="Z79" i="6"/>
  <c r="X79" i="6"/>
  <c r="W79" i="6" s="1"/>
  <c r="P79" i="6"/>
  <c r="AH78" i="6"/>
  <c r="AF78" i="6"/>
  <c r="Z78" i="6"/>
  <c r="X78" i="6"/>
  <c r="W78" i="6" s="1"/>
  <c r="P78" i="6"/>
  <c r="AH77" i="6"/>
  <c r="AF77" i="6"/>
  <c r="Z77" i="6"/>
  <c r="X77" i="6"/>
  <c r="W77" i="6" s="1"/>
  <c r="P77" i="6"/>
  <c r="AH76" i="6"/>
  <c r="AF76" i="6"/>
  <c r="Z76" i="6"/>
  <c r="X76" i="6"/>
  <c r="W76" i="6" s="1"/>
  <c r="P76" i="6"/>
  <c r="AH75" i="6"/>
  <c r="AF75" i="6"/>
  <c r="Z75" i="6"/>
  <c r="X75" i="6"/>
  <c r="W75" i="6" s="1"/>
  <c r="P75" i="6"/>
  <c r="AH74" i="6"/>
  <c r="AF74" i="6"/>
  <c r="Z74" i="6"/>
  <c r="X74" i="6"/>
  <c r="W74" i="6" s="1"/>
  <c r="P74" i="6"/>
  <c r="AH73" i="6"/>
  <c r="AF73" i="6"/>
  <c r="Z73" i="6"/>
  <c r="X73" i="6"/>
  <c r="W73" i="6" s="1"/>
  <c r="P73" i="6"/>
  <c r="AH72" i="6"/>
  <c r="AF72" i="6"/>
  <c r="Z72" i="6"/>
  <c r="X72" i="6"/>
  <c r="W72" i="6" s="1"/>
  <c r="P72" i="6"/>
  <c r="AH71" i="6"/>
  <c r="AF71" i="6"/>
  <c r="Z71" i="6"/>
  <c r="X71" i="6"/>
  <c r="W71" i="6" s="1"/>
  <c r="P71" i="6"/>
  <c r="AH70" i="6"/>
  <c r="AF70" i="6"/>
  <c r="Z70" i="6"/>
  <c r="X70" i="6"/>
  <c r="W70" i="6" s="1"/>
  <c r="P70" i="6"/>
  <c r="AH69" i="6"/>
  <c r="AF69" i="6"/>
  <c r="Z69" i="6"/>
  <c r="X69" i="6"/>
  <c r="W69" i="6" s="1"/>
  <c r="P69" i="6"/>
  <c r="AH68" i="6"/>
  <c r="AF68" i="6"/>
  <c r="Z68" i="6"/>
  <c r="X68" i="6"/>
  <c r="W68" i="6" s="1"/>
  <c r="P68" i="6"/>
  <c r="AH67" i="6"/>
  <c r="AF67" i="6"/>
  <c r="Z67" i="6"/>
  <c r="X67" i="6"/>
  <c r="W67" i="6" s="1"/>
  <c r="P67" i="6"/>
  <c r="AH66" i="6"/>
  <c r="AF66" i="6"/>
  <c r="Z66" i="6"/>
  <c r="X66" i="6"/>
  <c r="W66" i="6" s="1"/>
  <c r="P66" i="6"/>
  <c r="AH65" i="6"/>
  <c r="AF65" i="6"/>
  <c r="Z65" i="6"/>
  <c r="X65" i="6"/>
  <c r="W65" i="6" s="1"/>
  <c r="P65" i="6"/>
  <c r="AH64" i="6"/>
  <c r="AF64" i="6"/>
  <c r="Z64" i="6"/>
  <c r="X64" i="6"/>
  <c r="W64" i="6" s="1"/>
  <c r="P64" i="6"/>
  <c r="AH63" i="6"/>
  <c r="AF63" i="6"/>
  <c r="Z63" i="6"/>
  <c r="X63" i="6"/>
  <c r="W63" i="6" s="1"/>
  <c r="P63" i="6"/>
  <c r="AH62" i="6"/>
  <c r="AF62" i="6"/>
  <c r="Z62" i="6"/>
  <c r="X62" i="6"/>
  <c r="W62" i="6" s="1"/>
  <c r="P62" i="6"/>
  <c r="AH61" i="6"/>
  <c r="AF61" i="6"/>
  <c r="Z61" i="6"/>
  <c r="X61" i="6"/>
  <c r="W61" i="6" s="1"/>
  <c r="P61" i="6"/>
  <c r="AH60" i="6"/>
  <c r="AF60" i="6"/>
  <c r="Z60" i="6"/>
  <c r="X60" i="6"/>
  <c r="W60" i="6" s="1"/>
  <c r="P60" i="6"/>
  <c r="AH59" i="6"/>
  <c r="AF59" i="6"/>
  <c r="AE59" i="6" s="1"/>
  <c r="Z59" i="6"/>
  <c r="X59" i="6"/>
  <c r="W59" i="6" s="1"/>
  <c r="P59" i="6"/>
  <c r="AH58" i="6"/>
  <c r="AF58" i="6"/>
  <c r="AE58" i="6" s="1"/>
  <c r="Z58" i="6"/>
  <c r="X58" i="6"/>
  <c r="W58" i="6" s="1"/>
  <c r="P58" i="6"/>
  <c r="AH57" i="6"/>
  <c r="AF57" i="6"/>
  <c r="AE57" i="6" s="1"/>
  <c r="Z57" i="6"/>
  <c r="X57" i="6"/>
  <c r="W57" i="6" s="1"/>
  <c r="P57" i="6"/>
  <c r="AH56" i="6"/>
  <c r="AF56" i="6"/>
  <c r="AE56" i="6" s="1"/>
  <c r="Z56" i="6"/>
  <c r="X56" i="6"/>
  <c r="W56" i="6" s="1"/>
  <c r="P56" i="6"/>
  <c r="AH55" i="6"/>
  <c r="AF55" i="6"/>
  <c r="AE55" i="6" s="1"/>
  <c r="Z55" i="6"/>
  <c r="X55" i="6"/>
  <c r="W55" i="6" s="1"/>
  <c r="P55" i="6"/>
  <c r="AH54" i="6"/>
  <c r="AF54" i="6"/>
  <c r="AE54" i="6" s="1"/>
  <c r="Z54" i="6"/>
  <c r="X54" i="6"/>
  <c r="W54" i="6" s="1"/>
  <c r="AH53" i="6"/>
  <c r="AF53" i="6"/>
  <c r="AE53" i="6" s="1"/>
  <c r="Z53" i="6"/>
  <c r="X53" i="6"/>
  <c r="W53" i="6" s="1"/>
  <c r="AH52" i="6"/>
  <c r="AF52" i="6"/>
  <c r="AE52" i="6" s="1"/>
  <c r="Z52" i="6"/>
  <c r="X52" i="6"/>
  <c r="W52" i="6" s="1"/>
  <c r="AH51" i="6"/>
  <c r="AF51" i="6"/>
  <c r="AE51" i="6" s="1"/>
  <c r="Z51" i="6"/>
  <c r="X51" i="6"/>
  <c r="W51" i="6" s="1"/>
  <c r="AH50" i="6"/>
  <c r="AF50" i="6"/>
  <c r="AE50" i="6" s="1"/>
  <c r="Z50" i="6"/>
  <c r="X50" i="6"/>
  <c r="W50" i="6" s="1"/>
  <c r="AH49" i="6"/>
  <c r="AF49" i="6"/>
  <c r="AE49" i="6" s="1"/>
  <c r="Z49" i="6"/>
  <c r="X49" i="6"/>
  <c r="W49" i="6" s="1"/>
  <c r="AH48" i="6"/>
  <c r="AF48" i="6"/>
  <c r="AE48" i="6" s="1"/>
  <c r="Z48" i="6"/>
  <c r="X48" i="6"/>
  <c r="W48" i="6" s="1"/>
  <c r="AH47" i="6"/>
  <c r="AF47" i="6"/>
  <c r="AE47" i="6" s="1"/>
  <c r="Z47" i="6"/>
  <c r="X47" i="6"/>
  <c r="W47" i="6" s="1"/>
  <c r="AH46" i="6"/>
  <c r="AF46" i="6"/>
  <c r="AE46" i="6" s="1"/>
  <c r="Z46" i="6"/>
  <c r="X46" i="6"/>
  <c r="W46" i="6" s="1"/>
  <c r="AH45" i="6"/>
  <c r="AF45" i="6"/>
  <c r="AE45" i="6" s="1"/>
  <c r="Z45" i="6"/>
  <c r="X45" i="6"/>
  <c r="W45" i="6" s="1"/>
  <c r="AH44" i="6"/>
  <c r="AF44" i="6"/>
  <c r="AE44" i="6" s="1"/>
  <c r="Z44" i="6"/>
  <c r="X44" i="6"/>
  <c r="W44" i="6" s="1"/>
  <c r="AH43" i="6"/>
  <c r="AF43" i="6"/>
  <c r="AE43" i="6" s="1"/>
  <c r="Z43" i="6"/>
  <c r="X43" i="6"/>
  <c r="W43" i="6" s="1"/>
  <c r="AH42" i="6"/>
  <c r="AF42" i="6"/>
  <c r="AE42" i="6" s="1"/>
  <c r="Z42" i="6"/>
  <c r="X42" i="6"/>
  <c r="W42" i="6" s="1"/>
  <c r="AH41" i="6"/>
  <c r="AF41" i="6"/>
  <c r="AE41" i="6" s="1"/>
  <c r="Z41" i="6"/>
  <c r="X41" i="6"/>
  <c r="W41" i="6" s="1"/>
  <c r="AH40" i="6"/>
  <c r="AF40" i="6"/>
  <c r="AE40" i="6" s="1"/>
  <c r="Z40" i="6"/>
  <c r="X40" i="6"/>
  <c r="W40" i="6" s="1"/>
  <c r="AH39" i="6"/>
  <c r="AF39" i="6"/>
  <c r="AE39" i="6" s="1"/>
  <c r="Z39" i="6"/>
  <c r="X39" i="6"/>
  <c r="W39" i="6" s="1"/>
  <c r="AH38" i="6"/>
  <c r="AF38" i="6"/>
  <c r="AE38" i="6" s="1"/>
  <c r="Z38" i="6"/>
  <c r="X38" i="6"/>
  <c r="W38" i="6" s="1"/>
  <c r="AH37" i="6"/>
  <c r="AF37" i="6"/>
  <c r="AE37" i="6" s="1"/>
  <c r="Z37" i="6"/>
  <c r="X37" i="6"/>
  <c r="W37" i="6" s="1"/>
  <c r="AH36" i="6"/>
  <c r="AF36" i="6"/>
  <c r="AE36" i="6" s="1"/>
  <c r="Z36" i="6"/>
  <c r="X36" i="6"/>
  <c r="W36" i="6" s="1"/>
  <c r="AH35" i="6"/>
  <c r="AF35" i="6"/>
  <c r="AE35" i="6" s="1"/>
  <c r="Z35" i="6"/>
  <c r="X35" i="6"/>
  <c r="W35" i="6" s="1"/>
  <c r="AH34" i="6"/>
  <c r="AF34" i="6"/>
  <c r="AE34" i="6" s="1"/>
  <c r="Z34" i="6"/>
  <c r="X34" i="6"/>
  <c r="W34" i="6" s="1"/>
  <c r="AH33" i="6"/>
  <c r="AF33" i="6"/>
  <c r="AE33" i="6" s="1"/>
  <c r="Z33" i="6"/>
  <c r="X33" i="6"/>
  <c r="W33" i="6" s="1"/>
  <c r="AH32" i="6"/>
  <c r="AF32" i="6"/>
  <c r="AE32" i="6" s="1"/>
  <c r="Z32" i="6"/>
  <c r="X32" i="6"/>
  <c r="W32" i="6" s="1"/>
  <c r="AH31" i="6"/>
  <c r="AF31" i="6"/>
  <c r="AE31" i="6" s="1"/>
  <c r="Z31" i="6"/>
  <c r="X31" i="6"/>
  <c r="W31" i="6" s="1"/>
  <c r="AH30" i="6"/>
  <c r="AF30" i="6"/>
  <c r="AE30" i="6" s="1"/>
  <c r="Z30" i="6"/>
  <c r="X30" i="6"/>
  <c r="W30" i="6" s="1"/>
  <c r="AH29" i="6"/>
  <c r="AF29" i="6"/>
  <c r="AE29" i="6" s="1"/>
  <c r="Z29" i="6"/>
  <c r="X29" i="6"/>
  <c r="W29" i="6" s="1"/>
  <c r="AH28" i="6"/>
  <c r="AF28" i="6"/>
  <c r="AE28" i="6" s="1"/>
  <c r="Z28" i="6"/>
  <c r="X28" i="6"/>
  <c r="W28" i="6" s="1"/>
  <c r="AH27" i="6"/>
  <c r="AF27" i="6"/>
  <c r="AE27" i="6" s="1"/>
  <c r="Z27" i="6"/>
  <c r="X27" i="6"/>
  <c r="W27" i="6" s="1"/>
  <c r="AH26" i="6"/>
  <c r="AF26" i="6"/>
  <c r="AE26" i="6" s="1"/>
  <c r="Z26" i="6"/>
  <c r="X26" i="6"/>
  <c r="W26" i="6" s="1"/>
  <c r="AH25" i="6"/>
  <c r="AF25" i="6"/>
  <c r="AE25" i="6" s="1"/>
  <c r="Z25" i="6"/>
  <c r="X25" i="6"/>
  <c r="W25" i="6" s="1"/>
  <c r="AH24" i="6"/>
  <c r="AF24" i="6"/>
  <c r="AE24" i="6" s="1"/>
  <c r="Z24" i="6"/>
  <c r="X24" i="6"/>
  <c r="W24" i="6" s="1"/>
  <c r="AH23" i="6"/>
  <c r="AF23" i="6"/>
  <c r="AE23" i="6" s="1"/>
  <c r="Z23" i="6"/>
  <c r="X23" i="6"/>
  <c r="W23" i="6" s="1"/>
  <c r="AH22" i="6"/>
  <c r="AF22" i="6"/>
  <c r="AE22" i="6" s="1"/>
  <c r="Z22" i="6"/>
  <c r="X22" i="6"/>
  <c r="W22" i="6" s="1"/>
  <c r="AH21" i="6"/>
  <c r="AF21" i="6"/>
  <c r="AE21" i="6" s="1"/>
  <c r="Z21" i="6"/>
  <c r="X21" i="6"/>
  <c r="W21" i="6" s="1"/>
  <c r="AH20" i="6"/>
  <c r="AF20" i="6"/>
  <c r="AE20" i="6" s="1"/>
  <c r="Z20" i="6"/>
  <c r="X20" i="6"/>
  <c r="W20" i="6" s="1"/>
  <c r="AH19" i="6"/>
  <c r="AF19" i="6"/>
  <c r="AE19" i="6" s="1"/>
  <c r="Z19" i="6"/>
  <c r="X19" i="6"/>
  <c r="W19" i="6" s="1"/>
  <c r="AH18" i="6"/>
  <c r="AF18" i="6"/>
  <c r="AE18" i="6" s="1"/>
  <c r="Z18" i="6"/>
  <c r="X18" i="6"/>
  <c r="W18" i="6" s="1"/>
  <c r="AH17" i="6"/>
  <c r="AF17" i="6"/>
  <c r="AE17" i="6" s="1"/>
  <c r="Z17" i="6"/>
  <c r="X17" i="6"/>
  <c r="W17" i="6" s="1"/>
  <c r="AH16" i="6"/>
  <c r="AF16" i="6"/>
  <c r="AE16" i="6" s="1"/>
  <c r="Z16" i="6"/>
  <c r="X16" i="6"/>
  <c r="W16" i="6" s="1"/>
  <c r="AH15" i="6"/>
  <c r="AF15" i="6"/>
  <c r="AE15" i="6" s="1"/>
  <c r="Z15" i="6"/>
  <c r="X15" i="6"/>
  <c r="W15" i="6" s="1"/>
  <c r="P15" i="6"/>
  <c r="P16" i="6" s="1"/>
  <c r="AH14" i="6"/>
  <c r="AF14" i="6"/>
  <c r="AE14" i="6" s="1"/>
  <c r="X14" i="6"/>
  <c r="W14" i="6" s="1"/>
  <c r="AC11" i="6"/>
  <c r="T3" i="6"/>
  <c r="P3" i="6"/>
  <c r="AH120" i="5"/>
  <c r="AF120" i="5"/>
  <c r="Z120" i="5"/>
  <c r="X120" i="5"/>
  <c r="W120" i="5" s="1"/>
  <c r="P120" i="5"/>
  <c r="AH119" i="5"/>
  <c r="AF119" i="5"/>
  <c r="Z119" i="5"/>
  <c r="X119" i="5"/>
  <c r="W119" i="5"/>
  <c r="P119" i="5"/>
  <c r="AH118" i="5"/>
  <c r="AF118" i="5"/>
  <c r="Z118" i="5"/>
  <c r="X118" i="5"/>
  <c r="W118" i="5" s="1"/>
  <c r="P118" i="5"/>
  <c r="AH117" i="5"/>
  <c r="AF117" i="5"/>
  <c r="Z117" i="5"/>
  <c r="X117" i="5"/>
  <c r="W117" i="5" s="1"/>
  <c r="P117" i="5"/>
  <c r="AH116" i="5"/>
  <c r="AF116" i="5"/>
  <c r="Z116" i="5"/>
  <c r="X116" i="5"/>
  <c r="W116" i="5" s="1"/>
  <c r="P116" i="5"/>
  <c r="AH115" i="5"/>
  <c r="AF115" i="5"/>
  <c r="Z115" i="5"/>
  <c r="X115" i="5"/>
  <c r="W115" i="5" s="1"/>
  <c r="P115" i="5"/>
  <c r="AH114" i="5"/>
  <c r="AF114" i="5"/>
  <c r="Z114" i="5"/>
  <c r="X114" i="5"/>
  <c r="W114" i="5" s="1"/>
  <c r="P114" i="5"/>
  <c r="AH113" i="5"/>
  <c r="AF113" i="5"/>
  <c r="Z113" i="5"/>
  <c r="X113" i="5"/>
  <c r="W113" i="5" s="1"/>
  <c r="P113" i="5"/>
  <c r="AH112" i="5"/>
  <c r="AF112" i="5"/>
  <c r="Z112" i="5"/>
  <c r="X112" i="5"/>
  <c r="W112" i="5" s="1"/>
  <c r="P112" i="5"/>
  <c r="AH111" i="5"/>
  <c r="AF111" i="5"/>
  <c r="Z111" i="5"/>
  <c r="X111" i="5"/>
  <c r="W111" i="5" s="1"/>
  <c r="P111" i="5"/>
  <c r="AH110" i="5"/>
  <c r="AF110" i="5"/>
  <c r="Z110" i="5"/>
  <c r="X110" i="5"/>
  <c r="W110" i="5" s="1"/>
  <c r="P110" i="5"/>
  <c r="AH109" i="5"/>
  <c r="AF109" i="5"/>
  <c r="Z109" i="5"/>
  <c r="X109" i="5"/>
  <c r="W109" i="5" s="1"/>
  <c r="P109" i="5"/>
  <c r="AH108" i="5"/>
  <c r="AF108" i="5"/>
  <c r="Z108" i="5"/>
  <c r="X108" i="5"/>
  <c r="W108" i="5" s="1"/>
  <c r="P108" i="5"/>
  <c r="AH107" i="5"/>
  <c r="AF107" i="5"/>
  <c r="Z107" i="5"/>
  <c r="X107" i="5"/>
  <c r="W107" i="5" s="1"/>
  <c r="P107" i="5"/>
  <c r="AH106" i="5"/>
  <c r="AF106" i="5"/>
  <c r="Z106" i="5"/>
  <c r="X106" i="5"/>
  <c r="W106" i="5" s="1"/>
  <c r="P106" i="5"/>
  <c r="AH105" i="5"/>
  <c r="AF105" i="5"/>
  <c r="Z105" i="5"/>
  <c r="X105" i="5"/>
  <c r="W105" i="5" s="1"/>
  <c r="P105" i="5"/>
  <c r="AH104" i="5"/>
  <c r="AF104" i="5"/>
  <c r="Z104" i="5"/>
  <c r="X104" i="5"/>
  <c r="W104" i="5" s="1"/>
  <c r="P104" i="5"/>
  <c r="AH103" i="5"/>
  <c r="AF103" i="5"/>
  <c r="Z103" i="5"/>
  <c r="X103" i="5"/>
  <c r="W103" i="5" s="1"/>
  <c r="P103" i="5"/>
  <c r="AH102" i="5"/>
  <c r="AF102" i="5"/>
  <c r="Z102" i="5"/>
  <c r="X102" i="5"/>
  <c r="W102" i="5" s="1"/>
  <c r="P102" i="5"/>
  <c r="AH101" i="5"/>
  <c r="AF101" i="5"/>
  <c r="Z101" i="5"/>
  <c r="X101" i="5"/>
  <c r="W101" i="5" s="1"/>
  <c r="P101" i="5"/>
  <c r="AH100" i="5"/>
  <c r="AF100" i="5"/>
  <c r="Z100" i="5"/>
  <c r="X100" i="5"/>
  <c r="W100" i="5" s="1"/>
  <c r="P100" i="5"/>
  <c r="AH99" i="5"/>
  <c r="AF99" i="5"/>
  <c r="Z99" i="5"/>
  <c r="X99" i="5"/>
  <c r="W99" i="5" s="1"/>
  <c r="P99" i="5"/>
  <c r="AH98" i="5"/>
  <c r="AF98" i="5"/>
  <c r="Z98" i="5"/>
  <c r="X98" i="5"/>
  <c r="W98" i="5" s="1"/>
  <c r="P98" i="5"/>
  <c r="AH97" i="5"/>
  <c r="AF97" i="5"/>
  <c r="Z97" i="5"/>
  <c r="X97" i="5"/>
  <c r="W97" i="5" s="1"/>
  <c r="P97" i="5"/>
  <c r="AH96" i="5"/>
  <c r="AF96" i="5"/>
  <c r="Z96" i="5"/>
  <c r="X96" i="5"/>
  <c r="W96" i="5" s="1"/>
  <c r="P96" i="5"/>
  <c r="AH95" i="5"/>
  <c r="AF95" i="5"/>
  <c r="Z95" i="5"/>
  <c r="X95" i="5"/>
  <c r="W95" i="5" s="1"/>
  <c r="P95" i="5"/>
  <c r="AH94" i="5"/>
  <c r="AF94" i="5"/>
  <c r="Z94" i="5"/>
  <c r="X94" i="5"/>
  <c r="W94" i="5" s="1"/>
  <c r="P94" i="5"/>
  <c r="AH93" i="5"/>
  <c r="AF93" i="5"/>
  <c r="Z93" i="5"/>
  <c r="X93" i="5"/>
  <c r="W93" i="5" s="1"/>
  <c r="P93" i="5"/>
  <c r="AH92" i="5"/>
  <c r="AF92" i="5"/>
  <c r="Z92" i="5"/>
  <c r="X92" i="5"/>
  <c r="W92" i="5" s="1"/>
  <c r="P92" i="5"/>
  <c r="AH91" i="5"/>
  <c r="AF91" i="5"/>
  <c r="Z91" i="5"/>
  <c r="X91" i="5"/>
  <c r="W91" i="5" s="1"/>
  <c r="P91" i="5"/>
  <c r="AH90" i="5"/>
  <c r="AF90" i="5"/>
  <c r="Z90" i="5"/>
  <c r="X90" i="5"/>
  <c r="W90" i="5" s="1"/>
  <c r="P90" i="5"/>
  <c r="AH89" i="5"/>
  <c r="AF89" i="5"/>
  <c r="Z89" i="5"/>
  <c r="X89" i="5"/>
  <c r="W89" i="5" s="1"/>
  <c r="P89" i="5"/>
  <c r="AH88" i="5"/>
  <c r="AF88" i="5"/>
  <c r="Z88" i="5"/>
  <c r="X88" i="5"/>
  <c r="W88" i="5" s="1"/>
  <c r="P88" i="5"/>
  <c r="AH87" i="5"/>
  <c r="AF87" i="5"/>
  <c r="Z87" i="5"/>
  <c r="X87" i="5"/>
  <c r="W87" i="5" s="1"/>
  <c r="P87" i="5"/>
  <c r="AH86" i="5"/>
  <c r="AF86" i="5"/>
  <c r="Z86" i="5"/>
  <c r="X86" i="5"/>
  <c r="W86" i="5" s="1"/>
  <c r="P86" i="5"/>
  <c r="AH85" i="5"/>
  <c r="AF85" i="5"/>
  <c r="Z85" i="5"/>
  <c r="X85" i="5"/>
  <c r="W85" i="5" s="1"/>
  <c r="P85" i="5"/>
  <c r="AH84" i="5"/>
  <c r="AF84" i="5"/>
  <c r="Z84" i="5"/>
  <c r="X84" i="5"/>
  <c r="W84" i="5" s="1"/>
  <c r="P84" i="5"/>
  <c r="AH83" i="5"/>
  <c r="AF83" i="5"/>
  <c r="Z83" i="5"/>
  <c r="X83" i="5"/>
  <c r="W83" i="5" s="1"/>
  <c r="P83" i="5"/>
  <c r="AH82" i="5"/>
  <c r="AF82" i="5"/>
  <c r="Z82" i="5"/>
  <c r="X82" i="5"/>
  <c r="W82" i="5" s="1"/>
  <c r="P82" i="5"/>
  <c r="AH81" i="5"/>
  <c r="AF81" i="5"/>
  <c r="Z81" i="5"/>
  <c r="X81" i="5"/>
  <c r="W81" i="5" s="1"/>
  <c r="P81" i="5"/>
  <c r="AH80" i="5"/>
  <c r="AF80" i="5"/>
  <c r="Z80" i="5"/>
  <c r="X80" i="5"/>
  <c r="W80" i="5" s="1"/>
  <c r="P80" i="5"/>
  <c r="AH79" i="5"/>
  <c r="AF79" i="5"/>
  <c r="Z79" i="5"/>
  <c r="X79" i="5"/>
  <c r="W79" i="5" s="1"/>
  <c r="P79" i="5"/>
  <c r="AH78" i="5"/>
  <c r="AF78" i="5"/>
  <c r="Z78" i="5"/>
  <c r="X78" i="5"/>
  <c r="W78" i="5" s="1"/>
  <c r="P78" i="5"/>
  <c r="AH77" i="5"/>
  <c r="AF77" i="5"/>
  <c r="Z77" i="5"/>
  <c r="X77" i="5"/>
  <c r="W77" i="5" s="1"/>
  <c r="P77" i="5"/>
  <c r="AH76" i="5"/>
  <c r="AF76" i="5"/>
  <c r="Z76" i="5"/>
  <c r="X76" i="5"/>
  <c r="W76" i="5" s="1"/>
  <c r="P76" i="5"/>
  <c r="AH75" i="5"/>
  <c r="AF75" i="5"/>
  <c r="Z75" i="5"/>
  <c r="X75" i="5"/>
  <c r="W75" i="5" s="1"/>
  <c r="P75" i="5"/>
  <c r="AH74" i="5"/>
  <c r="AF74" i="5"/>
  <c r="Z74" i="5"/>
  <c r="X74" i="5"/>
  <c r="W74" i="5" s="1"/>
  <c r="P74" i="5"/>
  <c r="AH73" i="5"/>
  <c r="AF73" i="5"/>
  <c r="Z73" i="5"/>
  <c r="X73" i="5"/>
  <c r="W73" i="5" s="1"/>
  <c r="P73" i="5"/>
  <c r="AH72" i="5"/>
  <c r="AF72" i="5"/>
  <c r="Z72" i="5"/>
  <c r="X72" i="5"/>
  <c r="W72" i="5" s="1"/>
  <c r="P72" i="5"/>
  <c r="AH71" i="5"/>
  <c r="AF71" i="5"/>
  <c r="Z71" i="5"/>
  <c r="X71" i="5"/>
  <c r="W71" i="5" s="1"/>
  <c r="P71" i="5"/>
  <c r="AH70" i="5"/>
  <c r="AF70" i="5"/>
  <c r="Z70" i="5"/>
  <c r="X70" i="5"/>
  <c r="W70" i="5" s="1"/>
  <c r="P70" i="5"/>
  <c r="AH69" i="5"/>
  <c r="AF69" i="5"/>
  <c r="Z69" i="5"/>
  <c r="X69" i="5"/>
  <c r="W69" i="5" s="1"/>
  <c r="P69" i="5"/>
  <c r="AH68" i="5"/>
  <c r="AF68" i="5"/>
  <c r="Z68" i="5"/>
  <c r="X68" i="5"/>
  <c r="W68" i="5" s="1"/>
  <c r="P68" i="5"/>
  <c r="AH67" i="5"/>
  <c r="AF67" i="5"/>
  <c r="Z67" i="5"/>
  <c r="X67" i="5"/>
  <c r="W67" i="5" s="1"/>
  <c r="P67" i="5"/>
  <c r="AH66" i="5"/>
  <c r="AF66" i="5"/>
  <c r="Z66" i="5"/>
  <c r="X66" i="5"/>
  <c r="W66" i="5" s="1"/>
  <c r="P66" i="5"/>
  <c r="AH65" i="5"/>
  <c r="AF65" i="5"/>
  <c r="Z65" i="5"/>
  <c r="X65" i="5"/>
  <c r="W65" i="5" s="1"/>
  <c r="P65" i="5"/>
  <c r="AH64" i="5"/>
  <c r="AF64" i="5"/>
  <c r="Z64" i="5"/>
  <c r="X64" i="5"/>
  <c r="W64" i="5" s="1"/>
  <c r="P64" i="5"/>
  <c r="AH63" i="5"/>
  <c r="AF63" i="5"/>
  <c r="Z63" i="5"/>
  <c r="X63" i="5"/>
  <c r="W63" i="5" s="1"/>
  <c r="P63" i="5"/>
  <c r="AH62" i="5"/>
  <c r="AF62" i="5"/>
  <c r="Z62" i="5"/>
  <c r="X62" i="5"/>
  <c r="W62" i="5" s="1"/>
  <c r="P62" i="5"/>
  <c r="AH61" i="5"/>
  <c r="AF61" i="5"/>
  <c r="Z61" i="5"/>
  <c r="X61" i="5"/>
  <c r="W61" i="5" s="1"/>
  <c r="P61" i="5"/>
  <c r="AH60" i="5"/>
  <c r="AF60" i="5"/>
  <c r="Z60" i="5"/>
  <c r="X60" i="5"/>
  <c r="W60" i="5" s="1"/>
  <c r="P60" i="5"/>
  <c r="AH59" i="5"/>
  <c r="AF59" i="5"/>
  <c r="Z59" i="5"/>
  <c r="X59" i="5"/>
  <c r="W59" i="5" s="1"/>
  <c r="P59" i="5"/>
  <c r="AH58" i="5"/>
  <c r="AF58" i="5"/>
  <c r="Z58" i="5"/>
  <c r="X58" i="5"/>
  <c r="W58" i="5" s="1"/>
  <c r="P58" i="5"/>
  <c r="AH57" i="5"/>
  <c r="AF57" i="5"/>
  <c r="Z57" i="5"/>
  <c r="X57" i="5"/>
  <c r="W57" i="5" s="1"/>
  <c r="P57" i="5"/>
  <c r="AH56" i="5"/>
  <c r="AF56" i="5"/>
  <c r="Z56" i="5"/>
  <c r="X56" i="5"/>
  <c r="W56" i="5" s="1"/>
  <c r="P56" i="5"/>
  <c r="AH55" i="5"/>
  <c r="AF55" i="5"/>
  <c r="Z55" i="5"/>
  <c r="X55" i="5"/>
  <c r="W55" i="5" s="1"/>
  <c r="P55" i="5"/>
  <c r="AH54" i="5"/>
  <c r="AF54" i="5"/>
  <c r="AE54" i="5" s="1"/>
  <c r="Z54" i="5"/>
  <c r="X54" i="5"/>
  <c r="W54" i="5" s="1"/>
  <c r="AH53" i="5"/>
  <c r="AF53" i="5"/>
  <c r="AE53" i="5" s="1"/>
  <c r="Z53" i="5"/>
  <c r="X53" i="5"/>
  <c r="W53" i="5" s="1"/>
  <c r="AH52" i="5"/>
  <c r="Z52" i="5"/>
  <c r="X52" i="5"/>
  <c r="W52" i="5" s="1"/>
  <c r="AH51" i="5"/>
  <c r="Z51" i="5"/>
  <c r="X51" i="5"/>
  <c r="W51" i="5" s="1"/>
  <c r="AH50" i="5"/>
  <c r="AF50" i="5"/>
  <c r="AE50" i="5" s="1"/>
  <c r="Z50" i="5"/>
  <c r="X50" i="5"/>
  <c r="W50" i="5" s="1"/>
  <c r="AH49" i="5"/>
  <c r="AF49" i="5"/>
  <c r="AE49" i="5" s="1"/>
  <c r="Z49" i="5"/>
  <c r="X49" i="5"/>
  <c r="W49" i="5" s="1"/>
  <c r="AH48" i="5"/>
  <c r="AF48" i="5"/>
  <c r="AE48" i="5" s="1"/>
  <c r="Z48" i="5"/>
  <c r="X48" i="5"/>
  <c r="W48" i="5" s="1"/>
  <c r="AH47" i="5"/>
  <c r="AF47" i="5"/>
  <c r="AE47" i="5" s="1"/>
  <c r="Z47" i="5"/>
  <c r="X47" i="5"/>
  <c r="W47" i="5" s="1"/>
  <c r="AH46" i="5"/>
  <c r="AF46" i="5"/>
  <c r="AE46" i="5" s="1"/>
  <c r="Z46" i="5"/>
  <c r="X46" i="5"/>
  <c r="W46" i="5" s="1"/>
  <c r="AH45" i="5"/>
  <c r="AF45" i="5"/>
  <c r="AE45" i="5" s="1"/>
  <c r="Z45" i="5"/>
  <c r="X45" i="5"/>
  <c r="W45" i="5" s="1"/>
  <c r="AH44" i="5"/>
  <c r="AF44" i="5"/>
  <c r="AE44" i="5" s="1"/>
  <c r="Z44" i="5"/>
  <c r="X44" i="5"/>
  <c r="W44" i="5" s="1"/>
  <c r="AH43" i="5"/>
  <c r="AF43" i="5"/>
  <c r="AE43" i="5" s="1"/>
  <c r="Z43" i="5"/>
  <c r="X43" i="5"/>
  <c r="W43" i="5" s="1"/>
  <c r="AH42" i="5"/>
  <c r="AF42" i="5"/>
  <c r="AE42" i="5" s="1"/>
  <c r="Z42" i="5"/>
  <c r="X42" i="5"/>
  <c r="W42" i="5" s="1"/>
  <c r="AH41" i="5"/>
  <c r="AF41" i="5"/>
  <c r="AE41" i="5" s="1"/>
  <c r="Z41" i="5"/>
  <c r="X41" i="5"/>
  <c r="W41" i="5" s="1"/>
  <c r="AH40" i="5"/>
  <c r="AF40" i="5"/>
  <c r="AE40" i="5" s="1"/>
  <c r="Z40" i="5"/>
  <c r="X40" i="5"/>
  <c r="W40" i="5" s="1"/>
  <c r="AH39" i="5"/>
  <c r="AF39" i="5"/>
  <c r="AE39" i="5" s="1"/>
  <c r="Z39" i="5"/>
  <c r="X39" i="5"/>
  <c r="W39" i="5" s="1"/>
  <c r="AH38" i="5"/>
  <c r="AF38" i="5"/>
  <c r="AE38" i="5" s="1"/>
  <c r="Z38" i="5"/>
  <c r="X38" i="5"/>
  <c r="W38" i="5" s="1"/>
  <c r="AH37" i="5"/>
  <c r="AF37" i="5"/>
  <c r="AE37" i="5" s="1"/>
  <c r="Z37" i="5"/>
  <c r="X37" i="5"/>
  <c r="W37" i="5" s="1"/>
  <c r="AH36" i="5"/>
  <c r="AF36" i="5"/>
  <c r="AE36" i="5" s="1"/>
  <c r="Z36" i="5"/>
  <c r="X36" i="5"/>
  <c r="W36" i="5" s="1"/>
  <c r="AH35" i="5"/>
  <c r="AF35" i="5"/>
  <c r="AE35" i="5"/>
  <c r="Z35" i="5"/>
  <c r="X35" i="5"/>
  <c r="W35" i="5" s="1"/>
  <c r="AH34" i="5"/>
  <c r="AF34" i="5"/>
  <c r="AE34" i="5" s="1"/>
  <c r="Z34" i="5"/>
  <c r="X34" i="5"/>
  <c r="W34" i="5" s="1"/>
  <c r="AH33" i="5"/>
  <c r="AF33" i="5"/>
  <c r="AE33" i="5" s="1"/>
  <c r="Z33" i="5"/>
  <c r="X33" i="5"/>
  <c r="W33" i="5" s="1"/>
  <c r="AH32" i="5"/>
  <c r="AF32" i="5"/>
  <c r="AE32" i="5" s="1"/>
  <c r="Z32" i="5"/>
  <c r="X32" i="5"/>
  <c r="W32" i="5" s="1"/>
  <c r="AH31" i="5"/>
  <c r="AF31" i="5"/>
  <c r="AE31" i="5" s="1"/>
  <c r="Z31" i="5"/>
  <c r="X31" i="5"/>
  <c r="W31" i="5" s="1"/>
  <c r="AH30" i="5"/>
  <c r="AF30" i="5"/>
  <c r="AE30" i="5" s="1"/>
  <c r="Z30" i="5"/>
  <c r="X30" i="5"/>
  <c r="W30" i="5" s="1"/>
  <c r="AH29" i="5"/>
  <c r="AF29" i="5"/>
  <c r="AE29" i="5" s="1"/>
  <c r="Z29" i="5"/>
  <c r="X29" i="5"/>
  <c r="W29" i="5" s="1"/>
  <c r="AH28" i="5"/>
  <c r="AF28" i="5"/>
  <c r="AE28" i="5" s="1"/>
  <c r="Z28" i="5"/>
  <c r="W28" i="5"/>
  <c r="AH27" i="5"/>
  <c r="AF27" i="5"/>
  <c r="AE27" i="5" s="1"/>
  <c r="Z27" i="5"/>
  <c r="X27" i="5"/>
  <c r="W27" i="5" s="1"/>
  <c r="AH26" i="5"/>
  <c r="AF26" i="5"/>
  <c r="AE26" i="5" s="1"/>
  <c r="Z26" i="5"/>
  <c r="X26" i="5"/>
  <c r="W26" i="5" s="1"/>
  <c r="AH25" i="5"/>
  <c r="AF25" i="5"/>
  <c r="AE25" i="5" s="1"/>
  <c r="Z25" i="5"/>
  <c r="X25" i="5"/>
  <c r="W25" i="5" s="1"/>
  <c r="AH24" i="5"/>
  <c r="AF24" i="5"/>
  <c r="AE24" i="5" s="1"/>
  <c r="Z24" i="5"/>
  <c r="X24" i="5"/>
  <c r="W24" i="5" s="1"/>
  <c r="AH23" i="5"/>
  <c r="AF23" i="5"/>
  <c r="AE23" i="5" s="1"/>
  <c r="Z23" i="5"/>
  <c r="X23" i="5"/>
  <c r="W23" i="5" s="1"/>
  <c r="AH22" i="5"/>
  <c r="AF22" i="5"/>
  <c r="AE22" i="5" s="1"/>
  <c r="Z22" i="5"/>
  <c r="X22" i="5"/>
  <c r="W22" i="5" s="1"/>
  <c r="AH21" i="5"/>
  <c r="AF21" i="5"/>
  <c r="AE21" i="5" s="1"/>
  <c r="Z21" i="5"/>
  <c r="X21" i="5"/>
  <c r="W21" i="5" s="1"/>
  <c r="AH20" i="5"/>
  <c r="AF20" i="5"/>
  <c r="AE20" i="5" s="1"/>
  <c r="Z20" i="5"/>
  <c r="X20" i="5"/>
  <c r="W20" i="5" s="1"/>
  <c r="AH19" i="5"/>
  <c r="AF19" i="5"/>
  <c r="AE19" i="5" s="1"/>
  <c r="Z19" i="5"/>
  <c r="X19" i="5"/>
  <c r="W19" i="5" s="1"/>
  <c r="AH18" i="5"/>
  <c r="AF18" i="5"/>
  <c r="AE18" i="5" s="1"/>
  <c r="Z18" i="5"/>
  <c r="X18" i="5"/>
  <c r="W18" i="5" s="1"/>
  <c r="AH17" i="5"/>
  <c r="AF17" i="5"/>
  <c r="AE17" i="5" s="1"/>
  <c r="Z17" i="5"/>
  <c r="X17" i="5"/>
  <c r="W17" i="5" s="1"/>
  <c r="AH16" i="5"/>
  <c r="AF16" i="5"/>
  <c r="AE16" i="5" s="1"/>
  <c r="Z16" i="5"/>
  <c r="X16" i="5"/>
  <c r="W16" i="5" s="1"/>
  <c r="AH15" i="5"/>
  <c r="AF15" i="5"/>
  <c r="AE15" i="5" s="1"/>
  <c r="Z15" i="5"/>
  <c r="X15" i="5"/>
  <c r="W15" i="5" s="1"/>
  <c r="P15" i="5"/>
  <c r="P16" i="5" s="1"/>
  <c r="AH14" i="5"/>
  <c r="AF14" i="5"/>
  <c r="AE14" i="5" s="1"/>
  <c r="Z14" i="5"/>
  <c r="X14" i="5"/>
  <c r="W14" i="5" s="1"/>
  <c r="AC11" i="5"/>
  <c r="AB11" i="5" s="1"/>
  <c r="T3" i="5"/>
  <c r="P3" i="5"/>
  <c r="P16" i="21" l="1"/>
  <c r="AF11" i="21"/>
  <c r="AG11" i="20"/>
  <c r="AF11" i="17"/>
  <c r="AG11" i="17"/>
  <c r="AG48" i="17" s="1"/>
  <c r="AH11" i="16"/>
  <c r="AE11" i="16"/>
  <c r="AE11" i="14"/>
  <c r="AH11" i="11"/>
  <c r="AG11" i="10"/>
  <c r="AE11" i="9"/>
  <c r="U11" i="20"/>
  <c r="Y11" i="20" s="1"/>
  <c r="U11" i="15"/>
  <c r="Y11" i="15" s="1"/>
  <c r="U11" i="13"/>
  <c r="T11" i="13" s="1"/>
  <c r="U11" i="7"/>
  <c r="Q11" i="7" s="1"/>
  <c r="U11" i="19"/>
  <c r="Z11" i="19" s="1"/>
  <c r="AH11" i="6"/>
  <c r="AF11" i="6"/>
  <c r="P17" i="6"/>
  <c r="P18" i="6" s="1"/>
  <c r="P19" i="6" s="1"/>
  <c r="P20" i="6" s="1"/>
  <c r="P21" i="6" s="1"/>
  <c r="P22" i="6" s="1"/>
  <c r="P23" i="6" s="1"/>
  <c r="P24" i="6" s="1"/>
  <c r="P25" i="6" s="1"/>
  <c r="P26" i="6" s="1"/>
  <c r="P27" i="6" s="1"/>
  <c r="P28" i="6" s="1"/>
  <c r="P29" i="6" s="1"/>
  <c r="P30" i="6" s="1"/>
  <c r="P31" i="6" s="1"/>
  <c r="P32" i="6" s="1"/>
  <c r="P33" i="6" s="1"/>
  <c r="P34" i="6" s="1"/>
  <c r="P35" i="6" s="1"/>
  <c r="P36" i="6" s="1"/>
  <c r="P37" i="6" s="1"/>
  <c r="P38" i="6" s="1"/>
  <c r="P39" i="6" s="1"/>
  <c r="P40" i="6" s="1"/>
  <c r="P41" i="6" s="1"/>
  <c r="P42" i="6" s="1"/>
  <c r="P43" i="6" s="1"/>
  <c r="P44" i="6" s="1"/>
  <c r="P45" i="6" s="1"/>
  <c r="P46" i="6" s="1"/>
  <c r="P47" i="6" s="1"/>
  <c r="P48" i="6" s="1"/>
  <c r="P49" i="6" s="1"/>
  <c r="P50" i="6" s="1"/>
  <c r="P51" i="6" s="1"/>
  <c r="P52" i="6" s="1"/>
  <c r="P53" i="6" s="1"/>
  <c r="P54" i="6" s="1"/>
  <c r="AH11" i="7"/>
  <c r="U11" i="5"/>
  <c r="Y11" i="5" s="1"/>
  <c r="AG11" i="6"/>
  <c r="AG11" i="5"/>
  <c r="AH11" i="5"/>
  <c r="AF11" i="5"/>
  <c r="AE11" i="5"/>
  <c r="U11" i="6"/>
  <c r="AH11" i="8"/>
  <c r="AG11" i="8"/>
  <c r="AE11" i="8"/>
  <c r="AB11" i="8"/>
  <c r="AH11" i="9"/>
  <c r="AB11" i="6"/>
  <c r="AF11" i="8"/>
  <c r="AE11" i="7"/>
  <c r="U11" i="8"/>
  <c r="U11" i="9"/>
  <c r="P17" i="5"/>
  <c r="AE11" i="6"/>
  <c r="AF11" i="7"/>
  <c r="AG11" i="7"/>
  <c r="AG11" i="9"/>
  <c r="P16" i="7"/>
  <c r="P17" i="7" s="1"/>
  <c r="P18" i="7" s="1"/>
  <c r="P19" i="7" s="1"/>
  <c r="P20" i="7" s="1"/>
  <c r="P21" i="7" s="1"/>
  <c r="P22" i="7" s="1"/>
  <c r="P23" i="7" s="1"/>
  <c r="P24" i="7" s="1"/>
  <c r="P25" i="7" s="1"/>
  <c r="P26" i="7" s="1"/>
  <c r="P27" i="7" s="1"/>
  <c r="P28" i="7" s="1"/>
  <c r="P29" i="7" s="1"/>
  <c r="P30" i="7" s="1"/>
  <c r="P31" i="7" s="1"/>
  <c r="P32" i="7" s="1"/>
  <c r="P33" i="7" s="1"/>
  <c r="P34" i="7" s="1"/>
  <c r="P35" i="7" s="1"/>
  <c r="P36" i="7" s="1"/>
  <c r="P37" i="7" s="1"/>
  <c r="P38" i="7" s="1"/>
  <c r="P39" i="7" s="1"/>
  <c r="P40" i="7" s="1"/>
  <c r="P41" i="7" s="1"/>
  <c r="P42" i="7" s="1"/>
  <c r="P43" i="7" s="1"/>
  <c r="P44" i="7" s="1"/>
  <c r="P45" i="7" s="1"/>
  <c r="P46" i="7" s="1"/>
  <c r="P47" i="7" s="1"/>
  <c r="P48" i="7" s="1"/>
  <c r="P49" i="7" s="1"/>
  <c r="P50" i="7" s="1"/>
  <c r="P51" i="7" s="1"/>
  <c r="P52" i="7" s="1"/>
  <c r="P53" i="7" s="1"/>
  <c r="R4" i="8"/>
  <c r="P17" i="9"/>
  <c r="P18" i="9" s="1"/>
  <c r="P19" i="9" s="1"/>
  <c r="P20" i="9" s="1"/>
  <c r="P21" i="9" s="1"/>
  <c r="P22" i="9" s="1"/>
  <c r="P23" i="9" s="1"/>
  <c r="P24" i="9" s="1"/>
  <c r="P25" i="9" s="1"/>
  <c r="P26" i="9" s="1"/>
  <c r="P27" i="9" s="1"/>
  <c r="P28" i="9" s="1"/>
  <c r="P29" i="9" s="1"/>
  <c r="P30" i="9" s="1"/>
  <c r="P31" i="9" s="1"/>
  <c r="P32" i="9" s="1"/>
  <c r="P33" i="9" s="1"/>
  <c r="P34" i="9" s="1"/>
  <c r="P35" i="9" s="1"/>
  <c r="P36" i="9" s="1"/>
  <c r="P37" i="9" s="1"/>
  <c r="P38" i="9" s="1"/>
  <c r="P39" i="9" s="1"/>
  <c r="P40" i="9" s="1"/>
  <c r="P41" i="9" s="1"/>
  <c r="P42" i="9" s="1"/>
  <c r="P43" i="9" s="1"/>
  <c r="P44" i="9" s="1"/>
  <c r="P45" i="9" s="1"/>
  <c r="P46" i="9" s="1"/>
  <c r="P47" i="9" s="1"/>
  <c r="P48" i="9" s="1"/>
  <c r="P49" i="9" s="1"/>
  <c r="P50" i="9" s="1"/>
  <c r="P51" i="9" s="1"/>
  <c r="AF11" i="10"/>
  <c r="AG37" i="10" s="1"/>
  <c r="AF11" i="12"/>
  <c r="T4" i="10"/>
  <c r="R4" i="10"/>
  <c r="AF11" i="9"/>
  <c r="AH11" i="12"/>
  <c r="AG11" i="12"/>
  <c r="AE11" i="12"/>
  <c r="U11" i="12"/>
  <c r="AH11" i="10"/>
  <c r="AE11" i="10"/>
  <c r="AB11" i="10"/>
  <c r="T4" i="8"/>
  <c r="U11" i="10"/>
  <c r="U11" i="11"/>
  <c r="AG11" i="11"/>
  <c r="AF11" i="11"/>
  <c r="AE11" i="11"/>
  <c r="AH11" i="13"/>
  <c r="P17" i="11"/>
  <c r="P18" i="11" s="1"/>
  <c r="P19" i="11" s="1"/>
  <c r="P20" i="11" s="1"/>
  <c r="P21" i="11" s="1"/>
  <c r="P22" i="11" s="1"/>
  <c r="P23" i="11" s="1"/>
  <c r="P24" i="11" s="1"/>
  <c r="P25" i="11" s="1"/>
  <c r="P26" i="11" s="1"/>
  <c r="P27" i="11" s="1"/>
  <c r="P28" i="11" s="1"/>
  <c r="P29" i="11" s="1"/>
  <c r="P30" i="11" s="1"/>
  <c r="P31" i="11" s="1"/>
  <c r="P32" i="11" s="1"/>
  <c r="P33" i="11" s="1"/>
  <c r="P34" i="11" s="1"/>
  <c r="P35" i="11" s="1"/>
  <c r="P36" i="11" s="1"/>
  <c r="P37" i="11" s="1"/>
  <c r="P38" i="11" s="1"/>
  <c r="P39" i="11" s="1"/>
  <c r="P40" i="11" s="1"/>
  <c r="P41" i="11" s="1"/>
  <c r="P42" i="11" s="1"/>
  <c r="P43" i="11" s="1"/>
  <c r="P44" i="11" s="1"/>
  <c r="P45" i="11" s="1"/>
  <c r="P46" i="11" s="1"/>
  <c r="P47" i="11" s="1"/>
  <c r="P48" i="11" s="1"/>
  <c r="P49" i="11" s="1"/>
  <c r="P50" i="11" s="1"/>
  <c r="P51" i="11" s="1"/>
  <c r="P16" i="12"/>
  <c r="P17" i="12" s="1"/>
  <c r="P18" i="12" s="1"/>
  <c r="P19" i="12" s="1"/>
  <c r="P20" i="12" s="1"/>
  <c r="P21" i="12" s="1"/>
  <c r="P22" i="12" s="1"/>
  <c r="P23" i="12" s="1"/>
  <c r="P24" i="12" s="1"/>
  <c r="P25" i="12" s="1"/>
  <c r="P26" i="12" s="1"/>
  <c r="P27" i="12" s="1"/>
  <c r="P28" i="12" s="1"/>
  <c r="P29" i="12" s="1"/>
  <c r="P30" i="12" s="1"/>
  <c r="P31" i="12" s="1"/>
  <c r="P32" i="12" s="1"/>
  <c r="P33" i="12" s="1"/>
  <c r="P34" i="12" s="1"/>
  <c r="P35" i="12" s="1"/>
  <c r="P36" i="12" s="1"/>
  <c r="P37" i="12" s="1"/>
  <c r="P38" i="12" s="1"/>
  <c r="P39" i="12" s="1"/>
  <c r="P40" i="12" s="1"/>
  <c r="P41" i="12" s="1"/>
  <c r="P42" i="12" s="1"/>
  <c r="P43" i="12" s="1"/>
  <c r="P44" i="12" s="1"/>
  <c r="P45" i="12" s="1"/>
  <c r="P46" i="12" s="1"/>
  <c r="P47" i="12" s="1"/>
  <c r="P48" i="12" s="1"/>
  <c r="P49" i="12" s="1"/>
  <c r="P50" i="12" s="1"/>
  <c r="P51" i="12" s="1"/>
  <c r="P52" i="12" s="1"/>
  <c r="P53" i="12" s="1"/>
  <c r="P54" i="12" s="1"/>
  <c r="AB11" i="13"/>
  <c r="AG11" i="13"/>
  <c r="AF11" i="13"/>
  <c r="AE11" i="13"/>
  <c r="P17" i="14"/>
  <c r="P18" i="14" s="1"/>
  <c r="P19" i="14" s="1"/>
  <c r="P20" i="14" s="1"/>
  <c r="P21" i="14" s="1"/>
  <c r="P22" i="14" s="1"/>
  <c r="P23" i="14" s="1"/>
  <c r="P24" i="14" s="1"/>
  <c r="P25" i="14" s="1"/>
  <c r="P26" i="14" s="1"/>
  <c r="P27" i="14" s="1"/>
  <c r="P28" i="14" s="1"/>
  <c r="P29" i="14" s="1"/>
  <c r="P30" i="14" s="1"/>
  <c r="P31" i="14" s="1"/>
  <c r="P32" i="14" s="1"/>
  <c r="P33" i="14" s="1"/>
  <c r="P34" i="14" s="1"/>
  <c r="P35" i="14" s="1"/>
  <c r="P36" i="14" s="1"/>
  <c r="P37" i="14" s="1"/>
  <c r="P38" i="14" s="1"/>
  <c r="P39" i="14" s="1"/>
  <c r="P40" i="14" s="1"/>
  <c r="P41" i="14" s="1"/>
  <c r="P42" i="14" s="1"/>
  <c r="P43" i="14" s="1"/>
  <c r="P44" i="14" s="1"/>
  <c r="P45" i="14" s="1"/>
  <c r="P46" i="14" s="1"/>
  <c r="P47" i="14" s="1"/>
  <c r="P48" i="14" s="1"/>
  <c r="P49" i="14" s="1"/>
  <c r="P50" i="14" s="1"/>
  <c r="P51" i="14" s="1"/>
  <c r="P21" i="15"/>
  <c r="P22" i="15" s="1"/>
  <c r="P23" i="15" s="1"/>
  <c r="P24" i="15" s="1"/>
  <c r="P25" i="15" s="1"/>
  <c r="P26" i="15" s="1"/>
  <c r="P27" i="15" s="1"/>
  <c r="P28" i="15" s="1"/>
  <c r="P29" i="15" s="1"/>
  <c r="P30" i="15" s="1"/>
  <c r="P31" i="15" s="1"/>
  <c r="P32" i="15" s="1"/>
  <c r="P33" i="15" s="1"/>
  <c r="P34" i="15" s="1"/>
  <c r="P35" i="15" s="1"/>
  <c r="P36" i="15" s="1"/>
  <c r="P37" i="15" s="1"/>
  <c r="P38" i="15" s="1"/>
  <c r="P39" i="15" s="1"/>
  <c r="P40" i="15" s="1"/>
  <c r="P41" i="15" s="1"/>
  <c r="P42" i="15" s="1"/>
  <c r="P43" i="15" s="1"/>
  <c r="P44" i="15" s="1"/>
  <c r="P45" i="15" s="1"/>
  <c r="P46" i="15" s="1"/>
  <c r="P47" i="15" s="1"/>
  <c r="P48" i="15" s="1"/>
  <c r="P49" i="15" s="1"/>
  <c r="P50" i="15" s="1"/>
  <c r="P51" i="15" s="1"/>
  <c r="U11" i="14"/>
  <c r="T4" i="13"/>
  <c r="R4" i="13"/>
  <c r="AH11" i="14"/>
  <c r="AG11" i="14"/>
  <c r="AF11" i="14"/>
  <c r="AH11" i="15"/>
  <c r="AB11" i="15"/>
  <c r="AG11" i="15"/>
  <c r="AF11" i="15"/>
  <c r="AE11" i="15"/>
  <c r="AG11" i="18"/>
  <c r="AF11" i="18"/>
  <c r="U11" i="17"/>
  <c r="AF11" i="16"/>
  <c r="U11" i="16"/>
  <c r="AG11" i="16"/>
  <c r="R4" i="16"/>
  <c r="T4" i="16"/>
  <c r="AF11" i="19"/>
  <c r="AH11" i="17"/>
  <c r="AE11" i="17"/>
  <c r="P16" i="17"/>
  <c r="U11" i="18"/>
  <c r="AH11" i="19"/>
  <c r="AG11" i="19"/>
  <c r="AH11" i="18"/>
  <c r="AE11" i="18"/>
  <c r="P16" i="18"/>
  <c r="P17" i="18" s="1"/>
  <c r="P18" i="18" s="1"/>
  <c r="P19" i="18" s="1"/>
  <c r="P20" i="18" s="1"/>
  <c r="P21" i="18" s="1"/>
  <c r="P22" i="18" s="1"/>
  <c r="P23" i="18" s="1"/>
  <c r="P24" i="18" s="1"/>
  <c r="P25" i="18" s="1"/>
  <c r="P26" i="18" s="1"/>
  <c r="P27" i="18" s="1"/>
  <c r="P28" i="18" s="1"/>
  <c r="P29" i="18" s="1"/>
  <c r="P30" i="18" s="1"/>
  <c r="P31" i="18" s="1"/>
  <c r="P32" i="18" s="1"/>
  <c r="P33" i="18" s="1"/>
  <c r="P34" i="18" s="1"/>
  <c r="P35" i="18" s="1"/>
  <c r="P36" i="18" s="1"/>
  <c r="P37" i="18" s="1"/>
  <c r="P38" i="18" s="1"/>
  <c r="P39" i="18" s="1"/>
  <c r="P40" i="18" s="1"/>
  <c r="P41" i="18" s="1"/>
  <c r="P42" i="18" s="1"/>
  <c r="P43" i="18" s="1"/>
  <c r="P44" i="18" s="1"/>
  <c r="P45" i="18" s="1"/>
  <c r="P46" i="18" s="1"/>
  <c r="P47" i="18" s="1"/>
  <c r="P48" i="18" s="1"/>
  <c r="P49" i="18" s="1"/>
  <c r="P50" i="18" s="1"/>
  <c r="P51" i="18" s="1"/>
  <c r="AH11" i="21"/>
  <c r="AG11" i="21"/>
  <c r="P17" i="21"/>
  <c r="AE11" i="20"/>
  <c r="AH11" i="20"/>
  <c r="AF11" i="20"/>
  <c r="AE11" i="19"/>
  <c r="R4" i="20"/>
  <c r="AE11" i="21"/>
  <c r="U11" i="21"/>
  <c r="R4" i="19"/>
  <c r="T4" i="19"/>
  <c r="T4" i="20"/>
  <c r="Z11" i="20" l="1"/>
  <c r="Y11" i="19"/>
  <c r="Y64" i="19" s="1"/>
  <c r="P18" i="21"/>
  <c r="P19" i="21" s="1"/>
  <c r="P20" i="21" s="1"/>
  <c r="P21" i="21" s="1"/>
  <c r="P22" i="21" s="1"/>
  <c r="P23" i="21" s="1"/>
  <c r="P24" i="21" s="1"/>
  <c r="P25" i="21" s="1"/>
  <c r="P26" i="21" s="1"/>
  <c r="P27" i="21" s="1"/>
  <c r="P28" i="21" s="1"/>
  <c r="P29" i="21" s="1"/>
  <c r="P30" i="21" s="1"/>
  <c r="P31" i="21" s="1"/>
  <c r="P32" i="21" s="1"/>
  <c r="P33" i="21" s="1"/>
  <c r="P34" i="21" s="1"/>
  <c r="P35" i="21" s="1"/>
  <c r="P36" i="21" s="1"/>
  <c r="P37" i="21" s="1"/>
  <c r="P38" i="21" s="1"/>
  <c r="P39" i="21" s="1"/>
  <c r="P40" i="21" s="1"/>
  <c r="P41" i="21" s="1"/>
  <c r="P42" i="21" s="1"/>
  <c r="P43" i="21" s="1"/>
  <c r="P44" i="21" s="1"/>
  <c r="P45" i="21" s="1"/>
  <c r="P46" i="21" s="1"/>
  <c r="P47" i="21" s="1"/>
  <c r="P48" i="21" s="1"/>
  <c r="P49" i="21" s="1"/>
  <c r="P50" i="21" s="1"/>
  <c r="P51" i="21" s="1"/>
  <c r="P52" i="21" s="1"/>
  <c r="T4" i="21"/>
  <c r="W11" i="13"/>
  <c r="AG73" i="17"/>
  <c r="AG79" i="17"/>
  <c r="AG47" i="17"/>
  <c r="AG56" i="17"/>
  <c r="AG25" i="17"/>
  <c r="AG26" i="17"/>
  <c r="AG63" i="17"/>
  <c r="AG107" i="17"/>
  <c r="AG66" i="17"/>
  <c r="AG55" i="17"/>
  <c r="AG82" i="17"/>
  <c r="AG86" i="17"/>
  <c r="AG88" i="17"/>
  <c r="AG90" i="17"/>
  <c r="AG57" i="17"/>
  <c r="AG95" i="17"/>
  <c r="AG115" i="17"/>
  <c r="AG23" i="17"/>
  <c r="AG32" i="17"/>
  <c r="AG53" i="17"/>
  <c r="AG37" i="17"/>
  <c r="AG92" i="17"/>
  <c r="AG42" i="17"/>
  <c r="AG72" i="17"/>
  <c r="AG54" i="17"/>
  <c r="AG102" i="17"/>
  <c r="AG113" i="17"/>
  <c r="AG70" i="17"/>
  <c r="AG49" i="17"/>
  <c r="AG104" i="17"/>
  <c r="AG19" i="17"/>
  <c r="AG87" i="17"/>
  <c r="AG28" i="17"/>
  <c r="AG106" i="17"/>
  <c r="AG39" i="17"/>
  <c r="AG67" i="17"/>
  <c r="AG119" i="17"/>
  <c r="AG44" i="17"/>
  <c r="AG108" i="17"/>
  <c r="AG60" i="17"/>
  <c r="AG99" i="17"/>
  <c r="AG24" i="17"/>
  <c r="AG94" i="17"/>
  <c r="AG81" i="17"/>
  <c r="AG40" i="17"/>
  <c r="AG64" i="17"/>
  <c r="AG91" i="17"/>
  <c r="AG20" i="17"/>
  <c r="AG14" i="17"/>
  <c r="AG110" i="17"/>
  <c r="AG105" i="17"/>
  <c r="AG35" i="17"/>
  <c r="AG52" i="17"/>
  <c r="AG30" i="17"/>
  <c r="AG114" i="17"/>
  <c r="AG27" i="17"/>
  <c r="AG58" i="17"/>
  <c r="AG68" i="17"/>
  <c r="AG50" i="17"/>
  <c r="AG116" i="17"/>
  <c r="AG41" i="17"/>
  <c r="AG74" i="17"/>
  <c r="AG36" i="17"/>
  <c r="AG76" i="17"/>
  <c r="AG118" i="17"/>
  <c r="AG59" i="17"/>
  <c r="AG78" i="17"/>
  <c r="AG120" i="17"/>
  <c r="AG83" i="17"/>
  <c r="AG111" i="17"/>
  <c r="AG75" i="17"/>
  <c r="AG80" i="17"/>
  <c r="AG22" i="17"/>
  <c r="AG96" i="20"/>
  <c r="AG106" i="20"/>
  <c r="AG102" i="20"/>
  <c r="AG100" i="20"/>
  <c r="AG72" i="20"/>
  <c r="AG70" i="20"/>
  <c r="AG68" i="20"/>
  <c r="AG66" i="20"/>
  <c r="AG32" i="20"/>
  <c r="AG16" i="20"/>
  <c r="AG39" i="20"/>
  <c r="AG46" i="20"/>
  <c r="AG30" i="20"/>
  <c r="AG103" i="20"/>
  <c r="AG101" i="20"/>
  <c r="AG95" i="20"/>
  <c r="AG93" i="20"/>
  <c r="AG69" i="20"/>
  <c r="AG65" i="20"/>
  <c r="AG63" i="20"/>
  <c r="AG61" i="20"/>
  <c r="AG59" i="20"/>
  <c r="AG31" i="20"/>
  <c r="AG15" i="20"/>
  <c r="AG38" i="20"/>
  <c r="AG45" i="20"/>
  <c r="AG29" i="20"/>
  <c r="P52" i="18"/>
  <c r="P52" i="15"/>
  <c r="P52" i="14"/>
  <c r="P52" i="11"/>
  <c r="P52" i="9"/>
  <c r="AG34" i="10"/>
  <c r="AG93" i="17"/>
  <c r="AG71" i="17"/>
  <c r="AG51" i="17"/>
  <c r="AG89" i="17"/>
  <c r="AG97" i="17"/>
  <c r="AG33" i="17"/>
  <c r="AG84" i="17"/>
  <c r="AG112" i="17"/>
  <c r="AG62" i="17"/>
  <c r="AG50" i="10"/>
  <c r="AG23" i="10"/>
  <c r="AG55" i="10"/>
  <c r="AG96" i="17"/>
  <c r="AG73" i="10"/>
  <c r="AG101" i="17"/>
  <c r="AG46" i="17"/>
  <c r="AG29" i="17"/>
  <c r="AG17" i="17"/>
  <c r="AG117" i="17"/>
  <c r="AG18" i="17"/>
  <c r="AG98" i="17"/>
  <c r="AG15" i="17"/>
  <c r="AG94" i="20"/>
  <c r="AG52" i="10"/>
  <c r="AG65" i="10"/>
  <c r="AG79" i="10"/>
  <c r="AG16" i="17"/>
  <c r="AG69" i="17"/>
  <c r="AG77" i="17"/>
  <c r="AG85" i="17"/>
  <c r="AG38" i="17"/>
  <c r="AG103" i="17"/>
  <c r="AG109" i="17"/>
  <c r="AG97" i="20"/>
  <c r="AG104" i="20"/>
  <c r="AG43" i="17"/>
  <c r="AG21" i="17"/>
  <c r="AG65" i="17"/>
  <c r="AG61" i="17"/>
  <c r="AG45" i="17"/>
  <c r="AG34" i="17"/>
  <c r="AG100" i="17"/>
  <c r="AG31" i="17"/>
  <c r="AG24" i="20"/>
  <c r="AG71" i="20"/>
  <c r="AG105" i="20"/>
  <c r="AG48" i="20"/>
  <c r="AG74" i="20"/>
  <c r="AG108" i="20"/>
  <c r="AG40" i="20"/>
  <c r="AG73" i="20"/>
  <c r="AG107" i="20"/>
  <c r="AG18" i="20"/>
  <c r="AG76" i="20"/>
  <c r="AG110" i="20"/>
  <c r="AG37" i="20"/>
  <c r="AG49" i="20"/>
  <c r="AG75" i="20"/>
  <c r="AG109" i="20"/>
  <c r="AG34" i="20"/>
  <c r="AG78" i="20"/>
  <c r="AG112" i="20"/>
  <c r="AG21" i="20"/>
  <c r="AG26" i="20"/>
  <c r="AG77" i="20"/>
  <c r="AG111" i="20"/>
  <c r="AG50" i="20"/>
  <c r="AG80" i="20"/>
  <c r="AG114" i="20"/>
  <c r="AG41" i="20"/>
  <c r="AG42" i="20"/>
  <c r="AG79" i="20"/>
  <c r="AG113" i="20"/>
  <c r="AG27" i="20"/>
  <c r="AG82" i="20"/>
  <c r="AG116" i="20"/>
  <c r="AG22" i="20"/>
  <c r="AG19" i="20"/>
  <c r="AG81" i="20"/>
  <c r="AG115" i="20"/>
  <c r="AG43" i="20"/>
  <c r="AG84" i="20"/>
  <c r="AG118" i="20"/>
  <c r="AG33" i="20"/>
  <c r="AG35" i="20"/>
  <c r="AG83" i="20"/>
  <c r="AG117" i="20"/>
  <c r="AG52" i="20"/>
  <c r="AG86" i="20"/>
  <c r="AG120" i="20"/>
  <c r="AG17" i="20"/>
  <c r="AG51" i="20"/>
  <c r="AG85" i="20"/>
  <c r="AG119" i="20"/>
  <c r="AG54" i="20"/>
  <c r="AG88" i="20"/>
  <c r="AG36" i="20"/>
  <c r="AG53" i="20"/>
  <c r="AG87" i="20"/>
  <c r="AG28" i="20"/>
  <c r="AG56" i="20"/>
  <c r="AG90" i="20"/>
  <c r="AG20" i="20"/>
  <c r="AG55" i="20"/>
  <c r="AG89" i="20"/>
  <c r="AG44" i="20"/>
  <c r="AG58" i="20"/>
  <c r="AG92" i="20"/>
  <c r="AG25" i="20"/>
  <c r="AG57" i="20"/>
  <c r="AG91" i="20"/>
  <c r="AG14" i="20"/>
  <c r="AG60" i="20"/>
  <c r="AG62" i="20"/>
  <c r="AG98" i="20"/>
  <c r="Q11" i="20"/>
  <c r="R11" i="20"/>
  <c r="T11" i="20"/>
  <c r="W11" i="20"/>
  <c r="X11" i="20"/>
  <c r="Y22" i="20" s="1"/>
  <c r="X11" i="19"/>
  <c r="Y51" i="19" s="1"/>
  <c r="T11" i="15"/>
  <c r="R11" i="13"/>
  <c r="Q11" i="13"/>
  <c r="Y11" i="13"/>
  <c r="Z11" i="13"/>
  <c r="AG62" i="10"/>
  <c r="AG97" i="10"/>
  <c r="AG70" i="10"/>
  <c r="AG105" i="10"/>
  <c r="AG76" i="10"/>
  <c r="AG78" i="10"/>
  <c r="AG84" i="10"/>
  <c r="AG94" i="10"/>
  <c r="AG16" i="10"/>
  <c r="AG102" i="10"/>
  <c r="AG17" i="10"/>
  <c r="AG108" i="10"/>
  <c r="AG22" i="10"/>
  <c r="AG116" i="10"/>
  <c r="AG32" i="10"/>
  <c r="AG15" i="10"/>
  <c r="AG28" i="10"/>
  <c r="AG40" i="10"/>
  <c r="AG26" i="10"/>
  <c r="AG19" i="10"/>
  <c r="X11" i="7"/>
  <c r="Y11" i="7"/>
  <c r="Y18" i="7" s="1"/>
  <c r="R11" i="7"/>
  <c r="T11" i="7"/>
  <c r="W11" i="7"/>
  <c r="X11" i="15"/>
  <c r="Y100" i="15" s="1"/>
  <c r="Z11" i="15"/>
  <c r="Q11" i="15"/>
  <c r="R11" i="15"/>
  <c r="W11" i="15"/>
  <c r="X11" i="13"/>
  <c r="Y102" i="13" s="1"/>
  <c r="Z11" i="7"/>
  <c r="Q11" i="19"/>
  <c r="R11" i="19"/>
  <c r="T11" i="19"/>
  <c r="W11" i="19"/>
  <c r="AG14" i="10"/>
  <c r="AG60" i="10"/>
  <c r="AG92" i="10"/>
  <c r="AG36" i="10"/>
  <c r="AG63" i="10"/>
  <c r="AG95" i="10"/>
  <c r="P18" i="5"/>
  <c r="AG37" i="6"/>
  <c r="AG21" i="6"/>
  <c r="AG44" i="6"/>
  <c r="AG28" i="6"/>
  <c r="AG119" i="6"/>
  <c r="AG117" i="6"/>
  <c r="AG115" i="6"/>
  <c r="AG113" i="6"/>
  <c r="AG111" i="6"/>
  <c r="AG109" i="6"/>
  <c r="AG107" i="6"/>
  <c r="AG105" i="6"/>
  <c r="AG103" i="6"/>
  <c r="AG101" i="6"/>
  <c r="AG99" i="6"/>
  <c r="AG97" i="6"/>
  <c r="AG95" i="6"/>
  <c r="AG93" i="6"/>
  <c r="AG91" i="6"/>
  <c r="AG89" i="6"/>
  <c r="AG87" i="6"/>
  <c r="AG85" i="6"/>
  <c r="AG83" i="6"/>
  <c r="AG81" i="6"/>
  <c r="AG79" i="6"/>
  <c r="AG77" i="6"/>
  <c r="AG75" i="6"/>
  <c r="AG73" i="6"/>
  <c r="AG71" i="6"/>
  <c r="AG69" i="6"/>
  <c r="AG67" i="6"/>
  <c r="AG65" i="6"/>
  <c r="AG63" i="6"/>
  <c r="AG61" i="6"/>
  <c r="AG59" i="6"/>
  <c r="AG57" i="6"/>
  <c r="AG55" i="6"/>
  <c r="AG53" i="6"/>
  <c r="AG51" i="6"/>
  <c r="AG35" i="6"/>
  <c r="AG19" i="6"/>
  <c r="AG42" i="6"/>
  <c r="AG26" i="6"/>
  <c r="AG49" i="6"/>
  <c r="AG33" i="6"/>
  <c r="AG17" i="6"/>
  <c r="AG30" i="6"/>
  <c r="AG40" i="6"/>
  <c r="AG24" i="6"/>
  <c r="AG14" i="6"/>
  <c r="AG47" i="6"/>
  <c r="AG31" i="6"/>
  <c r="AG15" i="6"/>
  <c r="AG39" i="6"/>
  <c r="AG38" i="6"/>
  <c r="AG22" i="6"/>
  <c r="AG45" i="6"/>
  <c r="AG29" i="6"/>
  <c r="AG36" i="6"/>
  <c r="AG20" i="6"/>
  <c r="AG120" i="6"/>
  <c r="AG118" i="6"/>
  <c r="AG116" i="6"/>
  <c r="AG114" i="6"/>
  <c r="AG112" i="6"/>
  <c r="AG110" i="6"/>
  <c r="AG108" i="6"/>
  <c r="AG106" i="6"/>
  <c r="AG104" i="6"/>
  <c r="AG102" i="6"/>
  <c r="AG100" i="6"/>
  <c r="AG98" i="6"/>
  <c r="AG96" i="6"/>
  <c r="AG94" i="6"/>
  <c r="AG92" i="6"/>
  <c r="AG90" i="6"/>
  <c r="AG88" i="6"/>
  <c r="AG86" i="6"/>
  <c r="AG84" i="6"/>
  <c r="AG82" i="6"/>
  <c r="AG80" i="6"/>
  <c r="AG78" i="6"/>
  <c r="AG76" i="6"/>
  <c r="AG74" i="6"/>
  <c r="AG72" i="6"/>
  <c r="AG70" i="6"/>
  <c r="AG68" i="6"/>
  <c r="AG66" i="6"/>
  <c r="AG64" i="6"/>
  <c r="AG62" i="6"/>
  <c r="AG60" i="6"/>
  <c r="AG58" i="6"/>
  <c r="AG56" i="6"/>
  <c r="AG54" i="6"/>
  <c r="AG52" i="6"/>
  <c r="AG43" i="6"/>
  <c r="AG27" i="6"/>
  <c r="AG50" i="6"/>
  <c r="AG34" i="6"/>
  <c r="AG18" i="6"/>
  <c r="AG41" i="6"/>
  <c r="AG25" i="6"/>
  <c r="AG46" i="6"/>
  <c r="AG48" i="6"/>
  <c r="AG32" i="6"/>
  <c r="AG16" i="6"/>
  <c r="AG23" i="6"/>
  <c r="Z11" i="9"/>
  <c r="Y11" i="9"/>
  <c r="X11" i="9"/>
  <c r="W11" i="9"/>
  <c r="T11" i="9"/>
  <c r="R11" i="9"/>
  <c r="Q11" i="9"/>
  <c r="T11" i="5"/>
  <c r="R11" i="5"/>
  <c r="Q11" i="5"/>
  <c r="W11" i="5"/>
  <c r="Z11" i="5"/>
  <c r="X11" i="5"/>
  <c r="Y14" i="5" s="1"/>
  <c r="R4" i="21"/>
  <c r="AG48" i="15"/>
  <c r="AG32" i="15"/>
  <c r="AG16" i="15"/>
  <c r="AG46" i="15"/>
  <c r="AG30" i="15"/>
  <c r="AG14" i="15"/>
  <c r="AG44" i="15"/>
  <c r="AG28" i="15"/>
  <c r="AG119" i="15"/>
  <c r="AG117" i="15"/>
  <c r="AG115" i="15"/>
  <c r="AG113" i="15"/>
  <c r="AG111" i="15"/>
  <c r="AG109" i="15"/>
  <c r="AG107" i="15"/>
  <c r="AG105" i="15"/>
  <c r="AG103" i="15"/>
  <c r="AG101" i="15"/>
  <c r="AG99" i="15"/>
  <c r="AG97" i="15"/>
  <c r="AG95" i="15"/>
  <c r="AG93" i="15"/>
  <c r="AG91" i="15"/>
  <c r="AG89" i="15"/>
  <c r="AG87" i="15"/>
  <c r="AG85" i="15"/>
  <c r="AG83" i="15"/>
  <c r="AG81" i="15"/>
  <c r="AG79" i="15"/>
  <c r="AG77" i="15"/>
  <c r="AG75" i="15"/>
  <c r="AG73" i="15"/>
  <c r="AG71" i="15"/>
  <c r="AG69" i="15"/>
  <c r="AG67" i="15"/>
  <c r="AG65" i="15"/>
  <c r="AG63" i="15"/>
  <c r="AG61" i="15"/>
  <c r="AG59" i="15"/>
  <c r="AG57" i="15"/>
  <c r="AG55" i="15"/>
  <c r="AG53" i="15"/>
  <c r="AG51" i="15"/>
  <c r="AG35" i="15"/>
  <c r="AG19" i="15"/>
  <c r="AG42" i="15"/>
  <c r="AG26" i="15"/>
  <c r="AG40" i="15"/>
  <c r="AG47" i="15"/>
  <c r="AG31" i="15"/>
  <c r="AG15" i="15"/>
  <c r="AG45" i="15"/>
  <c r="AG36" i="15"/>
  <c r="AG20" i="15"/>
  <c r="AG50" i="15"/>
  <c r="AG34" i="15"/>
  <c r="AG24" i="15"/>
  <c r="AG22" i="15"/>
  <c r="AG17" i="15"/>
  <c r="AG49" i="15"/>
  <c r="AG41" i="15"/>
  <c r="AG33" i="15"/>
  <c r="AG116" i="15"/>
  <c r="AG108" i="15"/>
  <c r="AG100" i="15"/>
  <c r="AG92" i="15"/>
  <c r="AG84" i="15"/>
  <c r="AG76" i="15"/>
  <c r="AG68" i="15"/>
  <c r="AG60" i="15"/>
  <c r="AG52" i="15"/>
  <c r="AG43" i="15"/>
  <c r="AG38" i="15"/>
  <c r="AG118" i="15"/>
  <c r="AG110" i="15"/>
  <c r="AG102" i="15"/>
  <c r="AG94" i="15"/>
  <c r="AG86" i="15"/>
  <c r="AG78" i="15"/>
  <c r="AG70" i="15"/>
  <c r="AG62" i="15"/>
  <c r="AG54" i="15"/>
  <c r="AG21" i="15"/>
  <c r="AG23" i="15"/>
  <c r="AG25" i="15"/>
  <c r="AG27" i="15"/>
  <c r="AG18" i="15"/>
  <c r="AG120" i="15"/>
  <c r="AG112" i="15"/>
  <c r="AG104" i="15"/>
  <c r="AG96" i="15"/>
  <c r="AG88" i="15"/>
  <c r="AG80" i="15"/>
  <c r="AG72" i="15"/>
  <c r="AG64" i="15"/>
  <c r="AG56" i="15"/>
  <c r="AG29" i="15"/>
  <c r="AG37" i="15"/>
  <c r="AG74" i="15"/>
  <c r="AG82" i="15"/>
  <c r="AG90" i="15"/>
  <c r="AG98" i="15"/>
  <c r="AG58" i="15"/>
  <c r="AG106" i="15"/>
  <c r="AG39" i="15"/>
  <c r="AG66" i="15"/>
  <c r="AG114" i="15"/>
  <c r="AG38" i="10"/>
  <c r="AG64" i="10"/>
  <c r="AG96" i="10"/>
  <c r="AG31" i="10"/>
  <c r="AG67" i="10"/>
  <c r="AG99" i="10"/>
  <c r="Y11" i="8"/>
  <c r="X11" i="8"/>
  <c r="W11" i="8"/>
  <c r="T11" i="8"/>
  <c r="R11" i="8"/>
  <c r="Q11" i="8"/>
  <c r="Z11" i="8"/>
  <c r="T4" i="7"/>
  <c r="Y118" i="20"/>
  <c r="Y92" i="20"/>
  <c r="Y86" i="20"/>
  <c r="Y84" i="20"/>
  <c r="Y54" i="20"/>
  <c r="Y52" i="20"/>
  <c r="Y36" i="20"/>
  <c r="Y14" i="20"/>
  <c r="Y53" i="20"/>
  <c r="Y44" i="20"/>
  <c r="Y26" i="20"/>
  <c r="Y21" i="20"/>
  <c r="AG50" i="13"/>
  <c r="AG34" i="13"/>
  <c r="AG18" i="13"/>
  <c r="AG41" i="13"/>
  <c r="AG25" i="13"/>
  <c r="AG48" i="13"/>
  <c r="AG32" i="13"/>
  <c r="AG16" i="13"/>
  <c r="AG39" i="13"/>
  <c r="AG119" i="13"/>
  <c r="AG117" i="13"/>
  <c r="AG115" i="13"/>
  <c r="AG113" i="13"/>
  <c r="AG111" i="13"/>
  <c r="AG109" i="13"/>
  <c r="AG107" i="13"/>
  <c r="AG105" i="13"/>
  <c r="AG103" i="13"/>
  <c r="AG101" i="13"/>
  <c r="AG99" i="13"/>
  <c r="AG97" i="13"/>
  <c r="AG95" i="13"/>
  <c r="AG93" i="13"/>
  <c r="AG91" i="13"/>
  <c r="AG89" i="13"/>
  <c r="AG87" i="13"/>
  <c r="AG85" i="13"/>
  <c r="AG83" i="13"/>
  <c r="AG81" i="13"/>
  <c r="AG79" i="13"/>
  <c r="AG77" i="13"/>
  <c r="AG75" i="13"/>
  <c r="AG73" i="13"/>
  <c r="AG71" i="13"/>
  <c r="AG69" i="13"/>
  <c r="AG67" i="13"/>
  <c r="AG65" i="13"/>
  <c r="AG63" i="13"/>
  <c r="AG61" i="13"/>
  <c r="AG59" i="13"/>
  <c r="AG57" i="13"/>
  <c r="AG55" i="13"/>
  <c r="AG53" i="13"/>
  <c r="AG51" i="13"/>
  <c r="AG42" i="13"/>
  <c r="AG26" i="13"/>
  <c r="AG49" i="13"/>
  <c r="AG33" i="13"/>
  <c r="AG17" i="13"/>
  <c r="AG40" i="13"/>
  <c r="AG24" i="13"/>
  <c r="AG47" i="13"/>
  <c r="AG38" i="13"/>
  <c r="AG22" i="13"/>
  <c r="AG45" i="13"/>
  <c r="AG29" i="13"/>
  <c r="AG36" i="13"/>
  <c r="AG20" i="13"/>
  <c r="AG27" i="13"/>
  <c r="AG116" i="13"/>
  <c r="AG108" i="13"/>
  <c r="AG100" i="13"/>
  <c r="AG92" i="13"/>
  <c r="AG84" i="13"/>
  <c r="AG76" i="13"/>
  <c r="AG68" i="13"/>
  <c r="AG60" i="13"/>
  <c r="AG52" i="13"/>
  <c r="AG19" i="13"/>
  <c r="AG31" i="13"/>
  <c r="AG44" i="13"/>
  <c r="AG118" i="13"/>
  <c r="AG110" i="13"/>
  <c r="AG102" i="13"/>
  <c r="AG94" i="13"/>
  <c r="AG86" i="13"/>
  <c r="AG78" i="13"/>
  <c r="AG70" i="13"/>
  <c r="AG62" i="13"/>
  <c r="AG54" i="13"/>
  <c r="AG21" i="13"/>
  <c r="AG46" i="13"/>
  <c r="AG14" i="13"/>
  <c r="AG120" i="13"/>
  <c r="AG112" i="13"/>
  <c r="AG104" i="13"/>
  <c r="AG96" i="13"/>
  <c r="AG88" i="13"/>
  <c r="AG80" i="13"/>
  <c r="AG72" i="13"/>
  <c r="AG64" i="13"/>
  <c r="AG56" i="13"/>
  <c r="AG43" i="13"/>
  <c r="AG35" i="13"/>
  <c r="AG23" i="13"/>
  <c r="AG28" i="13"/>
  <c r="AG30" i="13"/>
  <c r="AG37" i="13"/>
  <c r="AG114" i="13"/>
  <c r="AG106" i="13"/>
  <c r="AG98" i="13"/>
  <c r="AG90" i="13"/>
  <c r="AG82" i="13"/>
  <c r="AG74" i="13"/>
  <c r="AG66" i="13"/>
  <c r="AG58" i="13"/>
  <c r="AG15" i="13"/>
  <c r="AG41" i="10"/>
  <c r="AG66" i="10"/>
  <c r="AG98" i="10"/>
  <c r="AG47" i="10"/>
  <c r="AG69" i="10"/>
  <c r="AG101" i="10"/>
  <c r="AG36" i="21"/>
  <c r="AG20" i="21"/>
  <c r="AG120" i="21"/>
  <c r="AG118" i="21"/>
  <c r="AG116" i="21"/>
  <c r="AG114" i="21"/>
  <c r="AG112" i="21"/>
  <c r="AG110" i="21"/>
  <c r="AG108" i="21"/>
  <c r="AG106" i="21"/>
  <c r="AG104" i="21"/>
  <c r="AG102" i="21"/>
  <c r="AG100" i="21"/>
  <c r="AG98" i="21"/>
  <c r="AG96" i="21"/>
  <c r="AG94" i="21"/>
  <c r="AG92" i="21"/>
  <c r="AG90" i="21"/>
  <c r="AG88" i="21"/>
  <c r="AG86" i="21"/>
  <c r="AG84" i="21"/>
  <c r="AG82" i="21"/>
  <c r="AG80" i="21"/>
  <c r="AG78" i="21"/>
  <c r="AG76" i="21"/>
  <c r="AG74" i="21"/>
  <c r="AG72" i="21"/>
  <c r="AG70" i="21"/>
  <c r="AG68" i="21"/>
  <c r="AG66" i="21"/>
  <c r="AG64" i="21"/>
  <c r="AG62" i="21"/>
  <c r="AG60" i="21"/>
  <c r="AG58" i="21"/>
  <c r="AG56" i="21"/>
  <c r="AG54" i="21"/>
  <c r="AG52" i="21"/>
  <c r="AG43" i="21"/>
  <c r="AG27" i="21"/>
  <c r="AG50" i="21"/>
  <c r="AG34" i="21"/>
  <c r="AG18" i="21"/>
  <c r="AG41" i="21"/>
  <c r="AG25" i="21"/>
  <c r="AG48" i="21"/>
  <c r="AG32" i="21"/>
  <c r="AG16" i="21"/>
  <c r="AG39" i="21"/>
  <c r="AG23" i="21"/>
  <c r="AG46" i="21"/>
  <c r="AG30" i="21"/>
  <c r="AG14" i="21"/>
  <c r="AG37" i="21"/>
  <c r="AG21" i="21"/>
  <c r="AG44" i="21"/>
  <c r="AG28" i="21"/>
  <c r="AG119" i="21"/>
  <c r="AG117" i="21"/>
  <c r="AG115" i="21"/>
  <c r="AG113" i="21"/>
  <c r="AG111" i="21"/>
  <c r="AG109" i="21"/>
  <c r="AG107" i="21"/>
  <c r="AG105" i="21"/>
  <c r="AG103" i="21"/>
  <c r="AG101" i="21"/>
  <c r="AG99" i="21"/>
  <c r="AG97" i="21"/>
  <c r="AG95" i="21"/>
  <c r="AG93" i="21"/>
  <c r="AG91" i="21"/>
  <c r="AG89" i="21"/>
  <c r="AG87" i="21"/>
  <c r="AG85" i="21"/>
  <c r="AG83" i="21"/>
  <c r="AG81" i="21"/>
  <c r="AG79" i="21"/>
  <c r="AG77" i="21"/>
  <c r="AG75" i="21"/>
  <c r="AG73" i="21"/>
  <c r="AG71" i="21"/>
  <c r="AG69" i="21"/>
  <c r="AG67" i="21"/>
  <c r="AG65" i="21"/>
  <c r="AG63" i="21"/>
  <c r="AG61" i="21"/>
  <c r="AG59" i="21"/>
  <c r="AG57" i="21"/>
  <c r="AG55" i="21"/>
  <c r="AG53" i="21"/>
  <c r="AG51" i="21"/>
  <c r="AG35" i="21"/>
  <c r="AG19" i="21"/>
  <c r="AG42" i="21"/>
  <c r="AG26" i="21"/>
  <c r="AG49" i="21"/>
  <c r="AG33" i="21"/>
  <c r="AG17" i="21"/>
  <c r="AG40" i="21"/>
  <c r="AG24" i="21"/>
  <c r="AG47" i="21"/>
  <c r="AG31" i="21"/>
  <c r="AG15" i="21"/>
  <c r="AG38" i="21"/>
  <c r="AG22" i="21"/>
  <c r="AG29" i="21"/>
  <c r="AG45" i="21"/>
  <c r="Y110" i="15"/>
  <c r="Y108" i="15"/>
  <c r="Y90" i="15"/>
  <c r="Y88" i="15"/>
  <c r="Y84" i="15"/>
  <c r="Y78" i="15"/>
  <c r="Y64" i="15"/>
  <c r="Y62" i="15"/>
  <c r="Y60" i="15"/>
  <c r="Y20" i="15"/>
  <c r="Y34" i="15"/>
  <c r="Y48" i="15"/>
  <c r="Y46" i="15"/>
  <c r="Y113" i="15"/>
  <c r="Y107" i="15"/>
  <c r="Y99" i="15"/>
  <c r="Y91" i="15"/>
  <c r="Y89" i="15"/>
  <c r="Y85" i="15"/>
  <c r="Y77" i="15"/>
  <c r="Y69" i="15"/>
  <c r="Y67" i="15"/>
  <c r="Y61" i="15"/>
  <c r="Y53" i="15"/>
  <c r="Y49" i="15"/>
  <c r="Y24" i="15"/>
  <c r="Y47" i="15"/>
  <c r="Y28" i="15"/>
  <c r="Y26" i="15"/>
  <c r="Y43" i="15"/>
  <c r="Y27" i="15"/>
  <c r="T4" i="6"/>
  <c r="AG46" i="10"/>
  <c r="AG68" i="10"/>
  <c r="AG100" i="10"/>
  <c r="AG24" i="10"/>
  <c r="AG71" i="10"/>
  <c r="AG103" i="10"/>
  <c r="R4" i="7"/>
  <c r="AG115" i="14"/>
  <c r="AG100" i="14"/>
  <c r="AG98" i="14"/>
  <c r="AG96" i="14"/>
  <c r="AG94" i="14"/>
  <c r="AG92" i="14"/>
  <c r="AG90" i="14"/>
  <c r="AG88" i="14"/>
  <c r="AG86" i="14"/>
  <c r="AG84" i="14"/>
  <c r="AG82" i="14"/>
  <c r="AG80" i="14"/>
  <c r="AG78" i="14"/>
  <c r="AG76" i="14"/>
  <c r="AG74" i="14"/>
  <c r="AG72" i="14"/>
  <c r="AG70" i="14"/>
  <c r="AG68" i="14"/>
  <c r="AG66" i="14"/>
  <c r="AG64" i="14"/>
  <c r="AG62" i="14"/>
  <c r="AG60" i="14"/>
  <c r="AG58" i="14"/>
  <c r="AG56" i="14"/>
  <c r="AG54" i="14"/>
  <c r="AG52" i="14"/>
  <c r="AG43" i="14"/>
  <c r="AG27" i="14"/>
  <c r="AG117" i="14"/>
  <c r="AG102" i="14"/>
  <c r="AG50" i="14"/>
  <c r="AG34" i="14"/>
  <c r="AG18" i="14"/>
  <c r="AG119" i="14"/>
  <c r="AG104" i="14"/>
  <c r="AG41" i="14"/>
  <c r="AG25" i="14"/>
  <c r="AG106" i="14"/>
  <c r="AG48" i="14"/>
  <c r="AG32" i="14"/>
  <c r="AG16" i="14"/>
  <c r="AG108" i="14"/>
  <c r="AG39" i="14"/>
  <c r="AG23" i="14"/>
  <c r="AG110" i="14"/>
  <c r="AG46" i="14"/>
  <c r="AG30" i="14"/>
  <c r="AG14" i="14"/>
  <c r="AG112" i="14"/>
  <c r="AG37" i="14"/>
  <c r="AG21" i="14"/>
  <c r="AG114" i="14"/>
  <c r="AG44" i="14"/>
  <c r="AG28" i="14"/>
  <c r="AG116" i="14"/>
  <c r="AG99" i="14"/>
  <c r="AG97" i="14"/>
  <c r="AG95" i="14"/>
  <c r="AG93" i="14"/>
  <c r="AG91" i="14"/>
  <c r="AG89" i="14"/>
  <c r="AG87" i="14"/>
  <c r="AG85" i="14"/>
  <c r="AG83" i="14"/>
  <c r="AG81" i="14"/>
  <c r="AG79" i="14"/>
  <c r="AG77" i="14"/>
  <c r="AG75" i="14"/>
  <c r="AG73" i="14"/>
  <c r="AG71" i="14"/>
  <c r="AG69" i="14"/>
  <c r="AG67" i="14"/>
  <c r="AG65" i="14"/>
  <c r="AG63" i="14"/>
  <c r="AG61" i="14"/>
  <c r="AG59" i="14"/>
  <c r="AG57" i="14"/>
  <c r="AG55" i="14"/>
  <c r="AG53" i="14"/>
  <c r="AG51" i="14"/>
  <c r="AG35" i="14"/>
  <c r="AG19" i="14"/>
  <c r="AG118" i="14"/>
  <c r="AG101" i="14"/>
  <c r="AG42" i="14"/>
  <c r="AG26" i="14"/>
  <c r="AG120" i="14"/>
  <c r="AG103" i="14"/>
  <c r="AG49" i="14"/>
  <c r="AG33" i="14"/>
  <c r="AG17" i="14"/>
  <c r="AG105" i="14"/>
  <c r="AG40" i="14"/>
  <c r="AG24" i="14"/>
  <c r="AG107" i="14"/>
  <c r="AG47" i="14"/>
  <c r="AG31" i="14"/>
  <c r="AG15" i="14"/>
  <c r="AG109" i="14"/>
  <c r="AG38" i="14"/>
  <c r="AG22" i="14"/>
  <c r="AG111" i="14"/>
  <c r="AG45" i="14"/>
  <c r="AG29" i="14"/>
  <c r="AG36" i="14"/>
  <c r="AG113" i="14"/>
  <c r="AG20" i="14"/>
  <c r="AG29" i="10"/>
  <c r="AG39" i="10"/>
  <c r="AG72" i="10"/>
  <c r="AG104" i="10"/>
  <c r="AG33" i="10"/>
  <c r="AG75" i="10"/>
  <c r="AG107" i="10"/>
  <c r="R4" i="6"/>
  <c r="AG42" i="10"/>
  <c r="AG18" i="10"/>
  <c r="AG74" i="10"/>
  <c r="AG106" i="10"/>
  <c r="AG49" i="10"/>
  <c r="AG77" i="10"/>
  <c r="AG109" i="10"/>
  <c r="AG119" i="16"/>
  <c r="AG117" i="16"/>
  <c r="AG115" i="16"/>
  <c r="AG118" i="16"/>
  <c r="AG41" i="16"/>
  <c r="AG25" i="16"/>
  <c r="AG120" i="16"/>
  <c r="AG48" i="16"/>
  <c r="AG32" i="16"/>
  <c r="AG16" i="16"/>
  <c r="AG39" i="16"/>
  <c r="AG23" i="16"/>
  <c r="AG46" i="16"/>
  <c r="AG30" i="16"/>
  <c r="AG14" i="16"/>
  <c r="AG37" i="16"/>
  <c r="AG21" i="16"/>
  <c r="AG44" i="16"/>
  <c r="AG28" i="16"/>
  <c r="AG113" i="16"/>
  <c r="AG111" i="16"/>
  <c r="AG109" i="16"/>
  <c r="AG107" i="16"/>
  <c r="AG105" i="16"/>
  <c r="AG103" i="16"/>
  <c r="AG101" i="16"/>
  <c r="AG99" i="16"/>
  <c r="AG97" i="16"/>
  <c r="AG95" i="16"/>
  <c r="AG93" i="16"/>
  <c r="AG91" i="16"/>
  <c r="AG89" i="16"/>
  <c r="AG87" i="16"/>
  <c r="AG85" i="16"/>
  <c r="AG83" i="16"/>
  <c r="AG81" i="16"/>
  <c r="AG79" i="16"/>
  <c r="AG77" i="16"/>
  <c r="AG75" i="16"/>
  <c r="AG73" i="16"/>
  <c r="AG71" i="16"/>
  <c r="AG69" i="16"/>
  <c r="AG67" i="16"/>
  <c r="AG65" i="16"/>
  <c r="AG63" i="16"/>
  <c r="AG61" i="16"/>
  <c r="AG59" i="16"/>
  <c r="AG57" i="16"/>
  <c r="AG55" i="16"/>
  <c r="AG53" i="16"/>
  <c r="AG51" i="16"/>
  <c r="AG35" i="16"/>
  <c r="AG19" i="16"/>
  <c r="AG42" i="16"/>
  <c r="AG26" i="16"/>
  <c r="AG49" i="16"/>
  <c r="AG33" i="16"/>
  <c r="AG17" i="16"/>
  <c r="AG40" i="16"/>
  <c r="AG24" i="16"/>
  <c r="AG38" i="16"/>
  <c r="AG22" i="16"/>
  <c r="AG45" i="16"/>
  <c r="AG29" i="16"/>
  <c r="AG114" i="16"/>
  <c r="AG112" i="16"/>
  <c r="AG110" i="16"/>
  <c r="AG108" i="16"/>
  <c r="AG106" i="16"/>
  <c r="AG104" i="16"/>
  <c r="AG102" i="16"/>
  <c r="AG100" i="16"/>
  <c r="AG98" i="16"/>
  <c r="AG96" i="16"/>
  <c r="AG94" i="16"/>
  <c r="AG92" i="16"/>
  <c r="AG90" i="16"/>
  <c r="AG88" i="16"/>
  <c r="AG86" i="16"/>
  <c r="AG84" i="16"/>
  <c r="AG82" i="16"/>
  <c r="AG80" i="16"/>
  <c r="AG78" i="16"/>
  <c r="AG76" i="16"/>
  <c r="AG74" i="16"/>
  <c r="AG72" i="16"/>
  <c r="AG70" i="16"/>
  <c r="AG68" i="16"/>
  <c r="AG66" i="16"/>
  <c r="AG64" i="16"/>
  <c r="AG62" i="16"/>
  <c r="AG60" i="16"/>
  <c r="AG58" i="16"/>
  <c r="AG56" i="16"/>
  <c r="AG54" i="16"/>
  <c r="AG52" i="16"/>
  <c r="AG43" i="16"/>
  <c r="AG27" i="16"/>
  <c r="AG116" i="16"/>
  <c r="AG50" i="16"/>
  <c r="AG34" i="16"/>
  <c r="AG47" i="16"/>
  <c r="AG31" i="16"/>
  <c r="AG36" i="16"/>
  <c r="AG18" i="16"/>
  <c r="AG20" i="16"/>
  <c r="AG15" i="16"/>
  <c r="R4" i="12"/>
  <c r="AG111" i="10"/>
  <c r="Z11" i="16"/>
  <c r="Y11" i="16"/>
  <c r="X11" i="16"/>
  <c r="W11" i="16"/>
  <c r="T11" i="16"/>
  <c r="R11" i="16"/>
  <c r="Q11" i="16"/>
  <c r="X11" i="12"/>
  <c r="Z11" i="12"/>
  <c r="Y11" i="12"/>
  <c r="W11" i="12"/>
  <c r="T11" i="12"/>
  <c r="R11" i="12"/>
  <c r="Q11" i="12"/>
  <c r="AG110" i="10"/>
  <c r="AG35" i="10"/>
  <c r="AG81" i="10"/>
  <c r="AG113" i="10"/>
  <c r="AG48" i="8"/>
  <c r="AG32" i="8"/>
  <c r="AG16" i="8"/>
  <c r="AG39" i="8"/>
  <c r="AG23" i="8"/>
  <c r="AG46" i="8"/>
  <c r="AG30" i="8"/>
  <c r="AG14" i="8"/>
  <c r="AG37" i="8"/>
  <c r="AG21" i="8"/>
  <c r="AG44" i="8"/>
  <c r="AG28" i="8"/>
  <c r="AG119" i="8"/>
  <c r="AG117" i="8"/>
  <c r="AG115" i="8"/>
  <c r="AG113" i="8"/>
  <c r="AG111" i="8"/>
  <c r="AG109" i="8"/>
  <c r="AG107" i="8"/>
  <c r="AG105" i="8"/>
  <c r="AG103" i="8"/>
  <c r="AG101" i="8"/>
  <c r="AG99" i="8"/>
  <c r="AG97" i="8"/>
  <c r="AG95" i="8"/>
  <c r="AG93" i="8"/>
  <c r="AG91" i="8"/>
  <c r="AG89" i="8"/>
  <c r="AG87" i="8"/>
  <c r="AG85" i="8"/>
  <c r="AG83" i="8"/>
  <c r="AG81" i="8"/>
  <c r="AG79" i="8"/>
  <c r="AG77" i="8"/>
  <c r="AG75" i="8"/>
  <c r="AG73" i="8"/>
  <c r="AG71" i="8"/>
  <c r="AG69" i="8"/>
  <c r="AG67" i="8"/>
  <c r="AG65" i="8"/>
  <c r="AG63" i="8"/>
  <c r="AG61" i="8"/>
  <c r="AG59" i="8"/>
  <c r="AG57" i="8"/>
  <c r="AG55" i="8"/>
  <c r="AG53" i="8"/>
  <c r="AG51" i="8"/>
  <c r="AG35" i="8"/>
  <c r="AG19" i="8"/>
  <c r="AG42" i="8"/>
  <c r="AG26" i="8"/>
  <c r="AG49" i="8"/>
  <c r="AG33" i="8"/>
  <c r="AG17" i="8"/>
  <c r="AG40" i="8"/>
  <c r="AG24" i="8"/>
  <c r="AG47" i="8"/>
  <c r="AG31" i="8"/>
  <c r="AG15" i="8"/>
  <c r="AG38" i="8"/>
  <c r="AG22" i="8"/>
  <c r="AG36" i="8"/>
  <c r="AG20" i="8"/>
  <c r="AG50" i="8"/>
  <c r="AG34" i="8"/>
  <c r="AG18" i="8"/>
  <c r="AG41" i="8"/>
  <c r="AG25" i="8"/>
  <c r="AG120" i="8"/>
  <c r="AG112" i="8"/>
  <c r="AG104" i="8"/>
  <c r="AG96" i="8"/>
  <c r="AG88" i="8"/>
  <c r="AG80" i="8"/>
  <c r="AG72" i="8"/>
  <c r="AG64" i="8"/>
  <c r="AG56" i="8"/>
  <c r="AG45" i="8"/>
  <c r="AG27" i="8"/>
  <c r="AG114" i="8"/>
  <c r="AG106" i="8"/>
  <c r="AG98" i="8"/>
  <c r="AG90" i="8"/>
  <c r="AG82" i="8"/>
  <c r="AG74" i="8"/>
  <c r="AG66" i="8"/>
  <c r="AG58" i="8"/>
  <c r="AG29" i="8"/>
  <c r="AG43" i="8"/>
  <c r="AG116" i="8"/>
  <c r="AG108" i="8"/>
  <c r="AG100" i="8"/>
  <c r="AG92" i="8"/>
  <c r="AG84" i="8"/>
  <c r="AG76" i="8"/>
  <c r="AG68" i="8"/>
  <c r="AG60" i="8"/>
  <c r="AG52" i="8"/>
  <c r="AG118" i="8"/>
  <c r="AG110" i="8"/>
  <c r="AG102" i="8"/>
  <c r="AG94" i="8"/>
  <c r="AG86" i="8"/>
  <c r="AG78" i="8"/>
  <c r="AG70" i="8"/>
  <c r="AG62" i="8"/>
  <c r="AG54" i="8"/>
  <c r="AG50" i="19"/>
  <c r="AG37" i="19"/>
  <c r="AG119" i="19"/>
  <c r="AG117" i="19"/>
  <c r="AG115" i="19"/>
  <c r="AG113" i="19"/>
  <c r="AG111" i="19"/>
  <c r="AG109" i="19"/>
  <c r="AG107" i="19"/>
  <c r="AG105" i="19"/>
  <c r="AG103" i="19"/>
  <c r="AG101" i="19"/>
  <c r="AG99" i="19"/>
  <c r="AG97" i="19"/>
  <c r="AG95" i="19"/>
  <c r="AG93" i="19"/>
  <c r="AG91" i="19"/>
  <c r="AG89" i="19"/>
  <c r="AG87" i="19"/>
  <c r="AG85" i="19"/>
  <c r="AG83" i="19"/>
  <c r="AG81" i="19"/>
  <c r="AG79" i="19"/>
  <c r="AG77" i="19"/>
  <c r="AG75" i="19"/>
  <c r="AG73" i="19"/>
  <c r="AG71" i="19"/>
  <c r="AG69" i="19"/>
  <c r="AG67" i="19"/>
  <c r="AG65" i="19"/>
  <c r="AG63" i="19"/>
  <c r="AG61" i="19"/>
  <c r="AG59" i="19"/>
  <c r="AG57" i="19"/>
  <c r="AG55" i="19"/>
  <c r="AG53" i="19"/>
  <c r="AG51" i="19"/>
  <c r="AG42" i="19"/>
  <c r="AG47" i="19"/>
  <c r="AG116" i="19"/>
  <c r="AG100" i="19"/>
  <c r="AG84" i="19"/>
  <c r="AG68" i="19"/>
  <c r="AG33" i="19"/>
  <c r="AG17" i="19"/>
  <c r="AG24" i="19"/>
  <c r="AG118" i="19"/>
  <c r="AG102" i="19"/>
  <c r="AG86" i="19"/>
  <c r="AG70" i="19"/>
  <c r="AG31" i="19"/>
  <c r="AG15" i="19"/>
  <c r="AG22" i="19"/>
  <c r="AG120" i="19"/>
  <c r="AG104" i="19"/>
  <c r="AG88" i="19"/>
  <c r="AG72" i="19"/>
  <c r="AG40" i="19"/>
  <c r="AG29" i="19"/>
  <c r="AG48" i="19"/>
  <c r="AG46" i="19"/>
  <c r="AG44" i="19"/>
  <c r="AG38" i="19"/>
  <c r="AG20" i="19"/>
  <c r="AG106" i="19"/>
  <c r="AG90" i="19"/>
  <c r="AG74" i="19"/>
  <c r="AG36" i="19"/>
  <c r="AG27" i="19"/>
  <c r="AG34" i="19"/>
  <c r="AG18" i="19"/>
  <c r="AG108" i="19"/>
  <c r="AG92" i="19"/>
  <c r="AG76" i="19"/>
  <c r="AG52" i="19"/>
  <c r="AG25" i="19"/>
  <c r="AG54" i="19"/>
  <c r="AG32" i="19"/>
  <c r="AG16" i="19"/>
  <c r="AG110" i="19"/>
  <c r="AG58" i="19"/>
  <c r="AG30" i="19"/>
  <c r="AG14" i="19"/>
  <c r="AG112" i="19"/>
  <c r="AG96" i="19"/>
  <c r="AG80" i="19"/>
  <c r="AG60" i="19"/>
  <c r="AG45" i="19"/>
  <c r="AG62" i="19"/>
  <c r="AG43" i="19"/>
  <c r="AG41" i="19"/>
  <c r="AG39" i="19"/>
  <c r="AG28" i="19"/>
  <c r="AG114" i="19"/>
  <c r="AG98" i="19"/>
  <c r="AG82" i="19"/>
  <c r="AG64" i="19"/>
  <c r="AG49" i="19"/>
  <c r="AG35" i="19"/>
  <c r="AG19" i="19"/>
  <c r="AG66" i="19"/>
  <c r="AG26" i="19"/>
  <c r="AG23" i="19"/>
  <c r="AG56" i="19"/>
  <c r="AG78" i="19"/>
  <c r="AG94" i="19"/>
  <c r="AG21" i="19"/>
  <c r="W11" i="17"/>
  <c r="T11" i="17"/>
  <c r="Z11" i="17"/>
  <c r="Y11" i="17"/>
  <c r="X11" i="17"/>
  <c r="R11" i="17"/>
  <c r="Q11" i="17"/>
  <c r="AG45" i="10"/>
  <c r="AG27" i="10"/>
  <c r="AG80" i="10"/>
  <c r="AG112" i="10"/>
  <c r="AG51" i="10"/>
  <c r="AG83" i="10"/>
  <c r="AG115" i="10"/>
  <c r="Y110" i="13"/>
  <c r="Y14" i="13"/>
  <c r="Y63" i="13"/>
  <c r="Z11" i="21"/>
  <c r="Y11" i="21"/>
  <c r="X11" i="21"/>
  <c r="W11" i="21"/>
  <c r="T11" i="21"/>
  <c r="R11" i="21"/>
  <c r="Q11" i="21"/>
  <c r="AG46" i="11"/>
  <c r="AG30" i="11"/>
  <c r="AG14" i="11"/>
  <c r="AG37" i="11"/>
  <c r="AG21" i="11"/>
  <c r="AG44" i="11"/>
  <c r="AG28" i="11"/>
  <c r="AG119" i="11"/>
  <c r="AG117" i="11"/>
  <c r="AG115" i="11"/>
  <c r="AG113" i="11"/>
  <c r="AG111" i="11"/>
  <c r="AG109" i="11"/>
  <c r="AG107" i="11"/>
  <c r="AG105" i="11"/>
  <c r="AG103" i="11"/>
  <c r="AG101" i="11"/>
  <c r="AG99" i="11"/>
  <c r="AG97" i="11"/>
  <c r="AG95" i="11"/>
  <c r="AG93" i="11"/>
  <c r="AG91" i="11"/>
  <c r="AG89" i="11"/>
  <c r="AG87" i="11"/>
  <c r="AG85" i="11"/>
  <c r="AG83" i="11"/>
  <c r="AG81" i="11"/>
  <c r="AG79" i="11"/>
  <c r="AG77" i="11"/>
  <c r="AG75" i="11"/>
  <c r="AG73" i="11"/>
  <c r="AG71" i="11"/>
  <c r="AG69" i="11"/>
  <c r="AG67" i="11"/>
  <c r="AG65" i="11"/>
  <c r="AG63" i="11"/>
  <c r="AG61" i="11"/>
  <c r="AG59" i="11"/>
  <c r="AG57" i="11"/>
  <c r="AG55" i="11"/>
  <c r="AG53" i="11"/>
  <c r="AG51" i="11"/>
  <c r="AG35" i="11"/>
  <c r="AG19" i="11"/>
  <c r="AG42" i="11"/>
  <c r="AG26" i="11"/>
  <c r="AG49" i="11"/>
  <c r="AG33" i="11"/>
  <c r="AG17" i="11"/>
  <c r="AG40" i="11"/>
  <c r="AG24" i="11"/>
  <c r="AG47" i="11"/>
  <c r="AG31" i="11"/>
  <c r="AG38" i="11"/>
  <c r="AG22" i="11"/>
  <c r="AG45" i="11"/>
  <c r="AG29" i="11"/>
  <c r="AG36" i="11"/>
  <c r="AG20" i="11"/>
  <c r="AG118" i="11"/>
  <c r="AG116" i="11"/>
  <c r="AG114" i="11"/>
  <c r="AG112" i="11"/>
  <c r="AG110" i="11"/>
  <c r="AG108" i="11"/>
  <c r="AG106" i="11"/>
  <c r="AG104" i="11"/>
  <c r="AG102" i="11"/>
  <c r="AG100" i="11"/>
  <c r="AG98" i="11"/>
  <c r="AG96" i="11"/>
  <c r="AG94" i="11"/>
  <c r="AG92" i="11"/>
  <c r="AG90" i="11"/>
  <c r="AG88" i="11"/>
  <c r="AG86" i="11"/>
  <c r="AG84" i="11"/>
  <c r="AG82" i="11"/>
  <c r="AG80" i="11"/>
  <c r="AG78" i="11"/>
  <c r="AG76" i="11"/>
  <c r="AG74" i="11"/>
  <c r="AG72" i="11"/>
  <c r="AG70" i="11"/>
  <c r="AG68" i="11"/>
  <c r="AG66" i="11"/>
  <c r="AG64" i="11"/>
  <c r="AG62" i="11"/>
  <c r="AG60" i="11"/>
  <c r="AG58" i="11"/>
  <c r="AG56" i="11"/>
  <c r="AG54" i="11"/>
  <c r="AG52" i="11"/>
  <c r="AG43" i="11"/>
  <c r="AG27" i="11"/>
  <c r="AG120" i="11"/>
  <c r="AG50" i="11"/>
  <c r="AG34" i="11"/>
  <c r="AG18" i="11"/>
  <c r="AG41" i="11"/>
  <c r="AG48" i="11"/>
  <c r="AG32" i="11"/>
  <c r="AG16" i="11"/>
  <c r="AG23" i="11"/>
  <c r="AG25" i="11"/>
  <c r="AG39" i="11"/>
  <c r="AG15" i="11"/>
  <c r="T4" i="12"/>
  <c r="AG25" i="10"/>
  <c r="AG43" i="10"/>
  <c r="AG82" i="10"/>
  <c r="AG114" i="10"/>
  <c r="AG53" i="10"/>
  <c r="AG85" i="10"/>
  <c r="AG117" i="10"/>
  <c r="T11" i="6"/>
  <c r="R11" i="6"/>
  <c r="X11" i="6"/>
  <c r="Q11" i="6"/>
  <c r="Z11" i="6"/>
  <c r="Y11" i="6"/>
  <c r="W11" i="6"/>
  <c r="Y11" i="18"/>
  <c r="X11" i="18"/>
  <c r="Q11" i="18"/>
  <c r="Z11" i="18"/>
  <c r="W11" i="18"/>
  <c r="T11" i="18"/>
  <c r="R11" i="18"/>
  <c r="Z11" i="14"/>
  <c r="Y11" i="14"/>
  <c r="X11" i="14"/>
  <c r="W11" i="14"/>
  <c r="T11" i="14"/>
  <c r="R11" i="14"/>
  <c r="Q11" i="14"/>
  <c r="W11" i="11"/>
  <c r="T11" i="11"/>
  <c r="R11" i="11"/>
  <c r="Q11" i="11"/>
  <c r="Y11" i="11"/>
  <c r="Z11" i="11"/>
  <c r="X11" i="11"/>
  <c r="AG87" i="10"/>
  <c r="AG119" i="10"/>
  <c r="AG120" i="9"/>
  <c r="AG118" i="9"/>
  <c r="AG41" i="9"/>
  <c r="AG25" i="9"/>
  <c r="AG48" i="9"/>
  <c r="AG32" i="9"/>
  <c r="AG16" i="9"/>
  <c r="AG39" i="9"/>
  <c r="AG23" i="9"/>
  <c r="AG46" i="9"/>
  <c r="AG30" i="9"/>
  <c r="AG14" i="9"/>
  <c r="AG37" i="9"/>
  <c r="AG21" i="9"/>
  <c r="AG44" i="9"/>
  <c r="AG28" i="9"/>
  <c r="AG117" i="9"/>
  <c r="AG115" i="9"/>
  <c r="AG113" i="9"/>
  <c r="AG111" i="9"/>
  <c r="AG109" i="9"/>
  <c r="AG107" i="9"/>
  <c r="AG105" i="9"/>
  <c r="AG103" i="9"/>
  <c r="AG101" i="9"/>
  <c r="AG99" i="9"/>
  <c r="AG97" i="9"/>
  <c r="AG95" i="9"/>
  <c r="AG93" i="9"/>
  <c r="AG91" i="9"/>
  <c r="AG89" i="9"/>
  <c r="AG87" i="9"/>
  <c r="AG85" i="9"/>
  <c r="AG83" i="9"/>
  <c r="AG81" i="9"/>
  <c r="AG79" i="9"/>
  <c r="AG77" i="9"/>
  <c r="AG75" i="9"/>
  <c r="AG73" i="9"/>
  <c r="AG71" i="9"/>
  <c r="AG69" i="9"/>
  <c r="AG67" i="9"/>
  <c r="AG65" i="9"/>
  <c r="AG63" i="9"/>
  <c r="AG61" i="9"/>
  <c r="AG59" i="9"/>
  <c r="AG57" i="9"/>
  <c r="AG55" i="9"/>
  <c r="AG53" i="9"/>
  <c r="AG51" i="9"/>
  <c r="AG35" i="9"/>
  <c r="AG19" i="9"/>
  <c r="AG42" i="9"/>
  <c r="AG26" i="9"/>
  <c r="AG119" i="9"/>
  <c r="AG49" i="9"/>
  <c r="AG33" i="9"/>
  <c r="AG17" i="9"/>
  <c r="AG40" i="9"/>
  <c r="AG24" i="9"/>
  <c r="AG47" i="9"/>
  <c r="AG31" i="9"/>
  <c r="AG15" i="9"/>
  <c r="AG38" i="9"/>
  <c r="AG22" i="9"/>
  <c r="AG45" i="9"/>
  <c r="AG29" i="9"/>
  <c r="AG116" i="9"/>
  <c r="AG114" i="9"/>
  <c r="AG112" i="9"/>
  <c r="AG110" i="9"/>
  <c r="AG108" i="9"/>
  <c r="AG106" i="9"/>
  <c r="AG104" i="9"/>
  <c r="AG102" i="9"/>
  <c r="AG100" i="9"/>
  <c r="AG98" i="9"/>
  <c r="AG96" i="9"/>
  <c r="AG94" i="9"/>
  <c r="AG92" i="9"/>
  <c r="AG90" i="9"/>
  <c r="AG88" i="9"/>
  <c r="AG86" i="9"/>
  <c r="AG84" i="9"/>
  <c r="AG82" i="9"/>
  <c r="AG80" i="9"/>
  <c r="AG78" i="9"/>
  <c r="AG76" i="9"/>
  <c r="AG74" i="9"/>
  <c r="AG72" i="9"/>
  <c r="AG70" i="9"/>
  <c r="AG68" i="9"/>
  <c r="AG66" i="9"/>
  <c r="AG64" i="9"/>
  <c r="AG62" i="9"/>
  <c r="AG60" i="9"/>
  <c r="AG58" i="9"/>
  <c r="AG56" i="9"/>
  <c r="AG54" i="9"/>
  <c r="AG52" i="9"/>
  <c r="AG43" i="9"/>
  <c r="AG27" i="9"/>
  <c r="AG50" i="9"/>
  <c r="AG34" i="9"/>
  <c r="AG18" i="9"/>
  <c r="AG20" i="9"/>
  <c r="AG36" i="9"/>
  <c r="Y84" i="7"/>
  <c r="Y22" i="7"/>
  <c r="P17" i="17"/>
  <c r="P18" i="17" s="1"/>
  <c r="P19" i="17" s="1"/>
  <c r="P20" i="17" s="1"/>
  <c r="P21" i="17" s="1"/>
  <c r="P22" i="17" s="1"/>
  <c r="P23" i="17" s="1"/>
  <c r="P24" i="17" s="1"/>
  <c r="P25" i="17" s="1"/>
  <c r="P26" i="17" s="1"/>
  <c r="P27" i="17" s="1"/>
  <c r="P28" i="17" s="1"/>
  <c r="P29" i="17" s="1"/>
  <c r="P30" i="17" s="1"/>
  <c r="P31" i="17" s="1"/>
  <c r="P32" i="17" s="1"/>
  <c r="P33" i="17" s="1"/>
  <c r="P34" i="17" s="1"/>
  <c r="P35" i="17" s="1"/>
  <c r="P36" i="17" s="1"/>
  <c r="P37" i="17" s="1"/>
  <c r="P38" i="17" s="1"/>
  <c r="P39" i="17" s="1"/>
  <c r="P40" i="17" s="1"/>
  <c r="P41" i="17" s="1"/>
  <c r="P42" i="17" s="1"/>
  <c r="P43" i="17" s="1"/>
  <c r="P44" i="17" s="1"/>
  <c r="P45" i="17" s="1"/>
  <c r="P46" i="17" s="1"/>
  <c r="P47" i="17" s="1"/>
  <c r="P48" i="17" s="1"/>
  <c r="P49" i="17" s="1"/>
  <c r="P50" i="17" s="1"/>
  <c r="P51" i="17" s="1"/>
  <c r="P52" i="17" s="1"/>
  <c r="P53" i="17" s="1"/>
  <c r="P54" i="17" s="1"/>
  <c r="T4" i="17"/>
  <c r="R11" i="10"/>
  <c r="X11" i="10"/>
  <c r="Z11" i="10"/>
  <c r="Y11" i="10"/>
  <c r="W11" i="10"/>
  <c r="T11" i="10"/>
  <c r="Q11" i="10"/>
  <c r="AG41" i="12"/>
  <c r="AG25" i="12"/>
  <c r="AG48" i="12"/>
  <c r="AG39" i="12"/>
  <c r="AG23" i="12"/>
  <c r="AG49" i="12"/>
  <c r="AG40" i="12"/>
  <c r="AG24" i="12"/>
  <c r="AG45" i="12"/>
  <c r="AG29" i="12"/>
  <c r="AG120" i="12"/>
  <c r="AG118" i="12"/>
  <c r="AG116" i="12"/>
  <c r="AG114" i="12"/>
  <c r="AG112" i="12"/>
  <c r="AG110" i="12"/>
  <c r="AG108" i="12"/>
  <c r="AG106" i="12"/>
  <c r="AG104" i="12"/>
  <c r="AG102" i="12"/>
  <c r="AG100" i="12"/>
  <c r="AG98" i="12"/>
  <c r="AG96" i="12"/>
  <c r="AG94" i="12"/>
  <c r="AG92" i="12"/>
  <c r="AG90" i="12"/>
  <c r="AG88" i="12"/>
  <c r="AG86" i="12"/>
  <c r="AG84" i="12"/>
  <c r="AG82" i="12"/>
  <c r="AG80" i="12"/>
  <c r="AG78" i="12"/>
  <c r="AG76" i="12"/>
  <c r="AG74" i="12"/>
  <c r="AG72" i="12"/>
  <c r="AG70" i="12"/>
  <c r="AG68" i="12"/>
  <c r="AG66" i="12"/>
  <c r="AG64" i="12"/>
  <c r="AG62" i="12"/>
  <c r="AG60" i="12"/>
  <c r="AG58" i="12"/>
  <c r="AG56" i="12"/>
  <c r="AG54" i="12"/>
  <c r="AG52" i="12"/>
  <c r="AG43" i="12"/>
  <c r="AG27" i="12"/>
  <c r="AG89" i="12"/>
  <c r="AG57" i="12"/>
  <c r="AG34" i="12"/>
  <c r="AG32" i="12"/>
  <c r="AG17" i="12"/>
  <c r="AG15" i="12"/>
  <c r="AG111" i="12"/>
  <c r="AG79" i="12"/>
  <c r="AG101" i="12"/>
  <c r="AG69" i="12"/>
  <c r="AG42" i="12"/>
  <c r="AG91" i="12"/>
  <c r="AG59" i="12"/>
  <c r="AG47" i="12"/>
  <c r="AG113" i="12"/>
  <c r="AG81" i="12"/>
  <c r="AG103" i="12"/>
  <c r="AG71" i="12"/>
  <c r="AG44" i="12"/>
  <c r="AG22" i="12"/>
  <c r="AG93" i="12"/>
  <c r="AG61" i="12"/>
  <c r="AG37" i="12"/>
  <c r="AG20" i="12"/>
  <c r="AG14" i="12"/>
  <c r="AG115" i="12"/>
  <c r="AG83" i="12"/>
  <c r="AG51" i="12"/>
  <c r="AG18" i="12"/>
  <c r="AG16" i="12"/>
  <c r="AG105" i="12"/>
  <c r="AG73" i="12"/>
  <c r="AG46" i="12"/>
  <c r="AG35" i="12"/>
  <c r="AG95" i="12"/>
  <c r="AG63" i="12"/>
  <c r="AG33" i="12"/>
  <c r="AG31" i="12"/>
  <c r="AG26" i="12"/>
  <c r="AG117" i="12"/>
  <c r="AG85" i="12"/>
  <c r="AG53" i="12"/>
  <c r="AG107" i="12"/>
  <c r="AG75" i="12"/>
  <c r="AG97" i="12"/>
  <c r="AG65" i="12"/>
  <c r="AG28" i="12"/>
  <c r="AG119" i="12"/>
  <c r="AG87" i="12"/>
  <c r="AG55" i="12"/>
  <c r="AG50" i="12"/>
  <c r="AG21" i="12"/>
  <c r="AG109" i="12"/>
  <c r="AG77" i="12"/>
  <c r="AG38" i="12"/>
  <c r="AG19" i="12"/>
  <c r="AG36" i="12"/>
  <c r="AG30" i="12"/>
  <c r="AG99" i="12"/>
  <c r="AG67" i="12"/>
  <c r="AG30" i="10"/>
  <c r="AG54" i="10"/>
  <c r="AG86" i="10"/>
  <c r="AG118" i="10"/>
  <c r="AG57" i="10"/>
  <c r="AG89" i="10"/>
  <c r="AG44" i="10"/>
  <c r="AG39" i="7"/>
  <c r="AG44" i="7"/>
  <c r="AG119" i="7"/>
  <c r="AG117" i="7"/>
  <c r="AG115" i="7"/>
  <c r="AG113" i="7"/>
  <c r="AG111" i="7"/>
  <c r="AG109" i="7"/>
  <c r="AG107" i="7"/>
  <c r="AG105" i="7"/>
  <c r="AG103" i="7"/>
  <c r="AG101" i="7"/>
  <c r="AG99" i="7"/>
  <c r="AG97" i="7"/>
  <c r="AG95" i="7"/>
  <c r="AG93" i="7"/>
  <c r="AG91" i="7"/>
  <c r="AG89" i="7"/>
  <c r="AG87" i="7"/>
  <c r="AG85" i="7"/>
  <c r="AG83" i="7"/>
  <c r="AG81" i="7"/>
  <c r="AG79" i="7"/>
  <c r="AG77" i="7"/>
  <c r="AG75" i="7"/>
  <c r="AG73" i="7"/>
  <c r="AG71" i="7"/>
  <c r="AG69" i="7"/>
  <c r="AG67" i="7"/>
  <c r="AG65" i="7"/>
  <c r="AG63" i="7"/>
  <c r="AG61" i="7"/>
  <c r="AG59" i="7"/>
  <c r="AG57" i="7"/>
  <c r="AG55" i="7"/>
  <c r="AG53" i="7"/>
  <c r="AG51" i="7"/>
  <c r="AG35" i="7"/>
  <c r="AG19" i="7"/>
  <c r="AG42" i="7"/>
  <c r="AG26" i="7"/>
  <c r="AG40" i="7"/>
  <c r="AG24" i="7"/>
  <c r="AG47" i="7"/>
  <c r="AG31" i="7"/>
  <c r="AG45" i="7"/>
  <c r="AG29" i="7"/>
  <c r="AG120" i="7"/>
  <c r="AG118" i="7"/>
  <c r="AG116" i="7"/>
  <c r="AG114" i="7"/>
  <c r="AG112" i="7"/>
  <c r="AG110" i="7"/>
  <c r="AG108" i="7"/>
  <c r="AG106" i="7"/>
  <c r="AG104" i="7"/>
  <c r="AG102" i="7"/>
  <c r="AG100" i="7"/>
  <c r="AG98" i="7"/>
  <c r="AG96" i="7"/>
  <c r="AG94" i="7"/>
  <c r="AG92" i="7"/>
  <c r="AG90" i="7"/>
  <c r="AG88" i="7"/>
  <c r="AG86" i="7"/>
  <c r="AG84" i="7"/>
  <c r="AG82" i="7"/>
  <c r="AG80" i="7"/>
  <c r="AG78" i="7"/>
  <c r="AG76" i="7"/>
  <c r="AG74" i="7"/>
  <c r="AG72" i="7"/>
  <c r="AG70" i="7"/>
  <c r="AG68" i="7"/>
  <c r="AG66" i="7"/>
  <c r="AG64" i="7"/>
  <c r="AG62" i="7"/>
  <c r="AG60" i="7"/>
  <c r="AG58" i="7"/>
  <c r="AG56" i="7"/>
  <c r="AG54" i="7"/>
  <c r="AG52" i="7"/>
  <c r="AG43" i="7"/>
  <c r="AG27" i="7"/>
  <c r="AG48" i="7"/>
  <c r="AG14" i="7"/>
  <c r="AG33" i="7"/>
  <c r="AG37" i="7"/>
  <c r="AG28" i="7"/>
  <c r="AG50" i="7"/>
  <c r="AG22" i="7"/>
  <c r="AG18" i="7"/>
  <c r="AG30" i="7"/>
  <c r="AG32" i="7"/>
  <c r="AG23" i="7"/>
  <c r="AG21" i="7"/>
  <c r="AG17" i="7"/>
  <c r="AG41" i="7"/>
  <c r="AG25" i="7"/>
  <c r="AG15" i="7"/>
  <c r="AG49" i="7"/>
  <c r="AG34" i="7"/>
  <c r="AG46" i="7"/>
  <c r="AG36" i="7"/>
  <c r="AG38" i="7"/>
  <c r="AG16" i="7"/>
  <c r="AG20" i="7"/>
  <c r="AG40" i="18"/>
  <c r="AG24" i="18"/>
  <c r="AG47" i="18"/>
  <c r="AG31" i="18"/>
  <c r="AG15" i="18"/>
  <c r="AG36" i="18"/>
  <c r="AG20" i="18"/>
  <c r="AG120" i="18"/>
  <c r="AG118" i="18"/>
  <c r="AG116" i="18"/>
  <c r="AG114" i="18"/>
  <c r="AG112" i="18"/>
  <c r="AG110" i="18"/>
  <c r="AG108" i="18"/>
  <c r="AG106" i="18"/>
  <c r="AG104" i="18"/>
  <c r="AG102" i="18"/>
  <c r="AG100" i="18"/>
  <c r="AG98" i="18"/>
  <c r="AG96" i="18"/>
  <c r="AG94" i="18"/>
  <c r="AG92" i="18"/>
  <c r="AG90" i="18"/>
  <c r="AG88" i="18"/>
  <c r="AG86" i="18"/>
  <c r="AG84" i="18"/>
  <c r="AG82" i="18"/>
  <c r="AG80" i="18"/>
  <c r="AG78" i="18"/>
  <c r="AG76" i="18"/>
  <c r="AG74" i="18"/>
  <c r="AG72" i="18"/>
  <c r="AG70" i="18"/>
  <c r="AG68" i="18"/>
  <c r="AG66" i="18"/>
  <c r="AG64" i="18"/>
  <c r="AG62" i="18"/>
  <c r="AG60" i="18"/>
  <c r="AG58" i="18"/>
  <c r="AG56" i="18"/>
  <c r="AG54" i="18"/>
  <c r="AG52" i="18"/>
  <c r="AG43" i="18"/>
  <c r="AG27" i="18"/>
  <c r="AG50" i="18"/>
  <c r="AG48" i="18"/>
  <c r="AG32" i="18"/>
  <c r="AG16" i="18"/>
  <c r="AG39" i="18"/>
  <c r="AG23" i="18"/>
  <c r="AG37" i="18"/>
  <c r="AG21" i="18"/>
  <c r="AG119" i="18"/>
  <c r="AG117" i="18"/>
  <c r="AG115" i="18"/>
  <c r="AG113" i="18"/>
  <c r="AG111" i="18"/>
  <c r="AG109" i="18"/>
  <c r="AG107" i="18"/>
  <c r="AG105" i="18"/>
  <c r="AG103" i="18"/>
  <c r="AG101" i="18"/>
  <c r="AG99" i="18"/>
  <c r="AG97" i="18"/>
  <c r="AG95" i="18"/>
  <c r="AG93" i="18"/>
  <c r="AG91" i="18"/>
  <c r="AG89" i="18"/>
  <c r="AG87" i="18"/>
  <c r="AG85" i="18"/>
  <c r="AG83" i="18"/>
  <c r="AG81" i="18"/>
  <c r="AG79" i="18"/>
  <c r="AG77" i="18"/>
  <c r="AG75" i="18"/>
  <c r="AG73" i="18"/>
  <c r="AG71" i="18"/>
  <c r="AG69" i="18"/>
  <c r="AG67" i="18"/>
  <c r="AG65" i="18"/>
  <c r="AG63" i="18"/>
  <c r="AG61" i="18"/>
  <c r="AG59" i="18"/>
  <c r="AG57" i="18"/>
  <c r="AG55" i="18"/>
  <c r="AG53" i="18"/>
  <c r="AG51" i="18"/>
  <c r="AG35" i="18"/>
  <c r="AG42" i="18"/>
  <c r="AG26" i="18"/>
  <c r="AG49" i="18"/>
  <c r="AG33" i="18"/>
  <c r="AG17" i="18"/>
  <c r="AG18" i="18"/>
  <c r="AG44" i="18"/>
  <c r="AG28" i="18"/>
  <c r="AG41" i="18"/>
  <c r="AG38" i="18"/>
  <c r="AG25" i="18"/>
  <c r="AG46" i="18"/>
  <c r="AG30" i="18"/>
  <c r="AG22" i="18"/>
  <c r="AG19" i="18"/>
  <c r="AG45" i="18"/>
  <c r="AG34" i="18"/>
  <c r="AG29" i="18"/>
  <c r="AG14" i="18"/>
  <c r="AG56" i="10"/>
  <c r="AG88" i="10"/>
  <c r="AG120" i="10"/>
  <c r="AG59" i="10"/>
  <c r="AG91" i="10"/>
  <c r="AG21" i="10"/>
  <c r="AG47" i="20"/>
  <c r="AG67" i="20"/>
  <c r="AG99" i="20"/>
  <c r="AG23" i="20"/>
  <c r="AG64" i="20"/>
  <c r="Y41" i="19"/>
  <c r="Y59" i="19"/>
  <c r="Y94" i="19"/>
  <c r="Y87" i="19"/>
  <c r="Y73" i="19"/>
  <c r="AG48" i="10"/>
  <c r="AG58" i="10"/>
  <c r="AG90" i="10"/>
  <c r="AG20" i="10"/>
  <c r="AG61" i="10"/>
  <c r="AG93" i="10"/>
  <c r="AG44" i="5"/>
  <c r="AG28" i="5"/>
  <c r="AG17" i="5"/>
  <c r="AG119" i="5"/>
  <c r="AG117" i="5"/>
  <c r="AG115" i="5"/>
  <c r="AG113" i="5"/>
  <c r="AG111" i="5"/>
  <c r="AG109" i="5"/>
  <c r="AG107" i="5"/>
  <c r="AG105" i="5"/>
  <c r="AG103" i="5"/>
  <c r="AG101" i="5"/>
  <c r="AG99" i="5"/>
  <c r="AG97" i="5"/>
  <c r="AG95" i="5"/>
  <c r="AG93" i="5"/>
  <c r="AG91" i="5"/>
  <c r="AG89" i="5"/>
  <c r="AG87" i="5"/>
  <c r="AG85" i="5"/>
  <c r="AG83" i="5"/>
  <c r="AG81" i="5"/>
  <c r="AG79" i="5"/>
  <c r="AG77" i="5"/>
  <c r="AG75" i="5"/>
  <c r="AG73" i="5"/>
  <c r="AG71" i="5"/>
  <c r="AG69" i="5"/>
  <c r="AG67" i="5"/>
  <c r="AG65" i="5"/>
  <c r="AG63" i="5"/>
  <c r="AG61" i="5"/>
  <c r="AG59" i="5"/>
  <c r="AG57" i="5"/>
  <c r="AG55" i="5"/>
  <c r="AG53" i="5"/>
  <c r="AG51" i="5"/>
  <c r="AG35" i="5"/>
  <c r="AG19" i="5"/>
  <c r="AG26" i="5"/>
  <c r="AG33" i="5"/>
  <c r="AG42" i="5"/>
  <c r="AG29" i="5"/>
  <c r="AG49" i="5"/>
  <c r="AG22" i="5"/>
  <c r="AG40" i="5"/>
  <c r="AG24" i="5"/>
  <c r="AG31" i="5"/>
  <c r="AG47" i="5"/>
  <c r="AG15" i="5"/>
  <c r="AG45" i="5"/>
  <c r="AG46" i="5"/>
  <c r="AG14" i="5"/>
  <c r="AG38" i="5"/>
  <c r="AG36" i="5"/>
  <c r="AG20" i="5"/>
  <c r="AG120" i="5"/>
  <c r="AG118" i="5"/>
  <c r="AG116" i="5"/>
  <c r="AG114" i="5"/>
  <c r="AG112" i="5"/>
  <c r="AG110" i="5"/>
  <c r="AG108" i="5"/>
  <c r="AG106" i="5"/>
  <c r="AG104" i="5"/>
  <c r="AG102" i="5"/>
  <c r="AG100" i="5"/>
  <c r="AG98" i="5"/>
  <c r="AG96" i="5"/>
  <c r="AG94" i="5"/>
  <c r="AG92" i="5"/>
  <c r="AG90" i="5"/>
  <c r="AG88" i="5"/>
  <c r="AG86" i="5"/>
  <c r="AG84" i="5"/>
  <c r="AG82" i="5"/>
  <c r="AG80" i="5"/>
  <c r="AG78" i="5"/>
  <c r="AG76" i="5"/>
  <c r="AG74" i="5"/>
  <c r="AG72" i="5"/>
  <c r="AG70" i="5"/>
  <c r="AG68" i="5"/>
  <c r="AG66" i="5"/>
  <c r="AG64" i="5"/>
  <c r="AG62" i="5"/>
  <c r="AG60" i="5"/>
  <c r="AG58" i="5"/>
  <c r="AG56" i="5"/>
  <c r="AG54" i="5"/>
  <c r="AG52" i="5"/>
  <c r="AG43" i="5"/>
  <c r="AG27" i="5"/>
  <c r="AG34" i="5"/>
  <c r="AG50" i="5"/>
  <c r="AG18" i="5"/>
  <c r="AG41" i="5"/>
  <c r="AG25" i="5"/>
  <c r="AG48" i="5"/>
  <c r="AG32" i="5"/>
  <c r="AG16" i="5"/>
  <c r="AG23" i="5"/>
  <c r="AG37" i="5"/>
  <c r="AG21" i="5"/>
  <c r="AG39" i="5"/>
  <c r="AG30" i="5"/>
  <c r="Y57" i="20" l="1"/>
  <c r="Y15" i="20"/>
  <c r="Y85" i="20"/>
  <c r="Y89" i="20"/>
  <c r="Y38" i="20"/>
  <c r="Y83" i="20"/>
  <c r="Y117" i="20"/>
  <c r="Y37" i="20"/>
  <c r="Y108" i="19"/>
  <c r="Y117" i="19"/>
  <c r="Y42" i="19"/>
  <c r="Y44" i="19"/>
  <c r="Y24" i="19"/>
  <c r="Y53" i="19"/>
  <c r="Y68" i="19"/>
  <c r="Y49" i="19"/>
  <c r="Y60" i="19"/>
  <c r="Y46" i="19"/>
  <c r="P53" i="9"/>
  <c r="P53" i="11"/>
  <c r="P53" i="14"/>
  <c r="P53" i="15"/>
  <c r="P53" i="18"/>
  <c r="Y88" i="7"/>
  <c r="Y94" i="13"/>
  <c r="Y35" i="13"/>
  <c r="Y48" i="13"/>
  <c r="Y19" i="13"/>
  <c r="Y53" i="13"/>
  <c r="Y61" i="13"/>
  <c r="Y56" i="13"/>
  <c r="Y80" i="13"/>
  <c r="Y88" i="13"/>
  <c r="Y90" i="13"/>
  <c r="Y32" i="13"/>
  <c r="Y67" i="13"/>
  <c r="Y83" i="13"/>
  <c r="Y111" i="13"/>
  <c r="Y115" i="13"/>
  <c r="Y117" i="13"/>
  <c r="Y31" i="13"/>
  <c r="Y109" i="15"/>
  <c r="Y40" i="15"/>
  <c r="Y18" i="15"/>
  <c r="Y25" i="15"/>
  <c r="Y57" i="15"/>
  <c r="Y103" i="15"/>
  <c r="Y56" i="15"/>
  <c r="Y102" i="15"/>
  <c r="Y101" i="15"/>
  <c r="Y16" i="15"/>
  <c r="Y59" i="15"/>
  <c r="Y105" i="15"/>
  <c r="Y58" i="15"/>
  <c r="Y104" i="15"/>
  <c r="Y112" i="15"/>
  <c r="Y33" i="15"/>
  <c r="Y71" i="15"/>
  <c r="Y117" i="15"/>
  <c r="Y72" i="15"/>
  <c r="Y116" i="15"/>
  <c r="Y17" i="15"/>
  <c r="Y73" i="15"/>
  <c r="Y119" i="15"/>
  <c r="Y120" i="15"/>
  <c r="Y74" i="15"/>
  <c r="Y22" i="15"/>
  <c r="Y75" i="15"/>
  <c r="Y14" i="15"/>
  <c r="Y76" i="15"/>
  <c r="Y38" i="15"/>
  <c r="Y81" i="15"/>
  <c r="Y32" i="15"/>
  <c r="Y80" i="15"/>
  <c r="Y37" i="15"/>
  <c r="Y19" i="15"/>
  <c r="Y93" i="15"/>
  <c r="Y50" i="15"/>
  <c r="Y92" i="15"/>
  <c r="Y94" i="15"/>
  <c r="Y42" i="15"/>
  <c r="Y55" i="15"/>
  <c r="Y52" i="15"/>
  <c r="Y96" i="15"/>
  <c r="Y77" i="19"/>
  <c r="Y38" i="19"/>
  <c r="Y59" i="20"/>
  <c r="Y30" i="20"/>
  <c r="Y60" i="20"/>
  <c r="Y94" i="20"/>
  <c r="Y52" i="7"/>
  <c r="Y96" i="19"/>
  <c r="Y119" i="19"/>
  <c r="Y48" i="19"/>
  <c r="Y61" i="19"/>
  <c r="Y79" i="19"/>
  <c r="Y93" i="19"/>
  <c r="Y91" i="19"/>
  <c r="Y28" i="7"/>
  <c r="Y27" i="13"/>
  <c r="Y69" i="13"/>
  <c r="Y30" i="13"/>
  <c r="Y96" i="13"/>
  <c r="Y24" i="20"/>
  <c r="Y61" i="20"/>
  <c r="Y93" i="20"/>
  <c r="Y39" i="20"/>
  <c r="Y62" i="20"/>
  <c r="Y96" i="20"/>
  <c r="Y47" i="20"/>
  <c r="Y105" i="19"/>
  <c r="Y54" i="19"/>
  <c r="Y65" i="19"/>
  <c r="Y72" i="19"/>
  <c r="Y86" i="19"/>
  <c r="Y100" i="19"/>
  <c r="Y98" i="19"/>
  <c r="Y53" i="7"/>
  <c r="Y34" i="13"/>
  <c r="Y77" i="13"/>
  <c r="Y43" i="13"/>
  <c r="Y104" i="13"/>
  <c r="Y45" i="20"/>
  <c r="Y65" i="20"/>
  <c r="Y99" i="20"/>
  <c r="Y16" i="20"/>
  <c r="Y64" i="20"/>
  <c r="Y98" i="20"/>
  <c r="Y112" i="19"/>
  <c r="Y18" i="19"/>
  <c r="Y74" i="19"/>
  <c r="Y81" i="19"/>
  <c r="Y95" i="19"/>
  <c r="Y109" i="19"/>
  <c r="Y107" i="19"/>
  <c r="Y65" i="7"/>
  <c r="Y15" i="13"/>
  <c r="Y79" i="13"/>
  <c r="Y20" i="13"/>
  <c r="Y106" i="13"/>
  <c r="Y17" i="20"/>
  <c r="Y67" i="20"/>
  <c r="Y101" i="20"/>
  <c r="Y32" i="20"/>
  <c r="Y66" i="20"/>
  <c r="Y100" i="20"/>
  <c r="Y82" i="19"/>
  <c r="Y29" i="20"/>
  <c r="Y31" i="20"/>
  <c r="Y27" i="19"/>
  <c r="Y102" i="19"/>
  <c r="Y33" i="20"/>
  <c r="Y48" i="20"/>
  <c r="Y25" i="19"/>
  <c r="Y90" i="19"/>
  <c r="Y19" i="19"/>
  <c r="Y58" i="13"/>
  <c r="Y71" i="20"/>
  <c r="Y69" i="19"/>
  <c r="Y104" i="19"/>
  <c r="Y39" i="19"/>
  <c r="Y106" i="20"/>
  <c r="Y32" i="19"/>
  <c r="Y17" i="19"/>
  <c r="Y17" i="13"/>
  <c r="Y95" i="13"/>
  <c r="Y22" i="13"/>
  <c r="Y75" i="20"/>
  <c r="Y74" i="20"/>
  <c r="Y115" i="19"/>
  <c r="Y42" i="13"/>
  <c r="Y99" i="13"/>
  <c r="Y72" i="13"/>
  <c r="Y38" i="13"/>
  <c r="Y35" i="20"/>
  <c r="Y77" i="20"/>
  <c r="Y111" i="20"/>
  <c r="Y50" i="20"/>
  <c r="Y76" i="20"/>
  <c r="Y110" i="20"/>
  <c r="Y89" i="19"/>
  <c r="Y84" i="19"/>
  <c r="Y91" i="20"/>
  <c r="Y34" i="19"/>
  <c r="Y88" i="19"/>
  <c r="Y114" i="19"/>
  <c r="Y103" i="20"/>
  <c r="Y68" i="20"/>
  <c r="Y52" i="19"/>
  <c r="Y111" i="19"/>
  <c r="Y50" i="13"/>
  <c r="Y85" i="13"/>
  <c r="Y120" i="13"/>
  <c r="Y70" i="20"/>
  <c r="Y16" i="19"/>
  <c r="Y118" i="19"/>
  <c r="Y40" i="13"/>
  <c r="Y42" i="20"/>
  <c r="Y107" i="20"/>
  <c r="Y72" i="20"/>
  <c r="Y76" i="19"/>
  <c r="Y113" i="19"/>
  <c r="Y45" i="19"/>
  <c r="Y19" i="20"/>
  <c r="Y34" i="20"/>
  <c r="Y108" i="20"/>
  <c r="Y56" i="19"/>
  <c r="Y28" i="19"/>
  <c r="Y62" i="19"/>
  <c r="Y51" i="20"/>
  <c r="Y79" i="20"/>
  <c r="Y113" i="20"/>
  <c r="Y27" i="20"/>
  <c r="Y78" i="20"/>
  <c r="Y114" i="20"/>
  <c r="Y80" i="19"/>
  <c r="Y103" i="19"/>
  <c r="Y20" i="19"/>
  <c r="Y63" i="19"/>
  <c r="Y57" i="19"/>
  <c r="Y75" i="19"/>
  <c r="Y110" i="19"/>
  <c r="Y22" i="19"/>
  <c r="Y70" i="19"/>
  <c r="Y23" i="19"/>
  <c r="Y83" i="19"/>
  <c r="Y116" i="19"/>
  <c r="Y69" i="20"/>
  <c r="Y102" i="20"/>
  <c r="Y58" i="19"/>
  <c r="Y97" i="19"/>
  <c r="Y21" i="19"/>
  <c r="Y49" i="20"/>
  <c r="Y105" i="20"/>
  <c r="Y41" i="20"/>
  <c r="Y104" i="20"/>
  <c r="Y50" i="19"/>
  <c r="Y99" i="19"/>
  <c r="Y35" i="19"/>
  <c r="Y93" i="13"/>
  <c r="Y62" i="13"/>
  <c r="Y29" i="13"/>
  <c r="Y73" i="20"/>
  <c r="Y18" i="20"/>
  <c r="Y67" i="19"/>
  <c r="Y106" i="19"/>
  <c r="Y66" i="19"/>
  <c r="Y64" i="13"/>
  <c r="Y109" i="20"/>
  <c r="Y36" i="19"/>
  <c r="Y85" i="19"/>
  <c r="Y120" i="19"/>
  <c r="Y33" i="19"/>
  <c r="Y47" i="19"/>
  <c r="Y14" i="19"/>
  <c r="Y71" i="19"/>
  <c r="Y92" i="19"/>
  <c r="Y29" i="19"/>
  <c r="Y15" i="19"/>
  <c r="Y55" i="19"/>
  <c r="Y37" i="19"/>
  <c r="Y51" i="13"/>
  <c r="Y101" i="13"/>
  <c r="Y74" i="13"/>
  <c r="Y30" i="19"/>
  <c r="Y78" i="19"/>
  <c r="Y101" i="19"/>
  <c r="Y40" i="19"/>
  <c r="Y31" i="19"/>
  <c r="Y26" i="19"/>
  <c r="Y43" i="19"/>
  <c r="Y44" i="13"/>
  <c r="Y109" i="13"/>
  <c r="Y78" i="13"/>
  <c r="Y45" i="15"/>
  <c r="Y51" i="15"/>
  <c r="Y87" i="15"/>
  <c r="Y30" i="15"/>
  <c r="Y70" i="15"/>
  <c r="Y106" i="15"/>
  <c r="Y28" i="20"/>
  <c r="Y81" i="20"/>
  <c r="Y115" i="20"/>
  <c r="Y43" i="20"/>
  <c r="Y82" i="20"/>
  <c r="Y116" i="20"/>
  <c r="Y40" i="20"/>
  <c r="Y55" i="20"/>
  <c r="Y87" i="20"/>
  <c r="Y119" i="20"/>
  <c r="Y20" i="20"/>
  <c r="Y80" i="20"/>
  <c r="Y112" i="20"/>
  <c r="Y25" i="20"/>
  <c r="Y63" i="20"/>
  <c r="Y95" i="20"/>
  <c r="Y46" i="20"/>
  <c r="Y56" i="20"/>
  <c r="Y88" i="20"/>
  <c r="Y120" i="20"/>
  <c r="Y97" i="20"/>
  <c r="Y23" i="20"/>
  <c r="Y58" i="20"/>
  <c r="Y90" i="20"/>
  <c r="Y23" i="13"/>
  <c r="Y24" i="13"/>
  <c r="Y65" i="13"/>
  <c r="Y97" i="13"/>
  <c r="Y46" i="13"/>
  <c r="Y76" i="13"/>
  <c r="Y108" i="13"/>
  <c r="Y112" i="13"/>
  <c r="Y18" i="13"/>
  <c r="Y33" i="13"/>
  <c r="Y71" i="13"/>
  <c r="Y103" i="13"/>
  <c r="Y36" i="13"/>
  <c r="Y82" i="13"/>
  <c r="Y114" i="13"/>
  <c r="Y41" i="13"/>
  <c r="Y49" i="13"/>
  <c r="Y73" i="13"/>
  <c r="Y105" i="13"/>
  <c r="Y52" i="13"/>
  <c r="Y84" i="13"/>
  <c r="Y116" i="13"/>
  <c r="Y16" i="13"/>
  <c r="Y26" i="13"/>
  <c r="Y75" i="13"/>
  <c r="Y107" i="13"/>
  <c r="Y54" i="13"/>
  <c r="Y86" i="13"/>
  <c r="Y118" i="13"/>
  <c r="Y39" i="13"/>
  <c r="Y28" i="13"/>
  <c r="Y81" i="13"/>
  <c r="Y113" i="13"/>
  <c r="Y60" i="13"/>
  <c r="Y92" i="13"/>
  <c r="Y45" i="13"/>
  <c r="Y47" i="13"/>
  <c r="Y55" i="13"/>
  <c r="Y87" i="13"/>
  <c r="Y119" i="13"/>
  <c r="Y66" i="13"/>
  <c r="Y98" i="13"/>
  <c r="Y57" i="13"/>
  <c r="Y89" i="13"/>
  <c r="Y21" i="13"/>
  <c r="Y68" i="13"/>
  <c r="Y100" i="13"/>
  <c r="Y25" i="13"/>
  <c r="Y59" i="13"/>
  <c r="Y91" i="13"/>
  <c r="Y37" i="13"/>
  <c r="Y70" i="13"/>
  <c r="Y104" i="7"/>
  <c r="Y109" i="7"/>
  <c r="Y117" i="7"/>
  <c r="Y119" i="7"/>
  <c r="Y45" i="7"/>
  <c r="Y100" i="7"/>
  <c r="Y61" i="7"/>
  <c r="Y113" i="7"/>
  <c r="Y38" i="7"/>
  <c r="Y102" i="7"/>
  <c r="Y63" i="7"/>
  <c r="Y115" i="7"/>
  <c r="Y54" i="7"/>
  <c r="Y106" i="7"/>
  <c r="Y73" i="7"/>
  <c r="Y30" i="7"/>
  <c r="Y27" i="7"/>
  <c r="Y56" i="7"/>
  <c r="Y108" i="7"/>
  <c r="Y77" i="7"/>
  <c r="Y23" i="7"/>
  <c r="Y34" i="7"/>
  <c r="Y64" i="7"/>
  <c r="Y112" i="7"/>
  <c r="Y79" i="7"/>
  <c r="Y39" i="7"/>
  <c r="Y25" i="7"/>
  <c r="Y68" i="7"/>
  <c r="Y116" i="7"/>
  <c r="Y81" i="7"/>
  <c r="Y48" i="7"/>
  <c r="Y19" i="7"/>
  <c r="Y70" i="7"/>
  <c r="Y118" i="7"/>
  <c r="Y83" i="7"/>
  <c r="Y41" i="7"/>
  <c r="Y72" i="7"/>
  <c r="Y120" i="7"/>
  <c r="Y85" i="7"/>
  <c r="Y21" i="7"/>
  <c r="Y74" i="7"/>
  <c r="Y33" i="7"/>
  <c r="Y89" i="7"/>
  <c r="Y37" i="7"/>
  <c r="Y76" i="7"/>
  <c r="Y35" i="7"/>
  <c r="Y93" i="7"/>
  <c r="Y42" i="7"/>
  <c r="Y80" i="7"/>
  <c r="Y51" i="7"/>
  <c r="Y95" i="7"/>
  <c r="Y97" i="7"/>
  <c r="Y20" i="7"/>
  <c r="Y86" i="7"/>
  <c r="Y44" i="7"/>
  <c r="Y105" i="7"/>
  <c r="Y24" i="7"/>
  <c r="Y96" i="7"/>
  <c r="Y57" i="7"/>
  <c r="Y111" i="7"/>
  <c r="Y32" i="7"/>
  <c r="Y36" i="7"/>
  <c r="Y82" i="7"/>
  <c r="Y114" i="7"/>
  <c r="Y59" i="7"/>
  <c r="Y91" i="7"/>
  <c r="Y46" i="7"/>
  <c r="Y29" i="7"/>
  <c r="Y58" i="7"/>
  <c r="Y90" i="7"/>
  <c r="Y15" i="7"/>
  <c r="Y67" i="7"/>
  <c r="Y99" i="7"/>
  <c r="Y50" i="7"/>
  <c r="Y14" i="7"/>
  <c r="Y60" i="7"/>
  <c r="Y92" i="7"/>
  <c r="Y31" i="7"/>
  <c r="Y69" i="7"/>
  <c r="Y101" i="7"/>
  <c r="Y43" i="7"/>
  <c r="Y26" i="7"/>
  <c r="Y62" i="7"/>
  <c r="Y94" i="7"/>
  <c r="Y47" i="7"/>
  <c r="Y71" i="7"/>
  <c r="Y103" i="7"/>
  <c r="Y16" i="7"/>
  <c r="Y66" i="7"/>
  <c r="Y98" i="7"/>
  <c r="Y49" i="7"/>
  <c r="Y75" i="7"/>
  <c r="Y107" i="7"/>
  <c r="Y17" i="7"/>
  <c r="Y40" i="7"/>
  <c r="Y78" i="7"/>
  <c r="Y110" i="7"/>
  <c r="Y55" i="7"/>
  <c r="Y87" i="7"/>
  <c r="Y21" i="15"/>
  <c r="Y35" i="15"/>
  <c r="Y79" i="15"/>
  <c r="Y111" i="15"/>
  <c r="Y36" i="15"/>
  <c r="Y82" i="15"/>
  <c r="Y114" i="15"/>
  <c r="Y41" i="15"/>
  <c r="Y44" i="15"/>
  <c r="Y83" i="15"/>
  <c r="Y115" i="15"/>
  <c r="Y54" i="15"/>
  <c r="Y86" i="15"/>
  <c r="Y118" i="15"/>
  <c r="Y15" i="15"/>
  <c r="Y63" i="15"/>
  <c r="Y95" i="15"/>
  <c r="Y23" i="15"/>
  <c r="Y66" i="15"/>
  <c r="Y98" i="15"/>
  <c r="Y29" i="15"/>
  <c r="Y31" i="15"/>
  <c r="Y65" i="15"/>
  <c r="Y97" i="15"/>
  <c r="Y39" i="15"/>
  <c r="Y68" i="15"/>
  <c r="Y109" i="14"/>
  <c r="Y47" i="14"/>
  <c r="Y31" i="14"/>
  <c r="Y15" i="14"/>
  <c r="Y111" i="14"/>
  <c r="Y38" i="14"/>
  <c r="Y22" i="14"/>
  <c r="Y113" i="14"/>
  <c r="Y45" i="14"/>
  <c r="Y29" i="14"/>
  <c r="Y115" i="14"/>
  <c r="Y100" i="14"/>
  <c r="Y98" i="14"/>
  <c r="Y96" i="14"/>
  <c r="Y94" i="14"/>
  <c r="Y92" i="14"/>
  <c r="Y90" i="14"/>
  <c r="Y88" i="14"/>
  <c r="Y86" i="14"/>
  <c r="Y84" i="14"/>
  <c r="Y82" i="14"/>
  <c r="Y80" i="14"/>
  <c r="Y78" i="14"/>
  <c r="Y76" i="14"/>
  <c r="Y74" i="14"/>
  <c r="Y72" i="14"/>
  <c r="Y70" i="14"/>
  <c r="Y68" i="14"/>
  <c r="Y66" i="14"/>
  <c r="Y64" i="14"/>
  <c r="Y62" i="14"/>
  <c r="Y60" i="14"/>
  <c r="Y58" i="14"/>
  <c r="Y56" i="14"/>
  <c r="Y54" i="14"/>
  <c r="Y52" i="14"/>
  <c r="Y36" i="14"/>
  <c r="Y20" i="14"/>
  <c r="Y117" i="14"/>
  <c r="Y102" i="14"/>
  <c r="Y43" i="14"/>
  <c r="Y27" i="14"/>
  <c r="Y119" i="14"/>
  <c r="Y104" i="14"/>
  <c r="Y50" i="14"/>
  <c r="Y34" i="14"/>
  <c r="Y18" i="14"/>
  <c r="Y106" i="14"/>
  <c r="Y41" i="14"/>
  <c r="Y25" i="14"/>
  <c r="Y108" i="14"/>
  <c r="Y48" i="14"/>
  <c r="Y32" i="14"/>
  <c r="Y16" i="14"/>
  <c r="Y110" i="14"/>
  <c r="Y39" i="14"/>
  <c r="Y23" i="14"/>
  <c r="Y112" i="14"/>
  <c r="Y46" i="14"/>
  <c r="Y30" i="14"/>
  <c r="Y14" i="14"/>
  <c r="Y114" i="14"/>
  <c r="Y37" i="14"/>
  <c r="Y21" i="14"/>
  <c r="Y116" i="14"/>
  <c r="Y99" i="14"/>
  <c r="Y97" i="14"/>
  <c r="Y95" i="14"/>
  <c r="Y93" i="14"/>
  <c r="Y91" i="14"/>
  <c r="Y89" i="14"/>
  <c r="Y87" i="14"/>
  <c r="Y85" i="14"/>
  <c r="Y83" i="14"/>
  <c r="Y81" i="14"/>
  <c r="Y79" i="14"/>
  <c r="Y77" i="14"/>
  <c r="Y75" i="14"/>
  <c r="Y73" i="14"/>
  <c r="Y71" i="14"/>
  <c r="Y69" i="14"/>
  <c r="Y67" i="14"/>
  <c r="Y65" i="14"/>
  <c r="Y63" i="14"/>
  <c r="Y61" i="14"/>
  <c r="Y59" i="14"/>
  <c r="Y57" i="14"/>
  <c r="Y55" i="14"/>
  <c r="Y53" i="14"/>
  <c r="Y44" i="14"/>
  <c r="Y28" i="14"/>
  <c r="Y118" i="14"/>
  <c r="Y101" i="14"/>
  <c r="Y51" i="14"/>
  <c r="Y35" i="14"/>
  <c r="Y19" i="14"/>
  <c r="Y120" i="14"/>
  <c r="Y103" i="14"/>
  <c r="Y42" i="14"/>
  <c r="Y26" i="14"/>
  <c r="Y105" i="14"/>
  <c r="Y49" i="14"/>
  <c r="Y33" i="14"/>
  <c r="Y17" i="14"/>
  <c r="Y40" i="14"/>
  <c r="Y24" i="14"/>
  <c r="Y107" i="14"/>
  <c r="Y51" i="17"/>
  <c r="Y35" i="17"/>
  <c r="Y19" i="17"/>
  <c r="Y42" i="17"/>
  <c r="Y26" i="17"/>
  <c r="Y38" i="17"/>
  <c r="Y22" i="17"/>
  <c r="Y50" i="17"/>
  <c r="Y34" i="17"/>
  <c r="Y18" i="17"/>
  <c r="Y48" i="17"/>
  <c r="Y32" i="17"/>
  <c r="Y16" i="17"/>
  <c r="Y37" i="17"/>
  <c r="Y119" i="17"/>
  <c r="Y117" i="17"/>
  <c r="Y115" i="17"/>
  <c r="Y113" i="17"/>
  <c r="Y111" i="17"/>
  <c r="Y109" i="17"/>
  <c r="Y107" i="17"/>
  <c r="Y105" i="17"/>
  <c r="Y103" i="17"/>
  <c r="Y101" i="17"/>
  <c r="Y99" i="17"/>
  <c r="Y97" i="17"/>
  <c r="Y95" i="17"/>
  <c r="Y93" i="17"/>
  <c r="Y91" i="17"/>
  <c r="Y89" i="17"/>
  <c r="Y87" i="17"/>
  <c r="Y85" i="17"/>
  <c r="Y83" i="17"/>
  <c r="Y81" i="17"/>
  <c r="Y79" i="17"/>
  <c r="Y77" i="17"/>
  <c r="Y75" i="17"/>
  <c r="Y73" i="17"/>
  <c r="Y71" i="17"/>
  <c r="Y69" i="17"/>
  <c r="Y67" i="17"/>
  <c r="Y65" i="17"/>
  <c r="Y63" i="17"/>
  <c r="Y61" i="17"/>
  <c r="Y59" i="17"/>
  <c r="Y57" i="17"/>
  <c r="Y55" i="17"/>
  <c r="Y53" i="17"/>
  <c r="Y44" i="17"/>
  <c r="Y28" i="17"/>
  <c r="Y120" i="17"/>
  <c r="Y88" i="17"/>
  <c r="Y62" i="17"/>
  <c r="Y23" i="17"/>
  <c r="Y14" i="17"/>
  <c r="Y110" i="17"/>
  <c r="Y78" i="17"/>
  <c r="Y39" i="17"/>
  <c r="Y25" i="17"/>
  <c r="Y100" i="17"/>
  <c r="Y64" i="17"/>
  <c r="Y41" i="17"/>
  <c r="Y27" i="17"/>
  <c r="Y90" i="17"/>
  <c r="Y43" i="17"/>
  <c r="Y29" i="17"/>
  <c r="Y112" i="17"/>
  <c r="Y80" i="17"/>
  <c r="Y66" i="17"/>
  <c r="Y45" i="17"/>
  <c r="Y102" i="17"/>
  <c r="Y36" i="17"/>
  <c r="Y31" i="17"/>
  <c r="Y92" i="17"/>
  <c r="Y68" i="17"/>
  <c r="Y52" i="17"/>
  <c r="Y47" i="17"/>
  <c r="Y20" i="17"/>
  <c r="Y114" i="17"/>
  <c r="Y82" i="17"/>
  <c r="Y104" i="17"/>
  <c r="Y70" i="17"/>
  <c r="Y54" i="17"/>
  <c r="Y33" i="17"/>
  <c r="Y24" i="17"/>
  <c r="Y94" i="17"/>
  <c r="Y49" i="17"/>
  <c r="Y40" i="17"/>
  <c r="Y15" i="17"/>
  <c r="Y116" i="17"/>
  <c r="Y84" i="17"/>
  <c r="Y72" i="17"/>
  <c r="Y56" i="17"/>
  <c r="Y106" i="17"/>
  <c r="Y17" i="17"/>
  <c r="Y96" i="17"/>
  <c r="Y74" i="17"/>
  <c r="Y58" i="17"/>
  <c r="Y30" i="17"/>
  <c r="Y108" i="17"/>
  <c r="Y76" i="17"/>
  <c r="Y60" i="17"/>
  <c r="Y98" i="17"/>
  <c r="Y21" i="17"/>
  <c r="Y46" i="17"/>
  <c r="Y118" i="17"/>
  <c r="Y86" i="17"/>
  <c r="Y41" i="6"/>
  <c r="Y25" i="6"/>
  <c r="Y48" i="6"/>
  <c r="Y32" i="6"/>
  <c r="Y16" i="6"/>
  <c r="Y39" i="6"/>
  <c r="Y23" i="6"/>
  <c r="Y46" i="6"/>
  <c r="Y30" i="6"/>
  <c r="Y14" i="6"/>
  <c r="Y37" i="6"/>
  <c r="Y21" i="6"/>
  <c r="Y119" i="6"/>
  <c r="Y117" i="6"/>
  <c r="Y115" i="6"/>
  <c r="Y113" i="6"/>
  <c r="Y111" i="6"/>
  <c r="Y109" i="6"/>
  <c r="Y107" i="6"/>
  <c r="Y105" i="6"/>
  <c r="Y103" i="6"/>
  <c r="Y101" i="6"/>
  <c r="Y99" i="6"/>
  <c r="Y97" i="6"/>
  <c r="Y95" i="6"/>
  <c r="Y93" i="6"/>
  <c r="Y91" i="6"/>
  <c r="Y89" i="6"/>
  <c r="Y87" i="6"/>
  <c r="Y85" i="6"/>
  <c r="Y83" i="6"/>
  <c r="Y81" i="6"/>
  <c r="Y79" i="6"/>
  <c r="Y77" i="6"/>
  <c r="Y75" i="6"/>
  <c r="Y73" i="6"/>
  <c r="Y71" i="6"/>
  <c r="Y69" i="6"/>
  <c r="Y67" i="6"/>
  <c r="Y65" i="6"/>
  <c r="Y63" i="6"/>
  <c r="Y61" i="6"/>
  <c r="Y59" i="6"/>
  <c r="Y57" i="6"/>
  <c r="Y55" i="6"/>
  <c r="Y53" i="6"/>
  <c r="Y44" i="6"/>
  <c r="Y28" i="6"/>
  <c r="Y51" i="6"/>
  <c r="Y35" i="6"/>
  <c r="Y19" i="6"/>
  <c r="Y27" i="6"/>
  <c r="Y42" i="6"/>
  <c r="Y26" i="6"/>
  <c r="Y34" i="6"/>
  <c r="Y49" i="6"/>
  <c r="Y33" i="6"/>
  <c r="Y17" i="6"/>
  <c r="Y40" i="6"/>
  <c r="Y24" i="6"/>
  <c r="Y47" i="6"/>
  <c r="Y31" i="6"/>
  <c r="Y15" i="6"/>
  <c r="Y38" i="6"/>
  <c r="Y22" i="6"/>
  <c r="Y45" i="6"/>
  <c r="Y29" i="6"/>
  <c r="Y18" i="6"/>
  <c r="Y120" i="6"/>
  <c r="Y118" i="6"/>
  <c r="Y116" i="6"/>
  <c r="Y114" i="6"/>
  <c r="Y112" i="6"/>
  <c r="Y110" i="6"/>
  <c r="Y108" i="6"/>
  <c r="Y106" i="6"/>
  <c r="Y104" i="6"/>
  <c r="Y102" i="6"/>
  <c r="Y100" i="6"/>
  <c r="Y98" i="6"/>
  <c r="Y96" i="6"/>
  <c r="Y94" i="6"/>
  <c r="Y92" i="6"/>
  <c r="Y90" i="6"/>
  <c r="Y88" i="6"/>
  <c r="Y86" i="6"/>
  <c r="Y84" i="6"/>
  <c r="Y82" i="6"/>
  <c r="Y80" i="6"/>
  <c r="Y78" i="6"/>
  <c r="Y76" i="6"/>
  <c r="Y74" i="6"/>
  <c r="Y72" i="6"/>
  <c r="Y70" i="6"/>
  <c r="Y68" i="6"/>
  <c r="Y66" i="6"/>
  <c r="Y64" i="6"/>
  <c r="Y62" i="6"/>
  <c r="Y60" i="6"/>
  <c r="Y58" i="6"/>
  <c r="Y56" i="6"/>
  <c r="Y54" i="6"/>
  <c r="Y52" i="6"/>
  <c r="Y36" i="6"/>
  <c r="Y20" i="6"/>
  <c r="Y43" i="6"/>
  <c r="Y50" i="6"/>
  <c r="Y45" i="12"/>
  <c r="Y29" i="12"/>
  <c r="Y120" i="12"/>
  <c r="Y118" i="12"/>
  <c r="Y116" i="12"/>
  <c r="Y114" i="12"/>
  <c r="Y112" i="12"/>
  <c r="Y110" i="12"/>
  <c r="Y108" i="12"/>
  <c r="Y106" i="12"/>
  <c r="Y104" i="12"/>
  <c r="Y102" i="12"/>
  <c r="Y100" i="12"/>
  <c r="Y98" i="12"/>
  <c r="Y96" i="12"/>
  <c r="Y94" i="12"/>
  <c r="Y92" i="12"/>
  <c r="Y90" i="12"/>
  <c r="Y88" i="12"/>
  <c r="Y86" i="12"/>
  <c r="Y84" i="12"/>
  <c r="Y82" i="12"/>
  <c r="Y80" i="12"/>
  <c r="Y78" i="12"/>
  <c r="Y76" i="12"/>
  <c r="Y74" i="12"/>
  <c r="Y72" i="12"/>
  <c r="Y70" i="12"/>
  <c r="Y68" i="12"/>
  <c r="Y66" i="12"/>
  <c r="Y64" i="12"/>
  <c r="Y62" i="12"/>
  <c r="Y60" i="12"/>
  <c r="Y58" i="12"/>
  <c r="Y56" i="12"/>
  <c r="Y54" i="12"/>
  <c r="Y52" i="12"/>
  <c r="Y43" i="12"/>
  <c r="Y27" i="12"/>
  <c r="Y119" i="12"/>
  <c r="Y117" i="12"/>
  <c r="Y115" i="12"/>
  <c r="Y113" i="12"/>
  <c r="Y111" i="12"/>
  <c r="Y109" i="12"/>
  <c r="Y107" i="12"/>
  <c r="Y105" i="12"/>
  <c r="Y103" i="12"/>
  <c r="Y101" i="12"/>
  <c r="Y99" i="12"/>
  <c r="Y97" i="12"/>
  <c r="Y95" i="12"/>
  <c r="Y93" i="12"/>
  <c r="Y91" i="12"/>
  <c r="Y89" i="12"/>
  <c r="Y87" i="12"/>
  <c r="Y85" i="12"/>
  <c r="Y83" i="12"/>
  <c r="Y81" i="12"/>
  <c r="Y79" i="12"/>
  <c r="Y77" i="12"/>
  <c r="Y75" i="12"/>
  <c r="Y73" i="12"/>
  <c r="Y71" i="12"/>
  <c r="Y69" i="12"/>
  <c r="Y67" i="12"/>
  <c r="Y65" i="12"/>
  <c r="Y63" i="12"/>
  <c r="Y61" i="12"/>
  <c r="Y59" i="12"/>
  <c r="Y57" i="12"/>
  <c r="Y55" i="12"/>
  <c r="Y53" i="12"/>
  <c r="Y44" i="12"/>
  <c r="Y28" i="12"/>
  <c r="Y49" i="12"/>
  <c r="Y33" i="12"/>
  <c r="Y17" i="12"/>
  <c r="Y47" i="12"/>
  <c r="Y31" i="12"/>
  <c r="Y15" i="12"/>
  <c r="Y50" i="12"/>
  <c r="Y23" i="12"/>
  <c r="Y21" i="12"/>
  <c r="Y38" i="12"/>
  <c r="Y25" i="12"/>
  <c r="Y40" i="12"/>
  <c r="Y36" i="12"/>
  <c r="Y30" i="12"/>
  <c r="Y19" i="12"/>
  <c r="Y34" i="12"/>
  <c r="Y32" i="12"/>
  <c r="Y42" i="12"/>
  <c r="Y22" i="12"/>
  <c r="Y51" i="12"/>
  <c r="Y39" i="12"/>
  <c r="Y37" i="12"/>
  <c r="Y24" i="12"/>
  <c r="Y20" i="12"/>
  <c r="Y14" i="12"/>
  <c r="Y41" i="12"/>
  <c r="Y18" i="12"/>
  <c r="Y16" i="12"/>
  <c r="Y46" i="12"/>
  <c r="Y35" i="12"/>
  <c r="Y26" i="12"/>
  <c r="Y48" i="12"/>
  <c r="P19" i="5"/>
  <c r="P20" i="5" s="1"/>
  <c r="P21" i="5" s="1"/>
  <c r="P22" i="5" s="1"/>
  <c r="P23" i="5" s="1"/>
  <c r="P24" i="5" s="1"/>
  <c r="P25" i="5" s="1"/>
  <c r="P26" i="5" s="1"/>
  <c r="P27" i="5" s="1"/>
  <c r="P28" i="5" s="1"/>
  <c r="P29" i="5" s="1"/>
  <c r="P30" i="5" s="1"/>
  <c r="P31" i="5" s="1"/>
  <c r="P32" i="5" s="1"/>
  <c r="P33" i="5" s="1"/>
  <c r="P34" i="5" s="1"/>
  <c r="P35" i="5" s="1"/>
  <c r="P36" i="5" s="1"/>
  <c r="P37" i="5" s="1"/>
  <c r="P38" i="5" s="1"/>
  <c r="P39" i="5" s="1"/>
  <c r="P40" i="5" s="1"/>
  <c r="P41" i="5" s="1"/>
  <c r="P42" i="5" s="1"/>
  <c r="P43" i="5" s="1"/>
  <c r="P44" i="5" s="1"/>
  <c r="P45" i="5" s="1"/>
  <c r="P46" i="5" s="1"/>
  <c r="P47" i="5" s="1"/>
  <c r="P48" i="5" s="1"/>
  <c r="P49" i="5" s="1"/>
  <c r="P50" i="5" s="1"/>
  <c r="P51" i="5" s="1"/>
  <c r="Y45" i="9"/>
  <c r="Y29" i="9"/>
  <c r="Y116" i="9"/>
  <c r="Y114" i="9"/>
  <c r="Y112" i="9"/>
  <c r="Y110" i="9"/>
  <c r="Y108" i="9"/>
  <c r="Y106" i="9"/>
  <c r="Y104" i="9"/>
  <c r="Y102" i="9"/>
  <c r="Y100" i="9"/>
  <c r="Y98" i="9"/>
  <c r="Y96" i="9"/>
  <c r="Y94" i="9"/>
  <c r="Y92" i="9"/>
  <c r="Y90" i="9"/>
  <c r="Y88" i="9"/>
  <c r="Y86" i="9"/>
  <c r="Y84" i="9"/>
  <c r="Y82" i="9"/>
  <c r="Y80" i="9"/>
  <c r="Y78" i="9"/>
  <c r="Y76" i="9"/>
  <c r="Y74" i="9"/>
  <c r="Y72" i="9"/>
  <c r="Y70" i="9"/>
  <c r="Y68" i="9"/>
  <c r="Y66" i="9"/>
  <c r="Y64" i="9"/>
  <c r="Y62" i="9"/>
  <c r="Y60" i="9"/>
  <c r="Y58" i="9"/>
  <c r="Y56" i="9"/>
  <c r="Y54" i="9"/>
  <c r="Y52" i="9"/>
  <c r="Y36" i="9"/>
  <c r="Y20" i="9"/>
  <c r="Y118" i="9"/>
  <c r="Y43" i="9"/>
  <c r="Y27" i="9"/>
  <c r="Y50" i="9"/>
  <c r="Y34" i="9"/>
  <c r="Y18" i="9"/>
  <c r="Y120" i="9"/>
  <c r="Y41" i="9"/>
  <c r="Y25" i="9"/>
  <c r="Y48" i="9"/>
  <c r="Y32" i="9"/>
  <c r="Y16" i="9"/>
  <c r="Y39" i="9"/>
  <c r="Y23" i="9"/>
  <c r="Y46" i="9"/>
  <c r="Y30" i="9"/>
  <c r="Y14" i="9"/>
  <c r="Y37" i="9"/>
  <c r="Y21" i="9"/>
  <c r="Y117" i="9"/>
  <c r="Y115" i="9"/>
  <c r="Y113" i="9"/>
  <c r="Y111" i="9"/>
  <c r="Y109" i="9"/>
  <c r="Y107" i="9"/>
  <c r="Y105" i="9"/>
  <c r="Y103" i="9"/>
  <c r="Y101" i="9"/>
  <c r="Y99" i="9"/>
  <c r="Y97" i="9"/>
  <c r="Y95" i="9"/>
  <c r="Y93" i="9"/>
  <c r="Y91" i="9"/>
  <c r="Y89" i="9"/>
  <c r="Y87" i="9"/>
  <c r="Y85" i="9"/>
  <c r="Y83" i="9"/>
  <c r="Y81" i="9"/>
  <c r="Y79" i="9"/>
  <c r="Y77" i="9"/>
  <c r="Y75" i="9"/>
  <c r="Y73" i="9"/>
  <c r="Y71" i="9"/>
  <c r="Y69" i="9"/>
  <c r="Y67" i="9"/>
  <c r="Y65" i="9"/>
  <c r="Y63" i="9"/>
  <c r="Y61" i="9"/>
  <c r="Y59" i="9"/>
  <c r="Y57" i="9"/>
  <c r="Y55" i="9"/>
  <c r="Y53" i="9"/>
  <c r="Y44" i="9"/>
  <c r="Y28" i="9"/>
  <c r="Y51" i="9"/>
  <c r="Y35" i="9"/>
  <c r="Y19" i="9"/>
  <c r="Y119" i="9"/>
  <c r="Y42" i="9"/>
  <c r="Y26" i="9"/>
  <c r="Y49" i="9"/>
  <c r="Y33" i="9"/>
  <c r="Y17" i="9"/>
  <c r="Y47" i="9"/>
  <c r="Y31" i="9"/>
  <c r="Y15" i="9"/>
  <c r="Y38" i="9"/>
  <c r="Y22" i="9"/>
  <c r="Y24" i="9"/>
  <c r="Y40" i="9"/>
  <c r="Y120" i="8"/>
  <c r="Y118" i="8"/>
  <c r="Y116" i="8"/>
  <c r="Y114" i="8"/>
  <c r="Y112" i="8"/>
  <c r="Y110" i="8"/>
  <c r="Y108" i="8"/>
  <c r="Y106" i="8"/>
  <c r="Y104" i="8"/>
  <c r="Y102" i="8"/>
  <c r="Y100" i="8"/>
  <c r="Y98" i="8"/>
  <c r="Y96" i="8"/>
  <c r="Y94" i="8"/>
  <c r="Y92" i="8"/>
  <c r="Y90" i="8"/>
  <c r="Y88" i="8"/>
  <c r="Y86" i="8"/>
  <c r="Y84" i="8"/>
  <c r="Y82" i="8"/>
  <c r="Y80" i="8"/>
  <c r="Y78" i="8"/>
  <c r="Y76" i="8"/>
  <c r="Y74" i="8"/>
  <c r="Y72" i="8"/>
  <c r="Y70" i="8"/>
  <c r="Y68" i="8"/>
  <c r="Y66" i="8"/>
  <c r="Y64" i="8"/>
  <c r="Y62" i="8"/>
  <c r="Y60" i="8"/>
  <c r="Y58" i="8"/>
  <c r="Y56" i="8"/>
  <c r="Y54" i="8"/>
  <c r="Y52" i="8"/>
  <c r="Y36" i="8"/>
  <c r="Y20" i="8"/>
  <c r="Y43" i="8"/>
  <c r="Y27" i="8"/>
  <c r="Y50" i="8"/>
  <c r="Y34" i="8"/>
  <c r="Y18" i="8"/>
  <c r="Y41" i="8"/>
  <c r="Y25" i="8"/>
  <c r="Y48" i="8"/>
  <c r="Y32" i="8"/>
  <c r="Y16" i="8"/>
  <c r="Y39" i="8"/>
  <c r="Y23" i="8"/>
  <c r="Y46" i="8"/>
  <c r="Y30" i="8"/>
  <c r="Y14" i="8"/>
  <c r="Y37" i="8"/>
  <c r="Y21" i="8"/>
  <c r="Y119" i="8"/>
  <c r="Y117" i="8"/>
  <c r="Y115" i="8"/>
  <c r="Y113" i="8"/>
  <c r="Y111" i="8"/>
  <c r="Y109" i="8"/>
  <c r="Y107" i="8"/>
  <c r="Y105" i="8"/>
  <c r="Y103" i="8"/>
  <c r="Y101" i="8"/>
  <c r="Y99" i="8"/>
  <c r="Y97" i="8"/>
  <c r="Y95" i="8"/>
  <c r="Y93" i="8"/>
  <c r="Y91" i="8"/>
  <c r="Y89" i="8"/>
  <c r="Y87" i="8"/>
  <c r="Y85" i="8"/>
  <c r="Y83" i="8"/>
  <c r="Y81" i="8"/>
  <c r="Y79" i="8"/>
  <c r="Y77" i="8"/>
  <c r="Y75" i="8"/>
  <c r="Y73" i="8"/>
  <c r="Y71" i="8"/>
  <c r="Y69" i="8"/>
  <c r="Y67" i="8"/>
  <c r="Y65" i="8"/>
  <c r="Y63" i="8"/>
  <c r="Y61" i="8"/>
  <c r="Y59" i="8"/>
  <c r="Y57" i="8"/>
  <c r="Y55" i="8"/>
  <c r="Y53" i="8"/>
  <c r="Y44" i="8"/>
  <c r="Y28" i="8"/>
  <c r="Y51" i="8"/>
  <c r="Y35" i="8"/>
  <c r="Y19" i="8"/>
  <c r="Y42" i="8"/>
  <c r="Y26" i="8"/>
  <c r="Y40" i="8"/>
  <c r="Y24" i="8"/>
  <c r="Y38" i="8"/>
  <c r="Y22" i="8"/>
  <c r="Y45" i="8"/>
  <c r="Y29" i="8"/>
  <c r="Y33" i="8"/>
  <c r="Y15" i="8"/>
  <c r="Y17" i="8"/>
  <c r="Y47" i="8"/>
  <c r="Y49" i="8"/>
  <c r="Y31" i="8"/>
  <c r="Y41" i="10"/>
  <c r="Y25" i="10"/>
  <c r="Y48" i="10"/>
  <c r="Y39" i="10"/>
  <c r="Y23" i="10"/>
  <c r="Y37" i="10"/>
  <c r="Y119" i="10"/>
  <c r="Y117" i="10"/>
  <c r="Y115" i="10"/>
  <c r="Y113" i="10"/>
  <c r="Y111" i="10"/>
  <c r="Y109" i="10"/>
  <c r="Y107" i="10"/>
  <c r="Y105" i="10"/>
  <c r="Y103" i="10"/>
  <c r="Y101" i="10"/>
  <c r="Y99" i="10"/>
  <c r="Y97" i="10"/>
  <c r="Y95" i="10"/>
  <c r="Y93" i="10"/>
  <c r="Y91" i="10"/>
  <c r="Y89" i="10"/>
  <c r="Y87" i="10"/>
  <c r="Y85" i="10"/>
  <c r="Y83" i="10"/>
  <c r="Y81" i="10"/>
  <c r="Y79" i="10"/>
  <c r="Y77" i="10"/>
  <c r="Y75" i="10"/>
  <c r="Y73" i="10"/>
  <c r="Y71" i="10"/>
  <c r="Y69" i="10"/>
  <c r="Y67" i="10"/>
  <c r="Y65" i="10"/>
  <c r="Y63" i="10"/>
  <c r="Y61" i="10"/>
  <c r="Y59" i="10"/>
  <c r="Y57" i="10"/>
  <c r="Y55" i="10"/>
  <c r="Y53" i="10"/>
  <c r="Y44" i="10"/>
  <c r="Y28" i="10"/>
  <c r="Y51" i="10"/>
  <c r="Y35" i="10"/>
  <c r="Y19" i="10"/>
  <c r="Y40" i="10"/>
  <c r="Y24" i="10"/>
  <c r="Y47" i="10"/>
  <c r="Y31" i="10"/>
  <c r="Y38" i="10"/>
  <c r="Y22" i="10"/>
  <c r="Y43" i="10"/>
  <c r="Y27" i="10"/>
  <c r="Y120" i="10"/>
  <c r="Y88" i="10"/>
  <c r="Y56" i="10"/>
  <c r="Y110" i="10"/>
  <c r="Y78" i="10"/>
  <c r="Y33" i="10"/>
  <c r="Y100" i="10"/>
  <c r="Y68" i="10"/>
  <c r="Y90" i="10"/>
  <c r="Y58" i="10"/>
  <c r="Y26" i="10"/>
  <c r="Y18" i="10"/>
  <c r="Y16" i="10"/>
  <c r="Y112" i="10"/>
  <c r="Y80" i="10"/>
  <c r="Y46" i="10"/>
  <c r="Y14" i="10"/>
  <c r="Y102" i="10"/>
  <c r="Y70" i="10"/>
  <c r="Y92" i="10"/>
  <c r="Y60" i="10"/>
  <c r="Y20" i="10"/>
  <c r="Y114" i="10"/>
  <c r="Y82" i="10"/>
  <c r="Y50" i="10"/>
  <c r="Y104" i="10"/>
  <c r="Y72" i="10"/>
  <c r="Y30" i="10"/>
  <c r="Y94" i="10"/>
  <c r="Y62" i="10"/>
  <c r="Y32" i="10"/>
  <c r="Y116" i="10"/>
  <c r="Y84" i="10"/>
  <c r="Y52" i="10"/>
  <c r="Y45" i="10"/>
  <c r="Y34" i="10"/>
  <c r="Y106" i="10"/>
  <c r="Y74" i="10"/>
  <c r="Y17" i="10"/>
  <c r="Y15" i="10"/>
  <c r="Y96" i="10"/>
  <c r="Y64" i="10"/>
  <c r="Y108" i="10"/>
  <c r="Y76" i="10"/>
  <c r="Y49" i="10"/>
  <c r="Y36" i="10"/>
  <c r="Y29" i="10"/>
  <c r="Y98" i="10"/>
  <c r="Y66" i="10"/>
  <c r="Y21" i="10"/>
  <c r="Y118" i="10"/>
  <c r="Y86" i="10"/>
  <c r="Y54" i="10"/>
  <c r="Y42" i="10"/>
  <c r="Y50" i="11"/>
  <c r="Y34" i="11"/>
  <c r="Y18" i="11"/>
  <c r="Y41" i="11"/>
  <c r="Y25" i="11"/>
  <c r="Y48" i="11"/>
  <c r="Y32" i="11"/>
  <c r="Y16" i="11"/>
  <c r="Y39" i="11"/>
  <c r="Y23" i="11"/>
  <c r="Y46" i="11"/>
  <c r="Y30" i="11"/>
  <c r="Y14" i="11"/>
  <c r="Y37" i="11"/>
  <c r="Y21" i="11"/>
  <c r="Y119" i="11"/>
  <c r="Y117" i="11"/>
  <c r="Y115" i="11"/>
  <c r="Y113" i="11"/>
  <c r="Y111" i="11"/>
  <c r="Y109" i="11"/>
  <c r="Y107" i="11"/>
  <c r="Y105" i="11"/>
  <c r="Y103" i="11"/>
  <c r="Y101" i="11"/>
  <c r="Y99" i="11"/>
  <c r="Y97" i="11"/>
  <c r="Y95" i="11"/>
  <c r="Y93" i="11"/>
  <c r="Y91" i="11"/>
  <c r="Y89" i="11"/>
  <c r="Y87" i="11"/>
  <c r="Y85" i="11"/>
  <c r="Y83" i="11"/>
  <c r="Y81" i="11"/>
  <c r="Y79" i="11"/>
  <c r="Y77" i="11"/>
  <c r="Y75" i="11"/>
  <c r="Y73" i="11"/>
  <c r="Y71" i="11"/>
  <c r="Y69" i="11"/>
  <c r="Y67" i="11"/>
  <c r="Y65" i="11"/>
  <c r="Y63" i="11"/>
  <c r="Y61" i="11"/>
  <c r="Y59" i="11"/>
  <c r="Y57" i="11"/>
  <c r="Y55" i="11"/>
  <c r="Y53" i="11"/>
  <c r="Y44" i="11"/>
  <c r="Y28" i="11"/>
  <c r="Y51" i="11"/>
  <c r="Y35" i="11"/>
  <c r="Y42" i="11"/>
  <c r="Y26" i="11"/>
  <c r="Y49" i="11"/>
  <c r="Y33" i="11"/>
  <c r="Y17" i="11"/>
  <c r="Y40" i="11"/>
  <c r="Y24" i="11"/>
  <c r="Y47" i="11"/>
  <c r="Y31" i="11"/>
  <c r="Y15" i="11"/>
  <c r="Y38" i="11"/>
  <c r="Y22" i="11"/>
  <c r="Y45" i="11"/>
  <c r="Y118" i="11"/>
  <c r="Y116" i="11"/>
  <c r="Y114" i="11"/>
  <c r="Y112" i="11"/>
  <c r="Y110" i="11"/>
  <c r="Y108" i="11"/>
  <c r="Y106" i="11"/>
  <c r="Y104" i="11"/>
  <c r="Y102" i="11"/>
  <c r="Y100" i="11"/>
  <c r="Y98" i="11"/>
  <c r="Y96" i="11"/>
  <c r="Y94" i="11"/>
  <c r="Y92" i="11"/>
  <c r="Y90" i="11"/>
  <c r="Y88" i="11"/>
  <c r="Y86" i="11"/>
  <c r="Y84" i="11"/>
  <c r="Y82" i="11"/>
  <c r="Y80" i="11"/>
  <c r="Y78" i="11"/>
  <c r="Y76" i="11"/>
  <c r="Y74" i="11"/>
  <c r="Y72" i="11"/>
  <c r="Y70" i="11"/>
  <c r="Y68" i="11"/>
  <c r="Y66" i="11"/>
  <c r="Y64" i="11"/>
  <c r="Y62" i="11"/>
  <c r="Y60" i="11"/>
  <c r="Y58" i="11"/>
  <c r="Y56" i="11"/>
  <c r="Y54" i="11"/>
  <c r="Y52" i="11"/>
  <c r="Y36" i="11"/>
  <c r="Y20" i="11"/>
  <c r="Y29" i="11"/>
  <c r="Y120" i="11"/>
  <c r="Y43" i="11"/>
  <c r="Y19" i="11"/>
  <c r="Y27" i="11"/>
  <c r="Y45" i="16"/>
  <c r="Y29" i="16"/>
  <c r="Y114" i="16"/>
  <c r="Y112" i="16"/>
  <c r="Y110" i="16"/>
  <c r="Y108" i="16"/>
  <c r="Y106" i="16"/>
  <c r="Y104" i="16"/>
  <c r="Y102" i="16"/>
  <c r="Y100" i="16"/>
  <c r="Y98" i="16"/>
  <c r="Y96" i="16"/>
  <c r="Y94" i="16"/>
  <c r="Y92" i="16"/>
  <c r="Y90" i="16"/>
  <c r="Y88" i="16"/>
  <c r="Y86" i="16"/>
  <c r="Y84" i="16"/>
  <c r="Y82" i="16"/>
  <c r="Y80" i="16"/>
  <c r="Y78" i="16"/>
  <c r="Y76" i="16"/>
  <c r="Y74" i="16"/>
  <c r="Y72" i="16"/>
  <c r="Y70" i="16"/>
  <c r="Y68" i="16"/>
  <c r="Y66" i="16"/>
  <c r="Y64" i="16"/>
  <c r="Y62" i="16"/>
  <c r="Y60" i="16"/>
  <c r="Y58" i="16"/>
  <c r="Y56" i="16"/>
  <c r="Y54" i="16"/>
  <c r="Y52" i="16"/>
  <c r="Y36" i="16"/>
  <c r="Y20" i="16"/>
  <c r="Y116" i="16"/>
  <c r="Y43" i="16"/>
  <c r="Y27" i="16"/>
  <c r="Y118" i="16"/>
  <c r="Y50" i="16"/>
  <c r="Y34" i="16"/>
  <c r="Y18" i="16"/>
  <c r="Y120" i="16"/>
  <c r="Y41" i="16"/>
  <c r="Y25" i="16"/>
  <c r="Y48" i="16"/>
  <c r="Y32" i="16"/>
  <c r="Y16" i="16"/>
  <c r="Y39" i="16"/>
  <c r="Y23" i="16"/>
  <c r="Y46" i="16"/>
  <c r="Y30" i="16"/>
  <c r="Y14" i="16"/>
  <c r="Y37" i="16"/>
  <c r="Y21" i="16"/>
  <c r="Y115" i="16"/>
  <c r="Y113" i="16"/>
  <c r="Y111" i="16"/>
  <c r="Y109" i="16"/>
  <c r="Y107" i="16"/>
  <c r="Y105" i="16"/>
  <c r="Y103" i="16"/>
  <c r="Y101" i="16"/>
  <c r="Y99" i="16"/>
  <c r="Y97" i="16"/>
  <c r="Y95" i="16"/>
  <c r="Y93" i="16"/>
  <c r="Y91" i="16"/>
  <c r="Y89" i="16"/>
  <c r="Y87" i="16"/>
  <c r="Y85" i="16"/>
  <c r="Y83" i="16"/>
  <c r="Y81" i="16"/>
  <c r="Y79" i="16"/>
  <c r="Y77" i="16"/>
  <c r="Y75" i="16"/>
  <c r="Y73" i="16"/>
  <c r="Y71" i="16"/>
  <c r="Y69" i="16"/>
  <c r="Y67" i="16"/>
  <c r="Y65" i="16"/>
  <c r="Y63" i="16"/>
  <c r="Y61" i="16"/>
  <c r="Y59" i="16"/>
  <c r="Y57" i="16"/>
  <c r="Y55" i="16"/>
  <c r="Y53" i="16"/>
  <c r="Y44" i="16"/>
  <c r="Y28" i="16"/>
  <c r="Y117" i="16"/>
  <c r="Y51" i="16"/>
  <c r="Y119" i="16"/>
  <c r="Y42" i="16"/>
  <c r="Y26" i="16"/>
  <c r="Y49" i="16"/>
  <c r="Y33" i="16"/>
  <c r="Y17" i="16"/>
  <c r="Y47" i="16"/>
  <c r="Y31" i="16"/>
  <c r="Y15" i="16"/>
  <c r="Y38" i="16"/>
  <c r="Y22" i="16"/>
  <c r="Y40" i="16"/>
  <c r="Y19" i="16"/>
  <c r="Y24" i="16"/>
  <c r="Y35" i="16"/>
  <c r="Y119" i="18"/>
  <c r="Y117" i="18"/>
  <c r="Y115" i="18"/>
  <c r="Y113" i="18"/>
  <c r="Y111" i="18"/>
  <c r="Y109" i="18"/>
  <c r="Y107" i="18"/>
  <c r="Y105" i="18"/>
  <c r="Y103" i="18"/>
  <c r="Y101" i="18"/>
  <c r="Y99" i="18"/>
  <c r="Y97" i="18"/>
  <c r="Y95" i="18"/>
  <c r="Y93" i="18"/>
  <c r="Y91" i="18"/>
  <c r="Y89" i="18"/>
  <c r="Y87" i="18"/>
  <c r="Y85" i="18"/>
  <c r="Y83" i="18"/>
  <c r="Y81" i="18"/>
  <c r="Y79" i="18"/>
  <c r="Y77" i="18"/>
  <c r="Y75" i="18"/>
  <c r="Y73" i="18"/>
  <c r="Y71" i="18"/>
  <c r="Y69" i="18"/>
  <c r="Y67" i="18"/>
  <c r="Y65" i="18"/>
  <c r="Y63" i="18"/>
  <c r="Y61" i="18"/>
  <c r="Y59" i="18"/>
  <c r="Y57" i="18"/>
  <c r="Y55" i="18"/>
  <c r="Y53" i="18"/>
  <c r="Y44" i="18"/>
  <c r="Y28" i="18"/>
  <c r="Y51" i="18"/>
  <c r="Y35" i="18"/>
  <c r="Y19" i="18"/>
  <c r="Y40" i="18"/>
  <c r="Y24" i="18"/>
  <c r="Y47" i="18"/>
  <c r="Y31" i="18"/>
  <c r="Y15" i="18"/>
  <c r="Y120" i="18"/>
  <c r="Y118" i="18"/>
  <c r="Y116" i="18"/>
  <c r="Y114" i="18"/>
  <c r="Y112" i="18"/>
  <c r="Y110" i="18"/>
  <c r="Y108" i="18"/>
  <c r="Y106" i="18"/>
  <c r="Y104" i="18"/>
  <c r="Y102" i="18"/>
  <c r="Y100" i="18"/>
  <c r="Y98" i="18"/>
  <c r="Y96" i="18"/>
  <c r="Y94" i="18"/>
  <c r="Y92" i="18"/>
  <c r="Y90" i="18"/>
  <c r="Y88" i="18"/>
  <c r="Y86" i="18"/>
  <c r="Y84" i="18"/>
  <c r="Y82" i="18"/>
  <c r="Y80" i="18"/>
  <c r="Y78" i="18"/>
  <c r="Y76" i="18"/>
  <c r="Y74" i="18"/>
  <c r="Y72" i="18"/>
  <c r="Y70" i="18"/>
  <c r="Y68" i="18"/>
  <c r="Y66" i="18"/>
  <c r="Y64" i="18"/>
  <c r="Y62" i="18"/>
  <c r="Y60" i="18"/>
  <c r="Y58" i="18"/>
  <c r="Y56" i="18"/>
  <c r="Y54" i="18"/>
  <c r="Y52" i="18"/>
  <c r="Y36" i="18"/>
  <c r="Y20" i="18"/>
  <c r="Y43" i="18"/>
  <c r="Y27" i="18"/>
  <c r="Y41" i="18"/>
  <c r="Y25" i="18"/>
  <c r="Y39" i="18"/>
  <c r="Y46" i="18"/>
  <c r="Y30" i="18"/>
  <c r="Y14" i="18"/>
  <c r="Y37" i="18"/>
  <c r="Y21" i="18"/>
  <c r="Y45" i="18"/>
  <c r="Y34" i="18"/>
  <c r="Y29" i="18"/>
  <c r="Y50" i="18"/>
  <c r="Y42" i="18"/>
  <c r="Y26" i="18"/>
  <c r="Y16" i="18"/>
  <c r="Y18" i="18"/>
  <c r="Y23" i="18"/>
  <c r="Y33" i="18"/>
  <c r="Y49" i="18"/>
  <c r="Y38" i="18"/>
  <c r="Y22" i="18"/>
  <c r="Y48" i="18"/>
  <c r="Y32" i="18"/>
  <c r="Y17" i="18"/>
  <c r="Y40" i="21"/>
  <c r="Y24" i="21"/>
  <c r="Y47" i="21"/>
  <c r="Y31" i="21"/>
  <c r="Y15" i="21"/>
  <c r="Y38" i="21"/>
  <c r="Y22" i="21"/>
  <c r="Y45" i="21"/>
  <c r="Y29" i="21"/>
  <c r="Y120" i="21"/>
  <c r="Y118" i="21"/>
  <c r="Y116" i="21"/>
  <c r="Y114" i="21"/>
  <c r="Y112" i="21"/>
  <c r="Y110" i="21"/>
  <c r="Y108" i="21"/>
  <c r="Y106" i="21"/>
  <c r="Y104" i="21"/>
  <c r="Y102" i="21"/>
  <c r="Y100" i="21"/>
  <c r="Y98" i="21"/>
  <c r="Y96" i="21"/>
  <c r="Y94" i="21"/>
  <c r="Y92" i="21"/>
  <c r="Y90" i="21"/>
  <c r="Y88" i="21"/>
  <c r="Y86" i="21"/>
  <c r="Y84" i="21"/>
  <c r="Y82" i="21"/>
  <c r="Y80" i="21"/>
  <c r="Y78" i="21"/>
  <c r="Y76" i="21"/>
  <c r="Y74" i="21"/>
  <c r="Y72" i="21"/>
  <c r="Y70" i="21"/>
  <c r="Y68" i="21"/>
  <c r="Y66" i="21"/>
  <c r="Y64" i="21"/>
  <c r="Y62" i="21"/>
  <c r="Y60" i="21"/>
  <c r="Y58" i="21"/>
  <c r="Y56" i="21"/>
  <c r="Y54" i="21"/>
  <c r="Y52" i="21"/>
  <c r="Y36" i="21"/>
  <c r="Y20" i="21"/>
  <c r="Y43" i="21"/>
  <c r="Y27" i="21"/>
  <c r="Y50" i="21"/>
  <c r="Y34" i="21"/>
  <c r="Y18" i="21"/>
  <c r="Y41" i="21"/>
  <c r="Y25" i="21"/>
  <c r="Y48" i="21"/>
  <c r="Y32" i="21"/>
  <c r="Y16" i="21"/>
  <c r="Y39" i="21"/>
  <c r="Y23" i="21"/>
  <c r="Y46" i="21"/>
  <c r="Y30" i="21"/>
  <c r="Y14" i="21"/>
  <c r="Y37" i="21"/>
  <c r="Y21" i="21"/>
  <c r="Y119" i="21"/>
  <c r="Y117" i="21"/>
  <c r="Y115" i="21"/>
  <c r="Y113" i="21"/>
  <c r="Y111" i="21"/>
  <c r="Y109" i="21"/>
  <c r="Y107" i="21"/>
  <c r="Y105" i="21"/>
  <c r="Y103" i="21"/>
  <c r="Y101" i="21"/>
  <c r="Y99" i="21"/>
  <c r="Y97" i="21"/>
  <c r="Y95" i="21"/>
  <c r="Y93" i="21"/>
  <c r="Y91" i="21"/>
  <c r="Y89" i="21"/>
  <c r="Y87" i="21"/>
  <c r="Y85" i="21"/>
  <c r="Y83" i="21"/>
  <c r="Y81" i="21"/>
  <c r="Y79" i="21"/>
  <c r="Y77" i="21"/>
  <c r="Y75" i="21"/>
  <c r="Y73" i="21"/>
  <c r="Y71" i="21"/>
  <c r="Y69" i="21"/>
  <c r="Y67" i="21"/>
  <c r="Y65" i="21"/>
  <c r="Y63" i="21"/>
  <c r="Y61" i="21"/>
  <c r="Y59" i="21"/>
  <c r="Y57" i="21"/>
  <c r="Y55" i="21"/>
  <c r="Y53" i="21"/>
  <c r="Y44" i="21"/>
  <c r="Y28" i="21"/>
  <c r="Y51" i="21"/>
  <c r="Y35" i="21"/>
  <c r="Y19" i="21"/>
  <c r="Y42" i="21"/>
  <c r="Y26" i="21"/>
  <c r="Y49" i="21"/>
  <c r="Y33" i="21"/>
  <c r="Y17" i="21"/>
  <c r="Y48" i="5"/>
  <c r="Y32" i="5"/>
  <c r="Y16" i="5"/>
  <c r="Y21" i="5"/>
  <c r="Y39" i="5"/>
  <c r="Y23" i="5"/>
  <c r="Y30" i="5"/>
  <c r="Y37" i="5"/>
  <c r="Y17" i="5"/>
  <c r="Y46" i="5"/>
  <c r="Y26" i="5"/>
  <c r="Y34" i="5"/>
  <c r="Y119" i="5"/>
  <c r="Y117" i="5"/>
  <c r="Y115" i="5"/>
  <c r="Y113" i="5"/>
  <c r="Y111" i="5"/>
  <c r="Y109" i="5"/>
  <c r="Y107" i="5"/>
  <c r="Y105" i="5"/>
  <c r="Y103" i="5"/>
  <c r="Y101" i="5"/>
  <c r="Y99" i="5"/>
  <c r="Y97" i="5"/>
  <c r="Y95" i="5"/>
  <c r="Y93" i="5"/>
  <c r="Y91" i="5"/>
  <c r="Y89" i="5"/>
  <c r="Y87" i="5"/>
  <c r="Y85" i="5"/>
  <c r="Y83" i="5"/>
  <c r="Y81" i="5"/>
  <c r="Y79" i="5"/>
  <c r="Y77" i="5"/>
  <c r="Y75" i="5"/>
  <c r="Y73" i="5"/>
  <c r="Y71" i="5"/>
  <c r="Y69" i="5"/>
  <c r="Y67" i="5"/>
  <c r="Y65" i="5"/>
  <c r="Y63" i="5"/>
  <c r="Y61" i="5"/>
  <c r="Y59" i="5"/>
  <c r="Y57" i="5"/>
  <c r="Y55" i="5"/>
  <c r="Y53" i="5"/>
  <c r="Y44" i="5"/>
  <c r="Y28" i="5"/>
  <c r="Y35" i="5"/>
  <c r="Y19" i="5"/>
  <c r="Y33" i="5"/>
  <c r="Y51" i="5"/>
  <c r="Y49" i="5"/>
  <c r="Y42" i="5"/>
  <c r="Y40" i="5"/>
  <c r="Y24" i="5"/>
  <c r="Y41" i="5"/>
  <c r="Y25" i="5"/>
  <c r="Y47" i="5"/>
  <c r="Y31" i="5"/>
  <c r="Y15" i="5"/>
  <c r="Y22" i="5"/>
  <c r="Y38" i="5"/>
  <c r="Y45" i="5"/>
  <c r="Y29" i="5"/>
  <c r="Y120" i="5"/>
  <c r="Y118" i="5"/>
  <c r="Y116" i="5"/>
  <c r="Y114" i="5"/>
  <c r="Y112" i="5"/>
  <c r="Y110" i="5"/>
  <c r="Y108" i="5"/>
  <c r="Y106" i="5"/>
  <c r="Y104" i="5"/>
  <c r="Y102" i="5"/>
  <c r="Y100" i="5"/>
  <c r="Y98" i="5"/>
  <c r="Y96" i="5"/>
  <c r="Y94" i="5"/>
  <c r="Y92" i="5"/>
  <c r="Y90" i="5"/>
  <c r="Y88" i="5"/>
  <c r="Y86" i="5"/>
  <c r="Y84" i="5"/>
  <c r="Y82" i="5"/>
  <c r="Y80" i="5"/>
  <c r="Y78" i="5"/>
  <c r="Y76" i="5"/>
  <c r="Y74" i="5"/>
  <c r="Y72" i="5"/>
  <c r="Y70" i="5"/>
  <c r="Y68" i="5"/>
  <c r="Y66" i="5"/>
  <c r="Y64" i="5"/>
  <c r="Y62" i="5"/>
  <c r="Y60" i="5"/>
  <c r="Y58" i="5"/>
  <c r="Y56" i="5"/>
  <c r="Y54" i="5"/>
  <c r="Y52" i="5"/>
  <c r="Y36" i="5"/>
  <c r="Y20" i="5"/>
  <c r="Y27" i="5"/>
  <c r="Y43" i="5"/>
  <c r="Y50" i="5"/>
  <c r="Y18" i="5"/>
  <c r="R4" i="17"/>
  <c r="P52" i="5" l="1"/>
  <c r="P54" i="18"/>
  <c r="R4" i="18" s="1"/>
  <c r="T4" i="18"/>
  <c r="P54" i="15"/>
  <c r="T4" i="15"/>
  <c r="R4" i="15"/>
  <c r="P54" i="14"/>
  <c r="R4" i="14"/>
  <c r="T4" i="14"/>
  <c r="P54" i="11"/>
  <c r="R4" i="11" s="1"/>
  <c r="T4" i="11"/>
  <c r="P54" i="9"/>
  <c r="T4" i="9" s="1"/>
  <c r="R4" i="9"/>
  <c r="P53" i="5" l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51" i="1"/>
  <c r="AE51" i="1" s="1"/>
  <c r="AF52" i="1"/>
  <c r="AE52" i="1" s="1"/>
  <c r="AF53" i="1"/>
  <c r="AE53" i="1" s="1"/>
  <c r="AF54" i="1"/>
  <c r="AE54" i="1" s="1"/>
  <c r="AF55" i="1"/>
  <c r="AE55" i="1" s="1"/>
  <c r="AF56" i="1"/>
  <c r="AE56" i="1" s="1"/>
  <c r="AF57" i="1"/>
  <c r="AE57" i="1" s="1"/>
  <c r="AF58" i="1"/>
  <c r="AE58" i="1" s="1"/>
  <c r="AF59" i="1"/>
  <c r="AE59" i="1" s="1"/>
  <c r="AF60" i="1"/>
  <c r="AE60" i="1" s="1"/>
  <c r="AF61" i="1"/>
  <c r="AE61" i="1" s="1"/>
  <c r="AF62" i="1"/>
  <c r="AE62" i="1" s="1"/>
  <c r="AF63" i="1"/>
  <c r="AF64" i="1"/>
  <c r="AF65" i="1"/>
  <c r="AF66" i="1"/>
  <c r="AF67" i="1"/>
  <c r="AF68" i="1"/>
  <c r="AF69" i="1"/>
  <c r="AF70" i="1"/>
  <c r="AF71" i="1"/>
  <c r="AF72" i="1"/>
  <c r="AF15" i="1"/>
  <c r="AF16" i="1"/>
  <c r="AE16" i="1" s="1"/>
  <c r="AF17" i="1"/>
  <c r="AE17" i="1" s="1"/>
  <c r="AF18" i="1"/>
  <c r="AE18" i="1" s="1"/>
  <c r="AF19" i="1"/>
  <c r="AE19" i="1" s="1"/>
  <c r="AF20" i="1"/>
  <c r="AE20" i="1" s="1"/>
  <c r="AF21" i="1"/>
  <c r="AE21" i="1" s="1"/>
  <c r="AF22" i="1"/>
  <c r="AE22" i="1" s="1"/>
  <c r="AF23" i="1"/>
  <c r="AE23" i="1" s="1"/>
  <c r="AF24" i="1"/>
  <c r="AE24" i="1" s="1"/>
  <c r="AF25" i="1"/>
  <c r="AE25" i="1" s="1"/>
  <c r="AF26" i="1"/>
  <c r="AE26" i="1" s="1"/>
  <c r="AF27" i="1"/>
  <c r="AE27" i="1" s="1"/>
  <c r="AF28" i="1"/>
  <c r="AE28" i="1" s="1"/>
  <c r="AF29" i="1"/>
  <c r="AE29" i="1" s="1"/>
  <c r="AF30" i="1"/>
  <c r="AE30" i="1" s="1"/>
  <c r="AF31" i="1"/>
  <c r="AF32" i="1"/>
  <c r="AE32" i="1" s="1"/>
  <c r="AF33" i="1"/>
  <c r="AE33" i="1" s="1"/>
  <c r="AF34" i="1"/>
  <c r="AE34" i="1" s="1"/>
  <c r="AF35" i="1"/>
  <c r="AE35" i="1" s="1"/>
  <c r="AF36" i="1"/>
  <c r="AE36" i="1" s="1"/>
  <c r="AF37" i="1"/>
  <c r="AE37" i="1" s="1"/>
  <c r="AF38" i="1"/>
  <c r="AE38" i="1" s="1"/>
  <c r="AF39" i="1"/>
  <c r="AE39" i="1" s="1"/>
  <c r="AF40" i="1"/>
  <c r="AE40" i="1" s="1"/>
  <c r="AF41" i="1"/>
  <c r="AE41" i="1" s="1"/>
  <c r="AF42" i="1"/>
  <c r="AE42" i="1" s="1"/>
  <c r="AF43" i="1"/>
  <c r="AE43" i="1" s="1"/>
  <c r="AF44" i="1"/>
  <c r="AE44" i="1" s="1"/>
  <c r="AF45" i="1"/>
  <c r="AE45" i="1" s="1"/>
  <c r="AF46" i="1"/>
  <c r="AE46" i="1" s="1"/>
  <c r="AF47" i="1"/>
  <c r="AE47" i="1" s="1"/>
  <c r="AF48" i="1"/>
  <c r="AE48" i="1" s="1"/>
  <c r="AF49" i="1"/>
  <c r="AE49" i="1" s="1"/>
  <c r="AF50" i="1"/>
  <c r="AE50" i="1" s="1"/>
  <c r="AF14" i="1"/>
  <c r="AE14" i="1" s="1"/>
  <c r="AE15" i="1"/>
  <c r="AE31" i="1"/>
  <c r="Z14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X19" i="1"/>
  <c r="W19" i="1" s="1"/>
  <c r="X20" i="1"/>
  <c r="W20" i="1" s="1"/>
  <c r="X21" i="1"/>
  <c r="W21" i="1" s="1"/>
  <c r="X22" i="1"/>
  <c r="W22" i="1" s="1"/>
  <c r="X23" i="1"/>
  <c r="W23" i="1" s="1"/>
  <c r="X24" i="1"/>
  <c r="W24" i="1" s="1"/>
  <c r="X25" i="1"/>
  <c r="W25" i="1" s="1"/>
  <c r="X26" i="1"/>
  <c r="W26" i="1" s="1"/>
  <c r="X27" i="1"/>
  <c r="W27" i="1" s="1"/>
  <c r="X28" i="1"/>
  <c r="W28" i="1" s="1"/>
  <c r="X29" i="1"/>
  <c r="W29" i="1" s="1"/>
  <c r="X30" i="1"/>
  <c r="W30" i="1" s="1"/>
  <c r="X31" i="1"/>
  <c r="W31" i="1" s="1"/>
  <c r="X32" i="1"/>
  <c r="W32" i="1" s="1"/>
  <c r="X33" i="1"/>
  <c r="W33" i="1" s="1"/>
  <c r="X34" i="1"/>
  <c r="W34" i="1" s="1"/>
  <c r="X35" i="1"/>
  <c r="W35" i="1" s="1"/>
  <c r="X36" i="1"/>
  <c r="W36" i="1" s="1"/>
  <c r="X37" i="1"/>
  <c r="W37" i="1" s="1"/>
  <c r="X38" i="1"/>
  <c r="W38" i="1" s="1"/>
  <c r="X39" i="1"/>
  <c r="W39" i="1" s="1"/>
  <c r="X40" i="1"/>
  <c r="W40" i="1" s="1"/>
  <c r="X41" i="1"/>
  <c r="W41" i="1" s="1"/>
  <c r="X42" i="1"/>
  <c r="W42" i="1" s="1"/>
  <c r="X43" i="1"/>
  <c r="W43" i="1" s="1"/>
  <c r="X44" i="1"/>
  <c r="W44" i="1" s="1"/>
  <c r="X45" i="1"/>
  <c r="W45" i="1" s="1"/>
  <c r="X46" i="1"/>
  <c r="W46" i="1" s="1"/>
  <c r="X47" i="1"/>
  <c r="W47" i="1" s="1"/>
  <c r="X48" i="1"/>
  <c r="W48" i="1" s="1"/>
  <c r="X49" i="1"/>
  <c r="W49" i="1" s="1"/>
  <c r="X50" i="1"/>
  <c r="W50" i="1" s="1"/>
  <c r="X51" i="1"/>
  <c r="W51" i="1" s="1"/>
  <c r="X52" i="1"/>
  <c r="W52" i="1" s="1"/>
  <c r="X53" i="1"/>
  <c r="W53" i="1" s="1"/>
  <c r="X54" i="1"/>
  <c r="W54" i="1" s="1"/>
  <c r="X55" i="1"/>
  <c r="W55" i="1" s="1"/>
  <c r="X56" i="1"/>
  <c r="W56" i="1" s="1"/>
  <c r="X57" i="1"/>
  <c r="W57" i="1" s="1"/>
  <c r="X58" i="1"/>
  <c r="W58" i="1" s="1"/>
  <c r="X59" i="1"/>
  <c r="W59" i="1" s="1"/>
  <c r="X60" i="1"/>
  <c r="W60" i="1" s="1"/>
  <c r="X61" i="1"/>
  <c r="W61" i="1" s="1"/>
  <c r="X62" i="1"/>
  <c r="W62" i="1" s="1"/>
  <c r="X63" i="1"/>
  <c r="W63" i="1" s="1"/>
  <c r="X64" i="1"/>
  <c r="W64" i="1" s="1"/>
  <c r="X65" i="1"/>
  <c r="W65" i="1" s="1"/>
  <c r="X66" i="1"/>
  <c r="W66" i="1" s="1"/>
  <c r="X67" i="1"/>
  <c r="W67" i="1" s="1"/>
  <c r="X68" i="1"/>
  <c r="W68" i="1" s="1"/>
  <c r="X69" i="1"/>
  <c r="W69" i="1" s="1"/>
  <c r="X70" i="1"/>
  <c r="W70" i="1" s="1"/>
  <c r="X71" i="1"/>
  <c r="W71" i="1" s="1"/>
  <c r="X72" i="1"/>
  <c r="W72" i="1" s="1"/>
  <c r="X73" i="1"/>
  <c r="W73" i="1" s="1"/>
  <c r="X74" i="1"/>
  <c r="W74" i="1" s="1"/>
  <c r="X75" i="1"/>
  <c r="W75" i="1" s="1"/>
  <c r="X76" i="1"/>
  <c r="W76" i="1" s="1"/>
  <c r="X77" i="1"/>
  <c r="W77" i="1" s="1"/>
  <c r="X78" i="1"/>
  <c r="W78" i="1" s="1"/>
  <c r="X79" i="1"/>
  <c r="W79" i="1" s="1"/>
  <c r="X80" i="1"/>
  <c r="W80" i="1" s="1"/>
  <c r="X81" i="1"/>
  <c r="W81" i="1" s="1"/>
  <c r="X82" i="1"/>
  <c r="W82" i="1" s="1"/>
  <c r="X83" i="1"/>
  <c r="W83" i="1" s="1"/>
  <c r="X84" i="1"/>
  <c r="W84" i="1" s="1"/>
  <c r="X85" i="1"/>
  <c r="W85" i="1" s="1"/>
  <c r="X86" i="1"/>
  <c r="W86" i="1" s="1"/>
  <c r="X87" i="1"/>
  <c r="W87" i="1" s="1"/>
  <c r="X88" i="1"/>
  <c r="W88" i="1" s="1"/>
  <c r="X89" i="1"/>
  <c r="W89" i="1" s="1"/>
  <c r="X90" i="1"/>
  <c r="W90" i="1" s="1"/>
  <c r="X91" i="1"/>
  <c r="W91" i="1" s="1"/>
  <c r="X92" i="1"/>
  <c r="W92" i="1" s="1"/>
  <c r="X93" i="1"/>
  <c r="W93" i="1" s="1"/>
  <c r="X94" i="1"/>
  <c r="W94" i="1" s="1"/>
  <c r="X95" i="1"/>
  <c r="W95" i="1" s="1"/>
  <c r="X96" i="1"/>
  <c r="W96" i="1" s="1"/>
  <c r="X97" i="1"/>
  <c r="W97" i="1" s="1"/>
  <c r="X98" i="1"/>
  <c r="W98" i="1" s="1"/>
  <c r="X99" i="1"/>
  <c r="W99" i="1" s="1"/>
  <c r="X100" i="1"/>
  <c r="W100" i="1" s="1"/>
  <c r="X101" i="1"/>
  <c r="W101" i="1" s="1"/>
  <c r="X102" i="1"/>
  <c r="W102" i="1" s="1"/>
  <c r="X103" i="1"/>
  <c r="W103" i="1" s="1"/>
  <c r="X104" i="1"/>
  <c r="W104" i="1" s="1"/>
  <c r="X105" i="1"/>
  <c r="W105" i="1" s="1"/>
  <c r="X106" i="1"/>
  <c r="W106" i="1" s="1"/>
  <c r="X107" i="1"/>
  <c r="W107" i="1" s="1"/>
  <c r="X108" i="1"/>
  <c r="W108" i="1" s="1"/>
  <c r="X109" i="1"/>
  <c r="W109" i="1" s="1"/>
  <c r="X110" i="1"/>
  <c r="W110" i="1" s="1"/>
  <c r="X111" i="1"/>
  <c r="W111" i="1" s="1"/>
  <c r="X112" i="1"/>
  <c r="W112" i="1" s="1"/>
  <c r="X113" i="1"/>
  <c r="W113" i="1" s="1"/>
  <c r="X114" i="1"/>
  <c r="W114" i="1" s="1"/>
  <c r="X115" i="1"/>
  <c r="W115" i="1" s="1"/>
  <c r="X116" i="1"/>
  <c r="W116" i="1" s="1"/>
  <c r="X117" i="1"/>
  <c r="W117" i="1" s="1"/>
  <c r="X118" i="1"/>
  <c r="W118" i="1" s="1"/>
  <c r="X119" i="1"/>
  <c r="W119" i="1" s="1"/>
  <c r="X120" i="1"/>
  <c r="W120" i="1" s="1"/>
  <c r="X15" i="1"/>
  <c r="W15" i="1" s="1"/>
  <c r="X16" i="1"/>
  <c r="W16" i="1" s="1"/>
  <c r="X17" i="1"/>
  <c r="W17" i="1" s="1"/>
  <c r="X18" i="1"/>
  <c r="W18" i="1" s="1"/>
  <c r="X14" i="1"/>
  <c r="W14" i="1" s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5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P54" i="5" l="1"/>
  <c r="R4" i="5" s="1"/>
  <c r="T4" i="5"/>
  <c r="T3" i="1"/>
  <c r="P3" i="1"/>
  <c r="AH120" i="1"/>
  <c r="AH119" i="1"/>
  <c r="AH118" i="1"/>
  <c r="AH117" i="1"/>
  <c r="AH116" i="1"/>
  <c r="AH115" i="1"/>
  <c r="AH114" i="1"/>
  <c r="AH113" i="1"/>
  <c r="AH112" i="1"/>
  <c r="AH111" i="1"/>
  <c r="AH110" i="1"/>
  <c r="AH109" i="1"/>
  <c r="AH108" i="1"/>
  <c r="AH107" i="1"/>
  <c r="AH106" i="1"/>
  <c r="AH105" i="1"/>
  <c r="AH104" i="1"/>
  <c r="AH103" i="1"/>
  <c r="AH102" i="1"/>
  <c r="AH101" i="1"/>
  <c r="AH100" i="1"/>
  <c r="AH99" i="1"/>
  <c r="AH98" i="1"/>
  <c r="AH97" i="1"/>
  <c r="AH96" i="1"/>
  <c r="AH95" i="1"/>
  <c r="AH94" i="1"/>
  <c r="AH93" i="1"/>
  <c r="AH92" i="1"/>
  <c r="AH91" i="1"/>
  <c r="AH90" i="1"/>
  <c r="AH89" i="1"/>
  <c r="AH88" i="1"/>
  <c r="AH87" i="1"/>
  <c r="AH86" i="1"/>
  <c r="AH85" i="1"/>
  <c r="AH84" i="1"/>
  <c r="AH83" i="1"/>
  <c r="AH82" i="1"/>
  <c r="AH81" i="1"/>
  <c r="AH80" i="1"/>
  <c r="AH79" i="1"/>
  <c r="AH78" i="1"/>
  <c r="AH77" i="1"/>
  <c r="AH76" i="1"/>
  <c r="AH75" i="1"/>
  <c r="AH74" i="1"/>
  <c r="AH73" i="1"/>
  <c r="AH72" i="1"/>
  <c r="AH71" i="1"/>
  <c r="AH70" i="1"/>
  <c r="AH69" i="1"/>
  <c r="AH68" i="1"/>
  <c r="AH67" i="1"/>
  <c r="AH66" i="1"/>
  <c r="AH65" i="1"/>
  <c r="AH64" i="1"/>
  <c r="AH63" i="1"/>
  <c r="AH62" i="1"/>
  <c r="AH61" i="1"/>
  <c r="AH60" i="1"/>
  <c r="AH59" i="1"/>
  <c r="AH58" i="1"/>
  <c r="AH57" i="1"/>
  <c r="AH56" i="1"/>
  <c r="AH55" i="1"/>
  <c r="AH54" i="1"/>
  <c r="AH53" i="1"/>
  <c r="AH52" i="1"/>
  <c r="AH51" i="1"/>
  <c r="AH50" i="1"/>
  <c r="AH49" i="1"/>
  <c r="AH48" i="1"/>
  <c r="AH47" i="1"/>
  <c r="AH46" i="1"/>
  <c r="AH45" i="1"/>
  <c r="AH44" i="1"/>
  <c r="AH43" i="1"/>
  <c r="AH42" i="1"/>
  <c r="AH41" i="1"/>
  <c r="AH40" i="1"/>
  <c r="AH39" i="1"/>
  <c r="AH38" i="1"/>
  <c r="AH37" i="1"/>
  <c r="AH36" i="1"/>
  <c r="AH35" i="1"/>
  <c r="AH34" i="1"/>
  <c r="AH33" i="1"/>
  <c r="AH32" i="1"/>
  <c r="AH31" i="1"/>
  <c r="AH30" i="1"/>
  <c r="AH29" i="1"/>
  <c r="AH28" i="1"/>
  <c r="AH27" i="1"/>
  <c r="AH26" i="1"/>
  <c r="AH25" i="1"/>
  <c r="AH24" i="1"/>
  <c r="AH23" i="1"/>
  <c r="AH22" i="1"/>
  <c r="AH21" i="1"/>
  <c r="AH20" i="1"/>
  <c r="AH19" i="1"/>
  <c r="AH18" i="1"/>
  <c r="AH17" i="1"/>
  <c r="AH16" i="1"/>
  <c r="AH15" i="1"/>
  <c r="AH14" i="1"/>
  <c r="AC11" i="1" l="1"/>
  <c r="AB11" i="1" s="1"/>
  <c r="P16" i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P37" i="1" s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P48" i="1" s="1"/>
  <c r="P49" i="1" s="1"/>
  <c r="P50" i="1" s="1"/>
  <c r="P51" i="1" s="1"/>
  <c r="P52" i="1" s="1"/>
  <c r="P53" i="1" s="1"/>
  <c r="P54" i="1" s="1"/>
  <c r="P55" i="1" s="1"/>
  <c r="P56" i="1" s="1"/>
  <c r="P57" i="1" s="1"/>
  <c r="P58" i="1" s="1"/>
  <c r="P59" i="1" s="1"/>
  <c r="P60" i="1" s="1"/>
  <c r="P61" i="1" s="1"/>
  <c r="P62" i="1" s="1"/>
  <c r="P63" i="1" s="1"/>
  <c r="R4" i="1" l="1"/>
  <c r="T4" i="1"/>
  <c r="AF11" i="1" l="1"/>
  <c r="AH11" i="1"/>
  <c r="AE11" i="1"/>
  <c r="AG11" i="1"/>
  <c r="AG51" i="1" l="1"/>
  <c r="AG100" i="1"/>
  <c r="AG115" i="1"/>
  <c r="AG18" i="1"/>
  <c r="AG116" i="1"/>
  <c r="AG19" i="1"/>
  <c r="AG35" i="1"/>
  <c r="AG67" i="1"/>
  <c r="AG83" i="1"/>
  <c r="AG20" i="1"/>
  <c r="AG36" i="1"/>
  <c r="AG52" i="1"/>
  <c r="AG68" i="1"/>
  <c r="AG84" i="1"/>
  <c r="AG21" i="1"/>
  <c r="AG37" i="1"/>
  <c r="AG53" i="1"/>
  <c r="AG69" i="1"/>
  <c r="AG85" i="1"/>
  <c r="AG101" i="1"/>
  <c r="AG117" i="1"/>
  <c r="AG22" i="1"/>
  <c r="AG38" i="1"/>
  <c r="AG54" i="1"/>
  <c r="AG70" i="1"/>
  <c r="AG86" i="1"/>
  <c r="AG102" i="1"/>
  <c r="AG118" i="1"/>
  <c r="AG23" i="1"/>
  <c r="AG39" i="1"/>
  <c r="AG55" i="1"/>
  <c r="AG71" i="1"/>
  <c r="AG87" i="1"/>
  <c r="AG103" i="1"/>
  <c r="AG119" i="1"/>
  <c r="AG24" i="1"/>
  <c r="AG40" i="1"/>
  <c r="AG56" i="1"/>
  <c r="AG72" i="1"/>
  <c r="AG88" i="1"/>
  <c r="AG104" i="1"/>
  <c r="AG120" i="1"/>
  <c r="AG25" i="1"/>
  <c r="AG41" i="1"/>
  <c r="AG57" i="1"/>
  <c r="AG73" i="1"/>
  <c r="AG89" i="1"/>
  <c r="AG105" i="1"/>
  <c r="AG26" i="1"/>
  <c r="AG42" i="1"/>
  <c r="AG58" i="1"/>
  <c r="AG74" i="1"/>
  <c r="AG90" i="1"/>
  <c r="AG106" i="1"/>
  <c r="AG27" i="1"/>
  <c r="AG59" i="1"/>
  <c r="AG75" i="1"/>
  <c r="AG91" i="1"/>
  <c r="AG107" i="1"/>
  <c r="AG44" i="1"/>
  <c r="AG92" i="1"/>
  <c r="AG76" i="1"/>
  <c r="AG60" i="1"/>
  <c r="AG43" i="1"/>
  <c r="AG28" i="1"/>
  <c r="AG108" i="1"/>
  <c r="AG29" i="1"/>
  <c r="AG45" i="1"/>
  <c r="AG61" i="1"/>
  <c r="AG77" i="1"/>
  <c r="AG93" i="1"/>
  <c r="AG109" i="1"/>
  <c r="AG30" i="1"/>
  <c r="AG46" i="1"/>
  <c r="AG62" i="1"/>
  <c r="AG78" i="1"/>
  <c r="AG94" i="1"/>
  <c r="AG110" i="1"/>
  <c r="AG15" i="1"/>
  <c r="AG31" i="1"/>
  <c r="AG47" i="1"/>
  <c r="AG63" i="1"/>
  <c r="AG79" i="1"/>
  <c r="AG95" i="1"/>
  <c r="AG111" i="1"/>
  <c r="AG16" i="1"/>
  <c r="AG32" i="1"/>
  <c r="AG48" i="1"/>
  <c r="AG64" i="1"/>
  <c r="AG80" i="1"/>
  <c r="AG96" i="1"/>
  <c r="AG112" i="1"/>
  <c r="AG17" i="1"/>
  <c r="AG33" i="1"/>
  <c r="AG49" i="1"/>
  <c r="AG65" i="1"/>
  <c r="AG81" i="1"/>
  <c r="AG97" i="1"/>
  <c r="AG113" i="1"/>
  <c r="AG34" i="1"/>
  <c r="AG50" i="1"/>
  <c r="AG66" i="1"/>
  <c r="AG82" i="1"/>
  <c r="AG98" i="1"/>
  <c r="AG114" i="1"/>
  <c r="AG99" i="1"/>
  <c r="AG14" i="1"/>
  <c r="U11" i="1" l="1"/>
  <c r="X11" i="1" s="1"/>
  <c r="T11" i="1" l="1"/>
  <c r="Z11" i="1"/>
  <c r="Q11" i="1"/>
  <c r="W11" i="1"/>
  <c r="Y11" i="1"/>
  <c r="R11" i="1"/>
  <c r="Y15" i="1" l="1"/>
  <c r="Y63" i="1"/>
  <c r="Y111" i="1"/>
  <c r="Y16" i="1"/>
  <c r="Y32" i="1"/>
  <c r="Y48" i="1"/>
  <c r="Y64" i="1"/>
  <c r="Y80" i="1"/>
  <c r="Y96" i="1"/>
  <c r="Y112" i="1"/>
  <c r="Y17" i="1"/>
  <c r="Y33" i="1"/>
  <c r="Y49" i="1"/>
  <c r="Y65" i="1"/>
  <c r="Y81" i="1"/>
  <c r="Y97" i="1"/>
  <c r="Y113" i="1"/>
  <c r="Y18" i="1"/>
  <c r="Y34" i="1"/>
  <c r="Y50" i="1"/>
  <c r="Y66" i="1"/>
  <c r="Y82" i="1"/>
  <c r="Y98" i="1"/>
  <c r="Y114" i="1"/>
  <c r="Y19" i="1"/>
  <c r="Y35" i="1"/>
  <c r="Y51" i="1"/>
  <c r="Y67" i="1"/>
  <c r="Y83" i="1"/>
  <c r="Y99" i="1"/>
  <c r="Y115" i="1"/>
  <c r="Y20" i="1"/>
  <c r="Y36" i="1"/>
  <c r="Y52" i="1"/>
  <c r="Y68" i="1"/>
  <c r="Y84" i="1"/>
  <c r="Y100" i="1"/>
  <c r="Y116" i="1"/>
  <c r="Y21" i="1"/>
  <c r="Y37" i="1"/>
  <c r="Y53" i="1"/>
  <c r="Y69" i="1"/>
  <c r="Y85" i="1"/>
  <c r="Y101" i="1"/>
  <c r="Y117" i="1"/>
  <c r="Y70" i="1"/>
  <c r="Y22" i="1"/>
  <c r="Y38" i="1"/>
  <c r="Y54" i="1"/>
  <c r="Y86" i="1"/>
  <c r="Y102" i="1"/>
  <c r="Y118" i="1"/>
  <c r="Y23" i="1"/>
  <c r="Y39" i="1"/>
  <c r="Y55" i="1"/>
  <c r="Y71" i="1"/>
  <c r="Y87" i="1"/>
  <c r="Y103" i="1"/>
  <c r="Y119" i="1"/>
  <c r="Y24" i="1"/>
  <c r="Y40" i="1"/>
  <c r="Y56" i="1"/>
  <c r="Y72" i="1"/>
  <c r="Y88" i="1"/>
  <c r="Y104" i="1"/>
  <c r="Y120" i="1"/>
  <c r="Y25" i="1"/>
  <c r="Y41" i="1"/>
  <c r="Y57" i="1"/>
  <c r="Y73" i="1"/>
  <c r="Y89" i="1"/>
  <c r="Y105" i="1"/>
  <c r="Y26" i="1"/>
  <c r="Y42" i="1"/>
  <c r="Y58" i="1"/>
  <c r="Y74" i="1"/>
  <c r="Y90" i="1"/>
  <c r="Y106" i="1"/>
  <c r="Y27" i="1"/>
  <c r="Y43" i="1"/>
  <c r="Y59" i="1"/>
  <c r="Y75" i="1"/>
  <c r="Y91" i="1"/>
  <c r="Y107" i="1"/>
  <c r="Y45" i="1"/>
  <c r="Y61" i="1"/>
  <c r="Y93" i="1"/>
  <c r="Y30" i="1"/>
  <c r="Y62" i="1"/>
  <c r="Y94" i="1"/>
  <c r="Y31" i="1"/>
  <c r="Y95" i="1"/>
  <c r="Y28" i="1"/>
  <c r="Y44" i="1"/>
  <c r="Y60" i="1"/>
  <c r="Y76" i="1"/>
  <c r="Y92" i="1"/>
  <c r="Y108" i="1"/>
  <c r="Y29" i="1"/>
  <c r="Y77" i="1"/>
  <c r="Y109" i="1"/>
  <c r="Y46" i="1"/>
  <c r="Y78" i="1"/>
  <c r="Y110" i="1"/>
  <c r="Y47" i="1"/>
  <c r="Y79" i="1"/>
  <c r="Y14" i="1"/>
</calcChain>
</file>

<file path=xl/sharedStrings.xml><?xml version="1.0" encoding="utf-8"?>
<sst xmlns="http://schemas.openxmlformats.org/spreadsheetml/2006/main" count="1944" uniqueCount="114">
  <si>
    <t>Sheet index:</t>
  </si>
  <si>
    <t>Abbr.</t>
  </si>
  <si>
    <t>Methods</t>
  </si>
  <si>
    <t>TECAN QC concentrations</t>
  </si>
  <si>
    <t>TECAN calibrants</t>
  </si>
  <si>
    <t>11-deoxycorticosterone</t>
  </si>
  <si>
    <t>DOC</t>
  </si>
  <si>
    <t>R1</t>
  </si>
  <si>
    <t>11-deoxycortisol</t>
  </si>
  <si>
    <t>S</t>
  </si>
  <si>
    <r>
      <t>17</t>
    </r>
    <r>
      <rPr>
        <b/>
        <u/>
        <sz val="14"/>
        <color theme="10"/>
        <rFont val="Calibri"/>
        <family val="2"/>
      </rPr>
      <t>α</t>
    </r>
    <r>
      <rPr>
        <b/>
        <u/>
        <sz val="14"/>
        <color theme="10"/>
        <rFont val="Calibri"/>
        <family val="2"/>
        <scheme val="minor"/>
      </rPr>
      <t>-Hydroxyprogesterone</t>
    </r>
  </si>
  <si>
    <t>17P4</t>
  </si>
  <si>
    <t>21-Deoxycortisol</t>
  </si>
  <si>
    <t>21DF</t>
  </si>
  <si>
    <t>Aldosterone</t>
  </si>
  <si>
    <t>A</t>
  </si>
  <si>
    <t>Androstenedione</t>
  </si>
  <si>
    <t>A4</t>
  </si>
  <si>
    <t>Corticosterone</t>
  </si>
  <si>
    <t>B</t>
  </si>
  <si>
    <t>Cortisol</t>
  </si>
  <si>
    <t>F</t>
  </si>
  <si>
    <t>Cortisone</t>
  </si>
  <si>
    <t>E</t>
  </si>
  <si>
    <t>Dexamethasone</t>
  </si>
  <si>
    <t>DXT</t>
  </si>
  <si>
    <t>Dehydroepiandrosterone</t>
  </si>
  <si>
    <t>DHEA</t>
  </si>
  <si>
    <t>Dehydroepiandrosterone sulfate</t>
  </si>
  <si>
    <t>DHEAS</t>
  </si>
  <si>
    <t>5α-Dihydrotestosterone</t>
  </si>
  <si>
    <t>DHT</t>
  </si>
  <si>
    <t>Progesterone</t>
  </si>
  <si>
    <t>P4</t>
  </si>
  <si>
    <t>Testosterone</t>
  </si>
  <si>
    <t>T</t>
  </si>
  <si>
    <r>
      <t>17</t>
    </r>
    <r>
      <rPr>
        <b/>
        <u/>
        <sz val="14"/>
        <color theme="10"/>
        <rFont val="Calibri"/>
        <family val="2"/>
      </rPr>
      <t>α</t>
    </r>
    <r>
      <rPr>
        <b/>
        <u/>
        <sz val="14"/>
        <color theme="10"/>
        <rFont val="Calibri"/>
        <family val="2"/>
        <scheme val="minor"/>
      </rPr>
      <t>-Hydroxypregnenolone</t>
    </r>
  </si>
  <si>
    <t>17P5</t>
  </si>
  <si>
    <t>R2</t>
  </si>
  <si>
    <t>Estradiol</t>
  </si>
  <si>
    <t>E2</t>
  </si>
  <si>
    <t>Estrone</t>
  </si>
  <si>
    <t>E1</t>
  </si>
  <si>
    <t># BATCH</t>
  </si>
  <si>
    <t>(Use Batch filter to hide older batches)</t>
  </si>
  <si>
    <t>[nmol/L]</t>
  </si>
  <si>
    <t>ng/mL</t>
  </si>
  <si>
    <t>Exp. Date</t>
  </si>
  <si>
    <r>
      <t xml:space="preserve">Fill out conc. with every new QC batch purchased and </t>
    </r>
    <r>
      <rPr>
        <b/>
        <sz val="11"/>
        <color theme="1"/>
        <rFont val="Calibri"/>
        <family val="2"/>
      </rPr>
      <t xml:space="preserve">update the relevant columns </t>
    </r>
    <r>
      <rPr>
        <sz val="11"/>
        <color theme="1"/>
        <rFont val="Calibri"/>
        <family val="2"/>
      </rPr>
      <t>(</t>
    </r>
    <r>
      <rPr>
        <i/>
        <sz val="11"/>
        <color theme="1"/>
        <rFont val="Calibri"/>
        <family val="2"/>
      </rPr>
      <t>R-T, AJ-AL)</t>
    </r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in every sheet</t>
    </r>
    <r>
      <rPr>
        <sz val="11"/>
        <color theme="1"/>
        <rFont val="Calibri"/>
        <family val="2"/>
      </rPr>
      <t xml:space="preserve"> !</t>
    </r>
  </si>
  <si>
    <r>
      <rPr>
        <b/>
        <sz val="14"/>
        <rFont val="Calibri"/>
        <family val="2"/>
      </rPr>
      <t xml:space="preserve">Mw </t>
    </r>
    <r>
      <rPr>
        <sz val="10"/>
        <rFont val="Calibri"/>
        <family val="2"/>
      </rPr>
      <t>[g/mol]</t>
    </r>
  </si>
  <si>
    <t>Cal-0</t>
  </si>
  <si>
    <t>C</t>
  </si>
  <si>
    <t>D</t>
  </si>
  <si>
    <t>ISTD</t>
  </si>
  <si>
    <t>Unit</t>
  </si>
  <si>
    <t>MST116</t>
  </si>
  <si>
    <t>11-Deoxycorticosterone</t>
  </si>
  <si>
    <t>11-Deoxycortisol</t>
  </si>
  <si>
    <t>17α-Hydroxyprogesterone</t>
  </si>
  <si>
    <t>Dehydroepiandrosterone (DHEA)</t>
  </si>
  <si>
    <t>Dehydroepiandrosterone sulfate (DHEAS)</t>
  </si>
  <si>
    <t>Dihydrotestosterone (DHT)</t>
  </si>
  <si>
    <t>17α-Hydroxypregnenolone</t>
  </si>
  <si>
    <t>17β-Estradiol</t>
  </si>
  <si>
    <t>HIGH QC</t>
  </si>
  <si>
    <t>LOW QC</t>
  </si>
  <si>
    <t>Lower limit (Tecan LCL)</t>
  </si>
  <si>
    <r>
      <rPr>
        <b/>
        <sz val="10"/>
        <color rgb="FF000000"/>
        <rFont val="Century Gothic"/>
        <family val="2"/>
      </rPr>
      <t>Target Value</t>
    </r>
    <r>
      <rPr>
        <sz val="10"/>
        <color rgb="FF000000"/>
        <rFont val="Century Gothic"/>
        <family val="2"/>
      </rPr>
      <t xml:space="preserve"> (Tecan Conc.)</t>
    </r>
  </si>
  <si>
    <r>
      <t xml:space="preserve">Upper limit </t>
    </r>
    <r>
      <rPr>
        <sz val="10"/>
        <color theme="1"/>
        <rFont val="Century Gothic"/>
        <family val="2"/>
      </rPr>
      <t>(Tecan HCL)</t>
    </r>
  </si>
  <si>
    <r>
      <t xml:space="preserve">Lower limit </t>
    </r>
    <r>
      <rPr>
        <sz val="10"/>
        <color theme="1"/>
        <rFont val="Century Gothic"/>
        <family val="2"/>
      </rPr>
      <t>(Tecan LCL)</t>
    </r>
  </si>
  <si>
    <r>
      <rPr>
        <b/>
        <sz val="10"/>
        <color rgb="FF000000"/>
        <rFont val="Century Gothic"/>
        <family val="2"/>
      </rPr>
      <t xml:space="preserve">Target Value </t>
    </r>
    <r>
      <rPr>
        <sz val="10"/>
        <color rgb="FF000000"/>
        <rFont val="Century Gothic"/>
        <family val="2"/>
      </rPr>
      <t>(Tecan Conc.)</t>
    </r>
  </si>
  <si>
    <t>MST114</t>
  </si>
  <si>
    <t>MST115</t>
  </si>
  <si>
    <t>MSCT114</t>
  </si>
  <si>
    <t>PRODUCT QUALITY CONTROL CHART</t>
  </si>
  <si>
    <t>START DATE</t>
  </si>
  <si>
    <t>END DATE</t>
  </si>
  <si>
    <t>EQUIPMENT NAME</t>
  </si>
  <si>
    <t>EQUIPMENT ID</t>
  </si>
  <si>
    <t>Agilent LC-QQQ</t>
  </si>
  <si>
    <t>6495A-02</t>
  </si>
  <si>
    <t>METHOD</t>
  </si>
  <si>
    <t>DATE OF REPORT</t>
  </si>
  <si>
    <t>Steroid panel</t>
  </si>
  <si>
    <t>Enter data in the first 7 columns (white) cells. Averages will automatically calculate. (The first row must contain a data)</t>
  </si>
  <si>
    <t>HQC</t>
  </si>
  <si>
    <t>LQC</t>
  </si>
  <si>
    <t>Accuracy UCL</t>
  </si>
  <si>
    <t>Accuracy LCL</t>
  </si>
  <si>
    <t>HQC %CV</t>
  </si>
  <si>
    <t>QC mean</t>
  </si>
  <si>
    <t>-3SD LCL</t>
  </si>
  <si>
    <t>-2SD LCL</t>
  </si>
  <si>
    <t>+2SD UCL</t>
  </si>
  <si>
    <t>+3SD UCL</t>
  </si>
  <si>
    <t>LQC %CV</t>
  </si>
  <si>
    <t>Run</t>
  </si>
  <si>
    <t>ENTERED    by</t>
  </si>
  <si>
    <t>DATE</t>
  </si>
  <si>
    <t>Tecan Conc.</t>
  </si>
  <si>
    <t>Result</t>
  </si>
  <si>
    <t>Outlier filtered</t>
  </si>
  <si>
    <t>z-score</t>
  </si>
  <si>
    <t>HQC OUTLIER</t>
  </si>
  <si>
    <t>Accuracy %</t>
  </si>
  <si>
    <t>LQC OUTLIER</t>
  </si>
  <si>
    <t>PB</t>
  </si>
  <si>
    <t xml:space="preserve"> </t>
  </si>
  <si>
    <t>YC</t>
  </si>
  <si>
    <t>CFL</t>
  </si>
  <si>
    <t>17-Hydroxyprogesterone</t>
  </si>
  <si>
    <t>HQC OUTLIER (&gt;2SD)</t>
  </si>
  <si>
    <t>Dehydroepiandrosterone sulfate (DHEA-S)</t>
  </si>
  <si>
    <t>17-Hydroxypregnenolone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</si>
</sst>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"/>
    <numFmt numFmtId="165" formatCode="dd/mmm/yyyy"/>
    <numFmt numFmtId="166" formatCode="mm/dd/yyyy"/>
    <numFmt numFmtId="167" formatCode="yyyy/mm/dd;@"/>
    <numFmt numFmtId="168" formatCode="0.0%"/>
    <numFmt numFmtId="169" formatCode="0.0000"/>
    <numFmt numFmtId="170" formatCode="0.0"/>
  </numFmts>
  <fonts count="69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22"/>
      <color theme="1" tint="0.34998626667073579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b/>
      <sz val="16"/>
      <color rgb="FF000000"/>
      <name val="Arial"/>
      <family val="2"/>
    </font>
    <font>
      <b/>
      <sz val="14"/>
      <color theme="1"/>
      <name val="Arial"/>
      <family val="2"/>
    </font>
    <font>
      <b/>
      <sz val="13"/>
      <color rgb="FF000000"/>
      <name val="Arial"/>
      <family val="2"/>
    </font>
    <font>
      <b/>
      <sz val="13"/>
      <color theme="5" tint="-0.499984740745262"/>
      <name val="Arial"/>
      <family val="2"/>
    </font>
    <font>
      <b/>
      <sz val="10"/>
      <color rgb="FFC00000"/>
      <name val="Arial"/>
      <family val="2"/>
    </font>
    <font>
      <b/>
      <sz val="13"/>
      <color theme="9" tint="-0.499984740745262"/>
      <name val="Arial"/>
      <family val="2"/>
    </font>
    <font>
      <b/>
      <sz val="10"/>
      <color rgb="FF000000"/>
      <name val="Arial"/>
      <family val="2"/>
    </font>
    <font>
      <sz val="10"/>
      <color theme="5" tint="-0.249977111117893"/>
      <name val="Arial"/>
      <family val="2"/>
    </font>
    <font>
      <sz val="10"/>
      <color theme="9" tint="-0.249977111117893"/>
      <name val="Arial"/>
      <family val="2"/>
    </font>
    <font>
      <b/>
      <sz val="10"/>
      <color theme="5" tint="-0.249977111117893"/>
      <name val="Arial"/>
      <family val="2"/>
    </font>
    <font>
      <sz val="11"/>
      <color rgb="FFB7CAD4"/>
      <name val="Arial"/>
      <family val="2"/>
    </font>
    <font>
      <sz val="14"/>
      <color theme="1"/>
      <name val="Arial"/>
      <family val="2"/>
    </font>
    <font>
      <sz val="14"/>
      <color rgb="FFC00000"/>
      <name val="Arial"/>
      <family val="2"/>
    </font>
    <font>
      <sz val="14"/>
      <color theme="9" tint="-0.249977111117893"/>
      <name val="Arial"/>
      <family val="2"/>
    </font>
    <font>
      <b/>
      <sz val="14"/>
      <color theme="4"/>
      <name val="Arial"/>
      <family val="2"/>
    </font>
    <font>
      <i/>
      <sz val="13"/>
      <color rgb="FF000000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i/>
      <sz val="12"/>
      <color indexed="18"/>
      <name val="Calibri"/>
      <family val="2"/>
      <scheme val="minor"/>
    </font>
    <font>
      <b/>
      <sz val="14"/>
      <color indexed="18"/>
      <name val="Calibri"/>
      <family val="2"/>
      <scheme val="minor"/>
    </font>
    <font>
      <sz val="12"/>
      <color indexed="18"/>
      <name val="Calibri"/>
      <family val="2"/>
      <scheme val="minor"/>
    </font>
    <font>
      <b/>
      <u/>
      <sz val="14"/>
      <color theme="10"/>
      <name val="Calibri"/>
      <family val="2"/>
      <scheme val="minor"/>
    </font>
    <font>
      <sz val="14"/>
      <name val="Calibri"/>
      <family val="2"/>
      <scheme val="minor"/>
    </font>
    <font>
      <b/>
      <sz val="14"/>
      <color theme="1"/>
      <name val="Calibri"/>
      <family val="2"/>
    </font>
    <font>
      <b/>
      <sz val="12"/>
      <color rgb="FFC00000"/>
      <name val="Calibri"/>
      <family val="2"/>
    </font>
    <font>
      <i/>
      <sz val="12"/>
      <color theme="1"/>
      <name val="Calibri"/>
      <family val="2"/>
    </font>
    <font>
      <sz val="14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14"/>
      <name val="Calibri"/>
      <family val="2"/>
    </font>
    <font>
      <sz val="10"/>
      <name val="Calibri"/>
      <family val="2"/>
    </font>
    <font>
      <b/>
      <sz val="16"/>
      <color theme="1"/>
      <name val="Calibri"/>
      <family val="2"/>
      <scheme val="minor"/>
    </font>
    <font>
      <b/>
      <sz val="16"/>
      <color theme="1"/>
      <name val="Calibri"/>
      <family val="2"/>
    </font>
    <font>
      <sz val="10"/>
      <color theme="1"/>
      <name val="Calibri"/>
      <family val="2"/>
    </font>
    <font>
      <sz val="14"/>
      <color theme="1"/>
      <name val="Calibri"/>
      <family val="2"/>
    </font>
    <font>
      <b/>
      <sz val="12"/>
      <color theme="1"/>
      <name val="Calibri"/>
      <family val="2"/>
    </font>
    <font>
      <sz val="12"/>
      <name val="Calibri"/>
      <family val="2"/>
    </font>
    <font>
      <i/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1"/>
      <color rgb="FFC00000"/>
      <name val="Calibri"/>
      <family val="2"/>
      <scheme val="minor"/>
    </font>
    <font>
      <b/>
      <sz val="12"/>
      <color theme="4"/>
      <name val="Calibri"/>
      <family val="2"/>
    </font>
    <font>
      <sz val="11"/>
      <name val="Calibri"/>
      <family val="2"/>
    </font>
    <font>
      <sz val="16"/>
      <color rgb="FF000000"/>
      <name val="Century Gothic"/>
      <family val="1"/>
    </font>
    <font>
      <b/>
      <sz val="10"/>
      <color theme="1"/>
      <name val="Century Gothic"/>
      <family val="2"/>
    </font>
    <font>
      <b/>
      <sz val="10"/>
      <color rgb="FF000000"/>
      <name val="Century Gothic"/>
      <family val="2"/>
    </font>
    <font>
      <sz val="10"/>
      <color rgb="FF000000"/>
      <name val="Century Gothic"/>
      <family val="2"/>
    </font>
    <font>
      <sz val="10"/>
      <color theme="1"/>
      <name val="Century Gothic"/>
      <family val="2"/>
    </font>
    <font>
      <sz val="12"/>
      <name val="Calibri"/>
      <family val="2"/>
      <scheme val="minor"/>
    </font>
    <font>
      <b/>
      <u/>
      <sz val="14"/>
      <color theme="9"/>
      <name val="Calibri"/>
      <family val="2"/>
      <scheme val="minor"/>
    </font>
    <font>
      <sz val="14"/>
      <color theme="9"/>
      <name val="Calibri"/>
      <family val="2"/>
      <scheme val="minor"/>
    </font>
    <font>
      <b/>
      <sz val="14"/>
      <color theme="9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C00000"/>
      <name val="Calibri"/>
      <family val="2"/>
    </font>
    <font>
      <b/>
      <sz val="12"/>
      <color indexed="18"/>
      <name val="Calibri"/>
      <family val="2"/>
      <scheme val="minor"/>
    </font>
    <font>
      <sz val="14"/>
      <color rgb="FF0070C0"/>
      <name val="Calibri"/>
      <family val="2"/>
      <scheme val="minor"/>
    </font>
    <font>
      <b/>
      <u/>
      <sz val="14"/>
      <color theme="1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FFD4BE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EFF8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8176"/>
        <bgColor indexed="64"/>
      </patternFill>
    </fill>
  </fills>
  <borders count="21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249977111117893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</borders>
  <cellStyleXfs count="7">
    <xf numFmtId="0" fontId="0" fillId="0" borderId="0"/>
    <xf numFmtId="9" fontId="3" fillId="0" borderId="0" applyFont="0" applyFill="0" applyBorder="0" applyAlignment="0" applyProtection="0"/>
    <xf numFmtId="0" fontId="2" fillId="2" borderId="0" applyNumberFormat="0" applyBorder="0" applyAlignment="0" applyProtection="0"/>
    <xf numFmtId="0" fontId="4" fillId="0" borderId="0"/>
    <xf numFmtId="0" fontId="2" fillId="0" borderId="0"/>
    <xf numFmtId="0" fontId="28" fillId="0" borderId="0" applyNumberFormat="0" applyFill="0" applyBorder="0" applyAlignment="0" applyProtection="0"/>
    <xf numFmtId="0" fontId="1" fillId="0" borderId="0"/>
  </cellStyleXfs>
  <cellXfs count="183">
    <xf numFmtId="0" fontId="0" fillId="0" borderId="0" xfId="0"/>
    <xf numFmtId="0" fontId="5" fillId="3" borderId="0" xfId="0" applyFont="1" applyFill="1" applyAlignment="1">
      <alignment horizontal="left" vertical="center" wrapText="1"/>
    </xf>
    <xf numFmtId="1" fontId="6" fillId="3" borderId="0" xfId="0" applyNumberFormat="1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/>
    <xf numFmtId="0" fontId="5" fillId="0" borderId="0" xfId="0" applyFont="1" applyAlignment="1">
      <alignment horizontal="left" vertical="center" wrapText="1"/>
    </xf>
    <xf numFmtId="0" fontId="5" fillId="3" borderId="0" xfId="0" applyFont="1" applyFill="1" applyAlignment="1">
      <alignment wrapText="1"/>
    </xf>
    <xf numFmtId="1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wrapText="1"/>
    </xf>
    <xf numFmtId="1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" fontId="5" fillId="0" borderId="0" xfId="0" applyNumberFormat="1" applyFont="1" applyAlignment="1">
      <alignment horizontal="left" vertical="center" indent="1"/>
    </xf>
    <xf numFmtId="1" fontId="8" fillId="0" borderId="0" xfId="0" applyNumberFormat="1" applyFont="1" applyAlignment="1">
      <alignment horizontal="left" vertical="center" indent="1"/>
    </xf>
    <xf numFmtId="0" fontId="5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" fontId="5" fillId="3" borderId="0" xfId="0" applyNumberFormat="1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9" fillId="3" borderId="0" xfId="0" applyFont="1" applyFill="1" applyAlignment="1">
      <alignment horizontal="left" wrapText="1"/>
    </xf>
    <xf numFmtId="0" fontId="9" fillId="3" borderId="0" xfId="0" applyFont="1" applyFill="1" applyAlignment="1">
      <alignment wrapText="1"/>
    </xf>
    <xf numFmtId="0" fontId="12" fillId="7" borderId="1" xfId="3" applyFont="1" applyFill="1" applyBorder="1" applyAlignment="1">
      <alignment horizontal="center" vertical="center" wrapText="1"/>
    </xf>
    <xf numFmtId="0" fontId="14" fillId="7" borderId="1" xfId="3" applyFont="1" applyFill="1" applyBorder="1" applyAlignment="1">
      <alignment horizontal="center" vertical="center" wrapText="1"/>
    </xf>
    <xf numFmtId="0" fontId="9" fillId="7" borderId="1" xfId="3" applyFont="1" applyFill="1" applyBorder="1" applyAlignment="1">
      <alignment horizontal="center" vertical="center" wrapText="1"/>
    </xf>
    <xf numFmtId="0" fontId="15" fillId="7" borderId="2" xfId="3" applyFont="1" applyFill="1" applyBorder="1" applyAlignment="1">
      <alignment horizontal="center" vertical="center" wrapText="1"/>
    </xf>
    <xf numFmtId="164" fontId="12" fillId="10" borderId="1" xfId="3" applyNumberFormat="1" applyFont="1" applyFill="1" applyBorder="1" applyAlignment="1">
      <alignment horizontal="center" vertical="center" wrapText="1"/>
    </xf>
    <xf numFmtId="164" fontId="12" fillId="4" borderId="1" xfId="3" applyNumberFormat="1" applyFont="1" applyFill="1" applyBorder="1" applyAlignment="1">
      <alignment horizontal="center" vertical="center" wrapText="1"/>
    </xf>
    <xf numFmtId="1" fontId="4" fillId="7" borderId="3" xfId="3" applyNumberFormat="1" applyFill="1" applyBorder="1" applyAlignment="1">
      <alignment horizontal="center" vertical="center"/>
    </xf>
    <xf numFmtId="2" fontId="4" fillId="0" borderId="3" xfId="3" applyNumberFormat="1" applyBorder="1" applyAlignment="1">
      <alignment horizontal="center" vertical="center"/>
    </xf>
    <xf numFmtId="167" fontId="16" fillId="0" borderId="3" xfId="3" applyNumberFormat="1" applyFont="1" applyBorder="1" applyAlignment="1">
      <alignment horizontal="left" vertical="center"/>
    </xf>
    <xf numFmtId="164" fontId="17" fillId="0" borderId="3" xfId="4" applyNumberFormat="1" applyFont="1" applyBorder="1" applyAlignment="1">
      <alignment horizontal="center" vertical="center" wrapText="1"/>
    </xf>
    <xf numFmtId="2" fontId="16" fillId="0" borderId="3" xfId="3" applyNumberFormat="1" applyFont="1" applyBorder="1" applyAlignment="1">
      <alignment horizontal="center" vertical="center"/>
    </xf>
    <xf numFmtId="2" fontId="4" fillId="7" borderId="3" xfId="3" applyNumberFormat="1" applyFill="1" applyBorder="1" applyAlignment="1">
      <alignment horizontal="center" vertical="center"/>
    </xf>
    <xf numFmtId="2" fontId="5" fillId="8" borderId="3" xfId="3" applyNumberFormat="1" applyFont="1" applyFill="1" applyBorder="1" applyAlignment="1">
      <alignment horizontal="center" vertical="center"/>
    </xf>
    <xf numFmtId="168" fontId="5" fillId="8" borderId="3" xfId="3" applyNumberFormat="1" applyFont="1" applyFill="1" applyBorder="1" applyAlignment="1">
      <alignment horizontal="center" vertical="center"/>
    </xf>
    <xf numFmtId="164" fontId="18" fillId="0" borderId="3" xfId="3" applyNumberFormat="1" applyFont="1" applyBorder="1" applyAlignment="1">
      <alignment horizontal="center" vertical="center"/>
    </xf>
    <xf numFmtId="164" fontId="16" fillId="0" borderId="3" xfId="3" applyNumberFormat="1" applyFont="1" applyBorder="1" applyAlignment="1">
      <alignment horizontal="center" vertical="center"/>
    </xf>
    <xf numFmtId="2" fontId="17" fillId="9" borderId="3" xfId="3" applyNumberFormat="1" applyFont="1" applyFill="1" applyBorder="1" applyAlignment="1">
      <alignment horizontal="center" vertical="center"/>
    </xf>
    <xf numFmtId="2" fontId="19" fillId="9" borderId="3" xfId="3" applyNumberFormat="1" applyFont="1" applyFill="1" applyBorder="1" applyAlignment="1">
      <alignment horizontal="center" vertical="center"/>
    </xf>
    <xf numFmtId="2" fontId="18" fillId="0" borderId="3" xfId="3" applyNumberFormat="1" applyFont="1" applyBorder="1" applyAlignment="1">
      <alignment horizontal="center" vertical="center"/>
    </xf>
    <xf numFmtId="0" fontId="20" fillId="0" borderId="0" xfId="0" applyFont="1"/>
    <xf numFmtId="1" fontId="5" fillId="0" borderId="0" xfId="0" applyNumberFormat="1" applyFont="1" applyAlignment="1">
      <alignment wrapText="1"/>
    </xf>
    <xf numFmtId="0" fontId="9" fillId="0" borderId="0" xfId="0" applyFont="1" applyAlignment="1">
      <alignment horizontal="left" wrapText="1"/>
    </xf>
    <xf numFmtId="0" fontId="9" fillId="0" borderId="0" xfId="0" applyFont="1" applyAlignment="1">
      <alignment wrapText="1"/>
    </xf>
    <xf numFmtId="49" fontId="7" fillId="3" borderId="10" xfId="0" applyNumberFormat="1" applyFont="1" applyFill="1" applyBorder="1" applyAlignment="1">
      <alignment horizontal="center" vertical="center"/>
    </xf>
    <xf numFmtId="49" fontId="7" fillId="3" borderId="9" xfId="0" applyNumberFormat="1" applyFont="1" applyFill="1" applyBorder="1" applyAlignment="1">
      <alignment horizontal="center" vertical="center" wrapText="1"/>
    </xf>
    <xf numFmtId="49" fontId="7" fillId="3" borderId="10" xfId="0" applyNumberFormat="1" applyFont="1" applyFill="1" applyBorder="1" applyAlignment="1">
      <alignment horizontal="center" vertical="center" wrapText="1"/>
    </xf>
    <xf numFmtId="49" fontId="7" fillId="3" borderId="9" xfId="0" applyNumberFormat="1" applyFont="1" applyFill="1" applyBorder="1" applyAlignment="1">
      <alignment horizontal="center" vertical="center"/>
    </xf>
    <xf numFmtId="49" fontId="8" fillId="0" borderId="0" xfId="2" applyNumberFormat="1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21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2" fontId="21" fillId="0" borderId="0" xfId="0" applyNumberFormat="1" applyFont="1" applyAlignment="1">
      <alignment horizontal="center" vertical="center" wrapText="1"/>
    </xf>
    <xf numFmtId="0" fontId="21" fillId="0" borderId="0" xfId="0" applyFont="1" applyAlignment="1">
      <alignment horizontal="center"/>
    </xf>
    <xf numFmtId="2" fontId="22" fillId="0" borderId="12" xfId="0" applyNumberFormat="1" applyFont="1" applyBorder="1" applyAlignment="1">
      <alignment horizontal="center" vertical="center" wrapText="1"/>
    </xf>
    <xf numFmtId="2" fontId="23" fillId="3" borderId="14" xfId="0" applyNumberFormat="1" applyFont="1" applyFill="1" applyBorder="1" applyAlignment="1">
      <alignment horizontal="center" vertical="center" wrapText="1"/>
    </xf>
    <xf numFmtId="2" fontId="22" fillId="3" borderId="11" xfId="0" applyNumberFormat="1" applyFont="1" applyFill="1" applyBorder="1" applyAlignment="1">
      <alignment horizontal="center" vertical="center" wrapText="1"/>
    </xf>
    <xf numFmtId="49" fontId="8" fillId="3" borderId="13" xfId="0" applyNumberFormat="1" applyFont="1" applyFill="1" applyBorder="1" applyAlignment="1">
      <alignment horizontal="center" vertical="center" wrapText="1"/>
    </xf>
    <xf numFmtId="168" fontId="11" fillId="3" borderId="11" xfId="1" applyNumberFormat="1" applyFont="1" applyFill="1" applyBorder="1" applyAlignment="1">
      <alignment horizontal="center" vertical="center"/>
    </xf>
    <xf numFmtId="2" fontId="24" fillId="3" borderId="12" xfId="0" applyNumberFormat="1" applyFont="1" applyFill="1" applyBorder="1" applyAlignment="1">
      <alignment horizontal="center" vertical="center"/>
    </xf>
    <xf numFmtId="9" fontId="5" fillId="0" borderId="3" xfId="1" applyFont="1" applyFill="1" applyBorder="1" applyAlignment="1">
      <alignment horizontal="center" vertical="center"/>
    </xf>
    <xf numFmtId="165" fontId="8" fillId="4" borderId="5" xfId="0" applyNumberFormat="1" applyFont="1" applyFill="1" applyBorder="1" applyAlignment="1">
      <alignment horizontal="center" vertical="center"/>
    </xf>
    <xf numFmtId="0" fontId="5" fillId="0" borderId="0" xfId="3" applyFont="1" applyAlignment="1">
      <alignment horizontal="center" vertical="center" wrapText="1"/>
    </xf>
    <xf numFmtId="9" fontId="5" fillId="0" borderId="0" xfId="1" applyFont="1" applyFill="1" applyBorder="1" applyAlignment="1">
      <alignment horizontal="center" vertical="center"/>
    </xf>
    <xf numFmtId="167" fontId="16" fillId="0" borderId="0" xfId="3" applyNumberFormat="1" applyFont="1" applyAlignment="1">
      <alignment horizontal="left" vertical="center"/>
    </xf>
    <xf numFmtId="0" fontId="12" fillId="0" borderId="0" xfId="3" applyFont="1" applyAlignment="1">
      <alignment horizontal="center" vertical="center" wrapText="1"/>
    </xf>
    <xf numFmtId="1" fontId="25" fillId="10" borderId="3" xfId="3" applyNumberFormat="1" applyFont="1" applyFill="1" applyBorder="1" applyAlignment="1">
      <alignment horizontal="center" vertical="center" wrapText="1"/>
    </xf>
    <xf numFmtId="0" fontId="12" fillId="10" borderId="3" xfId="3" applyFont="1" applyFill="1" applyBorder="1" applyAlignment="1">
      <alignment horizontal="center" vertical="center" wrapText="1"/>
    </xf>
    <xf numFmtId="0" fontId="13" fillId="7" borderId="3" xfId="3" applyFont="1" applyFill="1" applyBorder="1" applyAlignment="1">
      <alignment horizontal="center" vertical="center" wrapText="1"/>
    </xf>
    <xf numFmtId="0" fontId="5" fillId="0" borderId="3" xfId="3" applyFont="1" applyBorder="1" applyAlignment="1">
      <alignment horizontal="center" vertical="center" wrapText="1"/>
    </xf>
    <xf numFmtId="2" fontId="16" fillId="0" borderId="0" xfId="3" applyNumberFormat="1" applyFont="1" applyAlignment="1">
      <alignment horizontal="center" vertical="center"/>
    </xf>
    <xf numFmtId="0" fontId="12" fillId="7" borderId="3" xfId="3" applyFont="1" applyFill="1" applyBorder="1" applyAlignment="1">
      <alignment horizontal="center" vertical="center" wrapText="1"/>
    </xf>
    <xf numFmtId="0" fontId="14" fillId="7" borderId="3" xfId="3" applyFont="1" applyFill="1" applyBorder="1" applyAlignment="1">
      <alignment horizontal="center" vertical="center" wrapText="1"/>
    </xf>
    <xf numFmtId="0" fontId="9" fillId="7" borderId="3" xfId="3" applyFont="1" applyFill="1" applyBorder="1" applyAlignment="1">
      <alignment horizontal="center" vertical="center" wrapText="1"/>
    </xf>
    <xf numFmtId="0" fontId="29" fillId="3" borderId="0" xfId="0" applyFont="1" applyFill="1" applyAlignment="1">
      <alignment horizontal="center"/>
    </xf>
    <xf numFmtId="0" fontId="30" fillId="3" borderId="0" xfId="0" applyFont="1" applyFill="1"/>
    <xf numFmtId="0" fontId="31" fillId="3" borderId="0" xfId="0" applyFont="1" applyFill="1"/>
    <xf numFmtId="0" fontId="32" fillId="3" borderId="0" xfId="5" quotePrefix="1" applyFont="1" applyFill="1"/>
    <xf numFmtId="14" fontId="35" fillId="3" borderId="0" xfId="6" applyNumberFormat="1" applyFont="1" applyFill="1" applyAlignment="1">
      <alignment vertical="center"/>
    </xf>
    <xf numFmtId="0" fontId="36" fillId="3" borderId="0" xfId="6" applyFont="1" applyFill="1" applyAlignment="1">
      <alignment horizontal="center" vertical="center" wrapText="1"/>
    </xf>
    <xf numFmtId="164" fontId="37" fillId="3" borderId="0" xfId="6" applyNumberFormat="1" applyFont="1" applyFill="1" applyAlignment="1" applyProtection="1">
      <alignment wrapText="1"/>
      <protection locked="0"/>
    </xf>
    <xf numFmtId="0" fontId="26" fillId="3" borderId="0" xfId="6" applyFont="1" applyFill="1" applyAlignment="1">
      <alignment vertical="top" wrapText="1"/>
    </xf>
    <xf numFmtId="0" fontId="26" fillId="3" borderId="0" xfId="6" applyFont="1" applyFill="1" applyAlignment="1">
      <alignment horizontal="left" vertical="top"/>
    </xf>
    <xf numFmtId="14" fontId="35" fillId="0" borderId="16" xfId="6" applyNumberFormat="1" applyFont="1" applyBorder="1" applyAlignment="1">
      <alignment vertical="center"/>
    </xf>
    <xf numFmtId="0" fontId="38" fillId="3" borderId="16" xfId="6" applyFont="1" applyFill="1" applyBorder="1" applyAlignment="1" applyProtection="1">
      <alignment horizontal="left" vertical="top" wrapText="1"/>
      <protection locked="0"/>
    </xf>
    <xf numFmtId="164" fontId="37" fillId="3" borderId="16" xfId="6" applyNumberFormat="1" applyFont="1" applyFill="1" applyBorder="1" applyAlignment="1" applyProtection="1">
      <alignment wrapText="1"/>
      <protection locked="0"/>
    </xf>
    <xf numFmtId="0" fontId="0" fillId="3" borderId="16" xfId="0" applyFill="1" applyBorder="1"/>
    <xf numFmtId="0" fontId="43" fillId="0" borderId="0" xfId="0" applyFont="1" applyAlignment="1">
      <alignment horizontal="center" vertical="center"/>
    </xf>
    <xf numFmtId="0" fontId="43" fillId="7" borderId="3" xfId="0" applyFont="1" applyFill="1" applyBorder="1" applyAlignment="1">
      <alignment horizontal="center" vertical="center"/>
    </xf>
    <xf numFmtId="0" fontId="43" fillId="0" borderId="3" xfId="0" applyFont="1" applyBorder="1" applyAlignment="1">
      <alignment horizontal="center" vertical="center"/>
    </xf>
    <xf numFmtId="164" fontId="44" fillId="11" borderId="3" xfId="6" applyNumberFormat="1" applyFont="1" applyFill="1" applyBorder="1" applyAlignment="1">
      <alignment horizontal="center" vertical="center" wrapText="1"/>
    </xf>
    <xf numFmtId="0" fontId="45" fillId="3" borderId="0" xfId="6" applyFont="1" applyFill="1" applyAlignment="1">
      <alignment horizontal="center" vertical="center"/>
    </xf>
    <xf numFmtId="0" fontId="46" fillId="3" borderId="0" xfId="6" applyFont="1" applyFill="1"/>
    <xf numFmtId="0" fontId="3" fillId="0" borderId="0" xfId="0" applyFont="1"/>
    <xf numFmtId="0" fontId="27" fillId="0" borderId="0" xfId="0" applyFont="1" applyAlignment="1">
      <alignment horizontal="center" vertical="center"/>
    </xf>
    <xf numFmtId="0" fontId="47" fillId="7" borderId="0" xfId="6" applyFont="1" applyFill="1" applyAlignment="1">
      <alignment horizontal="center" vertical="center"/>
    </xf>
    <xf numFmtId="0" fontId="47" fillId="0" borderId="3" xfId="6" applyFont="1" applyBorder="1" applyAlignment="1">
      <alignment vertical="center" wrapText="1"/>
    </xf>
    <xf numFmtId="164" fontId="48" fillId="7" borderId="3" xfId="6" applyNumberFormat="1" applyFont="1" applyFill="1" applyBorder="1" applyAlignment="1">
      <alignment horizontal="center" vertical="center" wrapText="1"/>
    </xf>
    <xf numFmtId="0" fontId="49" fillId="0" borderId="0" xfId="0" applyFont="1" applyAlignment="1">
      <alignment horizontal="center" vertical="center"/>
    </xf>
    <xf numFmtId="0" fontId="7" fillId="10" borderId="3" xfId="0" applyFont="1" applyFill="1" applyBorder="1" applyAlignment="1">
      <alignment horizontal="center" vertical="center"/>
    </xf>
    <xf numFmtId="2" fontId="7" fillId="11" borderId="3" xfId="6" applyNumberFormat="1" applyFont="1" applyFill="1" applyBorder="1" applyAlignment="1">
      <alignment horizontal="center" vertical="center" wrapText="1"/>
    </xf>
    <xf numFmtId="0" fontId="50" fillId="0" borderId="0" xfId="6" applyFont="1" applyAlignment="1">
      <alignment horizontal="center" vertical="center" wrapText="1"/>
    </xf>
    <xf numFmtId="0" fontId="38" fillId="0" borderId="0" xfId="6" applyFont="1"/>
    <xf numFmtId="0" fontId="0" fillId="0" borderId="0" xfId="0" applyAlignment="1">
      <alignment horizontal="center" vertical="center"/>
    </xf>
    <xf numFmtId="2" fontId="0" fillId="7" borderId="3" xfId="0" applyNumberForma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1" fillId="0" borderId="0" xfId="0" applyFont="1" applyAlignment="1">
      <alignment horizontal="center"/>
    </xf>
    <xf numFmtId="0" fontId="47" fillId="7" borderId="3" xfId="6" applyFont="1" applyFill="1" applyBorder="1" applyAlignment="1">
      <alignment vertical="center" wrapText="1"/>
    </xf>
    <xf numFmtId="164" fontId="48" fillId="0" borderId="3" xfId="6" applyNumberFormat="1" applyFont="1" applyBorder="1" applyAlignment="1">
      <alignment horizontal="center" vertical="center" wrapText="1"/>
    </xf>
    <xf numFmtId="3" fontId="7" fillId="10" borderId="3" xfId="0" applyNumberFormat="1" applyFont="1" applyFill="1" applyBorder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3" fontId="7" fillId="11" borderId="3" xfId="6" applyNumberFormat="1" applyFont="1" applyFill="1" applyBorder="1" applyAlignment="1">
      <alignment horizontal="center" vertical="center" wrapText="1"/>
    </xf>
    <xf numFmtId="0" fontId="52" fillId="7" borderId="3" xfId="6" applyFont="1" applyFill="1" applyBorder="1" applyAlignment="1">
      <alignment vertical="center" wrapText="1"/>
    </xf>
    <xf numFmtId="0" fontId="7" fillId="12" borderId="3" xfId="0" applyFont="1" applyFill="1" applyBorder="1" applyAlignment="1">
      <alignment horizontal="center" vertical="center"/>
    </xf>
    <xf numFmtId="2" fontId="7" fillId="6" borderId="3" xfId="6" applyNumberFormat="1" applyFont="1" applyFill="1" applyBorder="1" applyAlignment="1">
      <alignment horizontal="center" vertical="center" wrapText="1"/>
    </xf>
    <xf numFmtId="2" fontId="0" fillId="12" borderId="3" xfId="0" applyNumberFormat="1" applyFill="1" applyBorder="1" applyAlignment="1">
      <alignment horizontal="center" vertical="center"/>
    </xf>
    <xf numFmtId="0" fontId="52" fillId="0" borderId="3" xfId="6" applyFont="1" applyBorder="1" applyAlignment="1">
      <alignment vertical="center" wrapText="1"/>
    </xf>
    <xf numFmtId="14" fontId="35" fillId="0" borderId="0" xfId="6" applyNumberFormat="1" applyFont="1" applyAlignment="1">
      <alignment horizontal="center" vertical="center"/>
    </xf>
    <xf numFmtId="164" fontId="53" fillId="0" borderId="0" xfId="6" applyNumberFormat="1" applyFont="1" applyAlignment="1">
      <alignment horizontal="center"/>
    </xf>
    <xf numFmtId="0" fontId="38" fillId="0" borderId="0" xfId="6" applyFont="1" applyAlignment="1">
      <alignment horizontal="center" vertical="center" wrapText="1"/>
    </xf>
    <xf numFmtId="0" fontId="55" fillId="13" borderId="19" xfId="3" applyFont="1" applyFill="1" applyBorder="1" applyAlignment="1">
      <alignment horizontal="center" vertical="center" wrapText="1"/>
    </xf>
    <xf numFmtId="0" fontId="56" fillId="14" borderId="20" xfId="3" applyFont="1" applyFill="1" applyBorder="1" applyAlignment="1">
      <alignment horizontal="center" vertical="center" wrapText="1"/>
    </xf>
    <xf numFmtId="0" fontId="55" fillId="15" borderId="19" xfId="3" applyFont="1" applyFill="1" applyBorder="1" applyAlignment="1">
      <alignment horizontal="center" vertical="center" wrapText="1"/>
    </xf>
    <xf numFmtId="0" fontId="57" fillId="14" borderId="20" xfId="3" applyFont="1" applyFill="1" applyBorder="1" applyAlignment="1">
      <alignment horizontal="center" vertical="center" wrapText="1"/>
    </xf>
    <xf numFmtId="164" fontId="50" fillId="11" borderId="3" xfId="6" applyNumberFormat="1" applyFont="1" applyFill="1" applyBorder="1" applyAlignment="1">
      <alignment horizontal="center" vertical="center" wrapText="1"/>
    </xf>
    <xf numFmtId="164" fontId="50" fillId="14" borderId="3" xfId="6" applyNumberFormat="1" applyFont="1" applyFill="1" applyBorder="1" applyAlignment="1">
      <alignment horizontal="center" vertical="center" wrapText="1"/>
    </xf>
    <xf numFmtId="164" fontId="50" fillId="5" borderId="3" xfId="6" applyNumberFormat="1" applyFont="1" applyFill="1" applyBorder="1" applyAlignment="1">
      <alignment horizontal="center" vertical="center" wrapText="1"/>
    </xf>
    <xf numFmtId="164" fontId="48" fillId="7" borderId="3" xfId="6" applyNumberFormat="1" applyFont="1" applyFill="1" applyBorder="1" applyAlignment="1">
      <alignment horizontal="center" wrapText="1"/>
    </xf>
    <xf numFmtId="164" fontId="50" fillId="0" borderId="0" xfId="6" applyNumberFormat="1" applyFont="1" applyAlignment="1">
      <alignment horizontal="center" vertical="center" wrapText="1"/>
    </xf>
    <xf numFmtId="0" fontId="47" fillId="0" borderId="0" xfId="6" applyFont="1" applyAlignment="1">
      <alignment horizontal="center" vertical="center"/>
    </xf>
    <xf numFmtId="164" fontId="59" fillId="0" borderId="0" xfId="0" applyNumberFormat="1" applyFont="1" applyAlignment="1">
      <alignment horizontal="center"/>
    </xf>
    <xf numFmtId="0" fontId="26" fillId="0" borderId="0" xfId="6" applyFont="1"/>
    <xf numFmtId="0" fontId="60" fillId="3" borderId="0" xfId="5" quotePrefix="1" applyFont="1" applyFill="1"/>
    <xf numFmtId="0" fontId="62" fillId="3" borderId="0" xfId="0" applyFont="1" applyFill="1"/>
    <xf numFmtId="2" fontId="17" fillId="0" borderId="3" xfId="4" applyNumberFormat="1" applyFont="1" applyBorder="1" applyAlignment="1">
      <alignment horizontal="center" vertical="center" wrapText="1"/>
    </xf>
    <xf numFmtId="0" fontId="31" fillId="3" borderId="0" xfId="0" applyFont="1" applyFill="1" applyAlignment="1">
      <alignment horizontal="center" vertical="center"/>
    </xf>
    <xf numFmtId="0" fontId="31" fillId="3" borderId="0" xfId="0" applyFont="1" applyFill="1" applyAlignment="1">
      <alignment horizontal="left" vertical="center"/>
    </xf>
    <xf numFmtId="0" fontId="30" fillId="3" borderId="0" xfId="0" applyFont="1" applyFill="1" applyAlignment="1">
      <alignment horizontal="left" vertical="center"/>
    </xf>
    <xf numFmtId="0" fontId="62" fillId="3" borderId="0" xfId="0" applyFont="1" applyFill="1" applyAlignment="1">
      <alignment horizontal="left" vertical="center"/>
    </xf>
    <xf numFmtId="0" fontId="64" fillId="3" borderId="0" xfId="0" applyFont="1" applyFill="1" applyAlignment="1">
      <alignment horizontal="left" vertical="center"/>
    </xf>
    <xf numFmtId="0" fontId="63" fillId="3" borderId="0" xfId="0" applyFont="1" applyFill="1" applyAlignment="1">
      <alignment horizontal="left" vertical="center"/>
    </xf>
    <xf numFmtId="169" fontId="17" fillId="0" borderId="3" xfId="4" applyNumberFormat="1" applyFont="1" applyBorder="1" applyAlignment="1">
      <alignment horizontal="center" vertical="center" wrapText="1"/>
    </xf>
    <xf numFmtId="169" fontId="17" fillId="9" borderId="3" xfId="3" applyNumberFormat="1" applyFont="1" applyFill="1" applyBorder="1" applyAlignment="1">
      <alignment horizontal="center" vertical="center"/>
    </xf>
    <xf numFmtId="0" fontId="66" fillId="3" borderId="0" xfId="0" applyFont="1" applyFill="1" applyAlignment="1">
      <alignment horizontal="center" vertical="center"/>
    </xf>
    <xf numFmtId="0" fontId="61" fillId="3" borderId="0" xfId="0" applyFont="1" applyFill="1" applyAlignment="1">
      <alignment horizontal="center" vertical="center"/>
    </xf>
    <xf numFmtId="0" fontId="33" fillId="3" borderId="0" xfId="0" applyFont="1" applyFill="1" applyAlignment="1">
      <alignment horizontal="center" vertical="center"/>
    </xf>
    <xf numFmtId="0" fontId="67" fillId="3" borderId="0" xfId="0" applyFont="1" applyFill="1" applyAlignment="1">
      <alignment horizontal="center" vertical="center"/>
    </xf>
    <xf numFmtId="0" fontId="66" fillId="3" borderId="0" xfId="0" applyFont="1" applyFill="1" applyAlignment="1">
      <alignment horizontal="left" vertical="center"/>
    </xf>
    <xf numFmtId="3" fontId="17" fillId="0" borderId="3" xfId="4" applyNumberFormat="1" applyFont="1" applyBorder="1" applyAlignment="1">
      <alignment horizontal="center" vertical="center" wrapText="1"/>
    </xf>
    <xf numFmtId="3" fontId="17" fillId="9" borderId="3" xfId="3" applyNumberFormat="1" applyFont="1" applyFill="1" applyBorder="1" applyAlignment="1">
      <alignment horizontal="center" vertical="center"/>
    </xf>
    <xf numFmtId="3" fontId="19" fillId="9" borderId="3" xfId="3" applyNumberFormat="1" applyFont="1" applyFill="1" applyBorder="1" applyAlignment="1">
      <alignment horizontal="center" vertical="center"/>
    </xf>
    <xf numFmtId="1" fontId="18" fillId="0" borderId="3" xfId="3" applyNumberFormat="1" applyFont="1" applyBorder="1" applyAlignment="1">
      <alignment horizontal="center" vertical="center"/>
    </xf>
    <xf numFmtId="170" fontId="16" fillId="0" borderId="3" xfId="3" applyNumberFormat="1" applyFont="1" applyBorder="1" applyAlignment="1">
      <alignment horizontal="center" vertical="center"/>
    </xf>
    <xf numFmtId="3" fontId="16" fillId="0" borderId="3" xfId="3" applyNumberFormat="1" applyFont="1" applyBorder="1" applyAlignment="1">
      <alignment horizontal="center" vertical="center"/>
    </xf>
    <xf numFmtId="165" fontId="7" fillId="4" borderId="3" xfId="0" applyNumberFormat="1" applyFont="1" applyFill="1" applyBorder="1" applyAlignment="1">
      <alignment horizontal="left" vertical="center" indent="1"/>
    </xf>
    <xf numFmtId="166" fontId="8" fillId="4" borderId="3" xfId="0" applyNumberFormat="1" applyFont="1" applyFill="1" applyBorder="1" applyAlignment="1">
      <alignment horizontal="center" vertical="center"/>
    </xf>
    <xf numFmtId="0" fontId="10" fillId="5" borderId="15" xfId="3" applyFont="1" applyFill="1" applyBorder="1" applyAlignment="1">
      <alignment horizontal="center" vertical="center"/>
    </xf>
    <xf numFmtId="0" fontId="10" fillId="6" borderId="0" xfId="3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65" fontId="8" fillId="4" borderId="4" xfId="0" applyNumberFormat="1" applyFont="1" applyFill="1" applyBorder="1" applyAlignment="1">
      <alignment horizontal="center" vertical="center"/>
    </xf>
    <xf numFmtId="165" fontId="8" fillId="4" borderId="5" xfId="0" applyNumberFormat="1" applyFont="1" applyFill="1" applyBorder="1" applyAlignment="1">
      <alignment horizontal="center" vertical="center"/>
    </xf>
    <xf numFmtId="165" fontId="8" fillId="4" borderId="6" xfId="0" applyNumberFormat="1" applyFont="1" applyFill="1" applyBorder="1" applyAlignment="1">
      <alignment horizontal="center" vertical="center"/>
    </xf>
    <xf numFmtId="165" fontId="8" fillId="4" borderId="7" xfId="0" applyNumberFormat="1" applyFont="1" applyFill="1" applyBorder="1" applyAlignment="1">
      <alignment horizontal="center" vertical="center"/>
    </xf>
    <xf numFmtId="165" fontId="8" fillId="4" borderId="8" xfId="0" applyNumberFormat="1" applyFont="1" applyFill="1" applyBorder="1" applyAlignment="1">
      <alignment horizontal="center" vertical="center"/>
    </xf>
    <xf numFmtId="166" fontId="8" fillId="4" borderId="4" xfId="0" applyNumberFormat="1" applyFont="1" applyFill="1" applyBorder="1" applyAlignment="1">
      <alignment horizontal="center" vertical="center"/>
    </xf>
    <xf numFmtId="166" fontId="8" fillId="4" borderId="5" xfId="0" applyNumberFormat="1" applyFont="1" applyFill="1" applyBorder="1" applyAlignment="1">
      <alignment horizontal="center" vertical="center"/>
    </xf>
    <xf numFmtId="166" fontId="8" fillId="4" borderId="8" xfId="0" applyNumberFormat="1" applyFont="1" applyFill="1" applyBorder="1" applyAlignment="1">
      <alignment horizontal="center" vertical="center"/>
    </xf>
    <xf numFmtId="0" fontId="34" fillId="0" borderId="0" xfId="6" applyFont="1" applyAlignment="1">
      <alignment horizontal="center" vertical="center"/>
    </xf>
    <xf numFmtId="0" fontId="34" fillId="0" borderId="16" xfId="6" applyFont="1" applyBorder="1" applyAlignment="1">
      <alignment horizontal="center" vertical="center"/>
    </xf>
    <xf numFmtId="0" fontId="34" fillId="3" borderId="4" xfId="6" applyFont="1" applyFill="1" applyBorder="1" applyAlignment="1">
      <alignment horizontal="center" vertical="top"/>
    </xf>
    <xf numFmtId="0" fontId="34" fillId="3" borderId="5" xfId="6" applyFont="1" applyFill="1" applyBorder="1" applyAlignment="1">
      <alignment horizontal="center" vertical="top"/>
    </xf>
    <xf numFmtId="0" fontId="34" fillId="3" borderId="8" xfId="6" applyFont="1" applyFill="1" applyBorder="1" applyAlignment="1">
      <alignment horizontal="center" vertical="top"/>
    </xf>
    <xf numFmtId="0" fontId="65" fillId="3" borderId="4" xfId="6" applyFont="1" applyFill="1" applyBorder="1" applyAlignment="1">
      <alignment horizontal="center" vertical="top"/>
    </xf>
    <xf numFmtId="0" fontId="65" fillId="3" borderId="5" xfId="6" applyFont="1" applyFill="1" applyBorder="1" applyAlignment="1">
      <alignment horizontal="center" vertical="top"/>
    </xf>
    <xf numFmtId="0" fontId="65" fillId="3" borderId="8" xfId="6" applyFont="1" applyFill="1" applyBorder="1" applyAlignment="1">
      <alignment horizontal="center" vertical="top"/>
    </xf>
    <xf numFmtId="14" fontId="35" fillId="0" borderId="17" xfId="6" applyNumberFormat="1" applyFont="1" applyBorder="1" applyAlignment="1">
      <alignment horizontal="center" vertical="center"/>
    </xf>
    <xf numFmtId="0" fontId="54" fillId="5" borderId="18" xfId="3" applyFont="1" applyFill="1" applyBorder="1" applyAlignment="1">
      <alignment horizontal="center" vertical="center"/>
    </xf>
    <xf numFmtId="0" fontId="54" fillId="6" borderId="18" xfId="3" applyFont="1" applyFill="1" applyBorder="1" applyAlignment="1">
      <alignment horizontal="center" vertical="center"/>
    </xf>
  </cellXfs>
  <cellStyles count="7">
    <cellStyle name="20% - Accent6" xfId="2" builtinId="50"/>
    <cellStyle name="Hyperlink" xfId="5" builtinId="8"/>
    <cellStyle name="Normal" xfId="0" builtinId="0"/>
    <cellStyle name="Normal 3" xfId="3" xr:uid="{E4D8BF52-6287-45B6-9612-66405BD1A30B}"/>
    <cellStyle name="Normal 4" xfId="4" xr:uid="{E8F39CA3-F031-40EA-87E9-0504836BA910}"/>
    <cellStyle name="Normal 4 2" xfId="6" xr:uid="{F9C05D47-4EED-497C-A616-DB3FAB04C127}"/>
    <cellStyle name="Percent" xfId="1" builtinId="5"/>
  </cellStyles>
  <dxfs count="360"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lor theme="9" tint="-0.24994659260841701"/>
      </font>
    </dxf>
    <dxf>
      <font>
        <color theme="2"/>
      </font>
      <fill>
        <patternFill>
          <bgColor theme="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u/>
        <color theme="9" tint="-0.2499465926084170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theme="2"/>
      </font>
      <fill>
        <patternFill patternType="solid">
          <bgColor theme="2"/>
        </patternFill>
      </fill>
      <border>
        <vertical/>
        <horizontal/>
      </border>
    </dxf>
    <dxf>
      <font>
        <strike val="0"/>
        <color theme="2"/>
      </font>
    </dxf>
    <dxf>
      <font>
        <b/>
        <i val="0"/>
        <strike val="0"/>
      </font>
      <fill>
        <patternFill>
          <bgColor rgb="FFFF7C80"/>
        </patternFill>
      </fill>
    </dxf>
    <dxf>
      <font>
        <b/>
        <i val="0"/>
        <strike val="0"/>
        <color auto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  <border>
        <vertical/>
        <horizontal/>
      </border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lor theme="9" tint="-0.24994659260841701"/>
      </font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u/>
        <color theme="9" tint="-0.2499465926084170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theme="2"/>
      </font>
      <fill>
        <patternFill patternType="solid">
          <bgColor theme="2"/>
        </patternFill>
      </fill>
      <border>
        <vertical/>
        <horizontal/>
      </border>
    </dxf>
    <dxf>
      <font>
        <strike val="0"/>
        <color theme="2"/>
      </font>
    </dxf>
    <dxf>
      <font>
        <b/>
        <i val="0"/>
        <strike val="0"/>
      </font>
      <fill>
        <patternFill>
          <bgColor rgb="FFFF7C80"/>
        </patternFill>
      </fill>
    </dxf>
    <dxf>
      <font>
        <b/>
        <i val="0"/>
        <strike val="0"/>
        <color auto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  <border>
        <vertical/>
        <horizontal/>
      </border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lor theme="9" tint="-0.24994659260841701"/>
      </font>
    </dxf>
    <dxf>
      <font>
        <color theme="2"/>
      </font>
      <fill>
        <patternFill>
          <bgColor theme="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u/>
        <color theme="9" tint="-0.2499465926084170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theme="2"/>
      </font>
      <fill>
        <patternFill patternType="solid">
          <bgColor theme="2"/>
        </patternFill>
      </fill>
      <border>
        <vertical/>
        <horizontal/>
      </border>
    </dxf>
    <dxf>
      <font>
        <strike val="0"/>
        <color theme="2"/>
      </font>
    </dxf>
    <dxf>
      <font>
        <b/>
        <i val="0"/>
        <strike val="0"/>
      </font>
      <fill>
        <patternFill>
          <bgColor rgb="FFFF7C80"/>
        </patternFill>
      </fill>
    </dxf>
    <dxf>
      <font>
        <b/>
        <i val="0"/>
        <strike val="0"/>
        <color auto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  <border>
        <vertical/>
        <horizontal/>
      </border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lor theme="9" tint="-0.24994659260841701"/>
      </font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u/>
        <color theme="9" tint="-0.2499465926084170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theme="2"/>
      </font>
      <fill>
        <patternFill patternType="solid">
          <bgColor theme="2"/>
        </patternFill>
      </fill>
      <border>
        <vertical/>
        <horizontal/>
      </border>
    </dxf>
    <dxf>
      <font>
        <strike val="0"/>
        <color theme="2"/>
      </font>
    </dxf>
    <dxf>
      <font>
        <b/>
        <i val="0"/>
        <strike val="0"/>
      </font>
      <fill>
        <patternFill>
          <bgColor rgb="FFFF7C80"/>
        </patternFill>
      </fill>
    </dxf>
    <dxf>
      <font>
        <b/>
        <i val="0"/>
        <strike val="0"/>
        <color auto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  <border>
        <vertical/>
        <horizontal/>
      </border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lor theme="9" tint="-0.24994659260841701"/>
      </font>
    </dxf>
    <dxf>
      <font>
        <color theme="2"/>
      </font>
      <fill>
        <patternFill>
          <bgColor theme="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u/>
        <color theme="9" tint="-0.2499465926084170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theme="2"/>
      </font>
      <fill>
        <patternFill patternType="solid">
          <bgColor theme="2"/>
        </patternFill>
      </fill>
      <border>
        <vertical/>
        <horizontal/>
      </border>
    </dxf>
    <dxf>
      <font>
        <strike val="0"/>
        <color theme="2"/>
      </font>
    </dxf>
    <dxf>
      <font>
        <b/>
        <i val="0"/>
        <strike val="0"/>
      </font>
      <fill>
        <patternFill>
          <bgColor rgb="FFFF7C80"/>
        </patternFill>
      </fill>
    </dxf>
    <dxf>
      <font>
        <b/>
        <i val="0"/>
        <strike val="0"/>
        <color auto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  <border>
        <vertical/>
        <horizontal/>
      </border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lor theme="9" tint="-0.24994659260841701"/>
      </font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u/>
        <color theme="9" tint="-0.2499465926084170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theme="2"/>
      </font>
      <fill>
        <patternFill patternType="solid">
          <bgColor theme="2"/>
        </patternFill>
      </fill>
      <border>
        <vertical/>
        <horizontal/>
      </border>
    </dxf>
    <dxf>
      <font>
        <strike val="0"/>
        <color theme="2"/>
      </font>
    </dxf>
    <dxf>
      <font>
        <b/>
        <i val="0"/>
        <strike val="0"/>
      </font>
      <fill>
        <patternFill>
          <bgColor rgb="FFFF7C80"/>
        </patternFill>
      </fill>
    </dxf>
    <dxf>
      <font>
        <b/>
        <i val="0"/>
        <strike val="0"/>
        <color auto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  <border>
        <vertical/>
        <horizontal/>
      </border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lor theme="9" tint="-0.24994659260841701"/>
      </font>
    </dxf>
    <dxf>
      <font>
        <color theme="2"/>
      </font>
      <fill>
        <patternFill>
          <bgColor theme="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u/>
        <color theme="9" tint="-0.2499465926084170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theme="2"/>
      </font>
      <fill>
        <patternFill patternType="solid">
          <bgColor theme="2"/>
        </patternFill>
      </fill>
      <border>
        <vertical/>
        <horizontal/>
      </border>
    </dxf>
    <dxf>
      <font>
        <strike val="0"/>
        <color theme="2"/>
      </font>
    </dxf>
    <dxf>
      <font>
        <b/>
        <i val="0"/>
        <strike val="0"/>
      </font>
      <fill>
        <patternFill>
          <bgColor rgb="FFFF7C80"/>
        </patternFill>
      </fill>
    </dxf>
    <dxf>
      <font>
        <b/>
        <i val="0"/>
        <strike val="0"/>
        <color auto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  <border>
        <vertical/>
        <horizontal/>
      </border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lor theme="9" tint="-0.24994659260841701"/>
      </font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u/>
        <color theme="9" tint="-0.2499465926084170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theme="2"/>
      </font>
      <fill>
        <patternFill patternType="solid">
          <bgColor theme="2"/>
        </patternFill>
      </fill>
      <border>
        <vertical/>
        <horizontal/>
      </border>
    </dxf>
    <dxf>
      <font>
        <strike val="0"/>
        <color theme="2"/>
      </font>
    </dxf>
    <dxf>
      <font>
        <b/>
        <i val="0"/>
        <strike val="0"/>
      </font>
      <fill>
        <patternFill>
          <bgColor rgb="FFFF7C80"/>
        </patternFill>
      </fill>
    </dxf>
    <dxf>
      <font>
        <b/>
        <i val="0"/>
        <strike val="0"/>
        <color auto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  <border>
        <vertical/>
        <horizontal/>
      </border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lor theme="9" tint="-0.24994659260841701"/>
      </font>
    </dxf>
    <dxf>
      <font>
        <color theme="2"/>
      </font>
      <fill>
        <patternFill>
          <bgColor theme="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u/>
        <color theme="9" tint="-0.2499465926084170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theme="2"/>
      </font>
      <fill>
        <patternFill patternType="solid">
          <bgColor theme="2"/>
        </patternFill>
      </fill>
      <border>
        <vertical/>
        <horizontal/>
      </border>
    </dxf>
    <dxf>
      <font>
        <strike val="0"/>
        <color theme="2"/>
      </font>
    </dxf>
    <dxf>
      <font>
        <b/>
        <i val="0"/>
        <strike val="0"/>
      </font>
      <fill>
        <patternFill>
          <bgColor rgb="FFFF7C80"/>
        </patternFill>
      </fill>
    </dxf>
    <dxf>
      <font>
        <b/>
        <i val="0"/>
        <strike val="0"/>
        <color auto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  <border>
        <vertical/>
        <horizontal/>
      </border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lor theme="9" tint="-0.24994659260841701"/>
      </font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u/>
        <color theme="9" tint="-0.2499465926084170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theme="2"/>
      </font>
      <fill>
        <patternFill patternType="solid">
          <bgColor theme="2"/>
        </patternFill>
      </fill>
      <border>
        <vertical/>
        <horizontal/>
      </border>
    </dxf>
    <dxf>
      <font>
        <strike val="0"/>
        <color theme="2"/>
      </font>
    </dxf>
    <dxf>
      <font>
        <b/>
        <i val="0"/>
        <strike val="0"/>
      </font>
      <fill>
        <patternFill>
          <bgColor rgb="FFFF7C80"/>
        </patternFill>
      </fill>
    </dxf>
    <dxf>
      <font>
        <b/>
        <i val="0"/>
        <strike val="0"/>
        <color auto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  <border>
        <vertical/>
        <horizontal/>
      </border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lor theme="9" tint="-0.24994659260841701"/>
      </font>
    </dxf>
    <dxf>
      <font>
        <color theme="2"/>
      </font>
      <fill>
        <patternFill>
          <bgColor theme="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u/>
        <color theme="9" tint="-0.2499465926084170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theme="2"/>
      </font>
      <fill>
        <patternFill patternType="solid">
          <bgColor theme="2"/>
        </patternFill>
      </fill>
      <border>
        <vertical/>
        <horizontal/>
      </border>
    </dxf>
    <dxf>
      <font>
        <strike val="0"/>
        <color theme="2"/>
      </font>
    </dxf>
    <dxf>
      <font>
        <b/>
        <i val="0"/>
        <strike val="0"/>
      </font>
      <fill>
        <patternFill>
          <bgColor rgb="FFFF7C80"/>
        </patternFill>
      </fill>
    </dxf>
    <dxf>
      <font>
        <b/>
        <i val="0"/>
        <strike val="0"/>
        <color auto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  <border>
        <vertical/>
        <horizontal/>
      </border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lor theme="9" tint="-0.24994659260841701"/>
      </font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u/>
        <color theme="9" tint="-0.2499465926084170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theme="2"/>
      </font>
      <fill>
        <patternFill patternType="solid">
          <bgColor theme="2"/>
        </patternFill>
      </fill>
      <border>
        <vertical/>
        <horizontal/>
      </border>
    </dxf>
    <dxf>
      <font>
        <strike val="0"/>
        <color theme="2"/>
      </font>
    </dxf>
    <dxf>
      <font>
        <b/>
        <i val="0"/>
        <strike val="0"/>
      </font>
      <fill>
        <patternFill>
          <bgColor rgb="FFFF7C80"/>
        </patternFill>
      </fill>
    </dxf>
    <dxf>
      <font>
        <b/>
        <i val="0"/>
        <strike val="0"/>
        <color auto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  <border>
        <vertical/>
        <horizontal/>
      </border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lor theme="9" tint="-0.24994659260841701"/>
      </font>
    </dxf>
    <dxf>
      <font>
        <color theme="2"/>
      </font>
      <fill>
        <patternFill>
          <bgColor theme="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u/>
        <color theme="9" tint="-0.2499465926084170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theme="2"/>
      </font>
      <fill>
        <patternFill patternType="solid">
          <bgColor theme="2"/>
        </patternFill>
      </fill>
      <border>
        <vertical/>
        <horizontal/>
      </border>
    </dxf>
    <dxf>
      <font>
        <strike val="0"/>
        <color theme="2"/>
      </font>
    </dxf>
    <dxf>
      <font>
        <b/>
        <i val="0"/>
        <strike val="0"/>
      </font>
      <fill>
        <patternFill>
          <bgColor rgb="FFFF7C80"/>
        </patternFill>
      </fill>
    </dxf>
    <dxf>
      <font>
        <b/>
        <i val="0"/>
        <strike val="0"/>
        <color auto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  <border>
        <vertical/>
        <horizontal/>
      </border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lor theme="9" tint="-0.24994659260841701"/>
      </font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u/>
        <color theme="9" tint="-0.2499465926084170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theme="2"/>
      </font>
      <fill>
        <patternFill patternType="solid">
          <bgColor theme="2"/>
        </patternFill>
      </fill>
      <border>
        <vertical/>
        <horizontal/>
      </border>
    </dxf>
    <dxf>
      <font>
        <strike val="0"/>
        <color theme="2"/>
      </font>
    </dxf>
    <dxf>
      <font>
        <b/>
        <i val="0"/>
        <strike val="0"/>
      </font>
      <fill>
        <patternFill>
          <bgColor rgb="FFFF7C80"/>
        </patternFill>
      </fill>
    </dxf>
    <dxf>
      <font>
        <b/>
        <i val="0"/>
        <strike val="0"/>
        <color auto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  <border>
        <vertical/>
        <horizontal/>
      </border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lor theme="9" tint="-0.24994659260841701"/>
      </font>
    </dxf>
    <dxf>
      <font>
        <color theme="2"/>
      </font>
      <fill>
        <patternFill>
          <bgColor theme="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u/>
        <color theme="9" tint="-0.2499465926084170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theme="2"/>
      </font>
      <fill>
        <patternFill patternType="solid">
          <bgColor theme="2"/>
        </patternFill>
      </fill>
      <border>
        <vertical/>
        <horizontal/>
      </border>
    </dxf>
    <dxf>
      <font>
        <strike val="0"/>
        <color theme="2"/>
      </font>
    </dxf>
    <dxf>
      <font>
        <b/>
        <i val="0"/>
        <strike val="0"/>
      </font>
      <fill>
        <patternFill>
          <bgColor rgb="FFFF7C80"/>
        </patternFill>
      </fill>
    </dxf>
    <dxf>
      <font>
        <b/>
        <i val="0"/>
        <strike val="0"/>
        <color auto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  <border>
        <vertical/>
        <horizontal/>
      </border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lor theme="9" tint="-0.24994659260841701"/>
      </font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u/>
        <color theme="9" tint="-0.2499465926084170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theme="2"/>
      </font>
      <fill>
        <patternFill patternType="solid">
          <bgColor theme="2"/>
        </patternFill>
      </fill>
      <border>
        <vertical/>
        <horizontal/>
      </border>
    </dxf>
    <dxf>
      <font>
        <strike val="0"/>
        <color theme="2"/>
      </font>
    </dxf>
    <dxf>
      <font>
        <b/>
        <i val="0"/>
        <strike val="0"/>
      </font>
      <fill>
        <patternFill>
          <bgColor rgb="FFFF7C80"/>
        </patternFill>
      </fill>
    </dxf>
    <dxf>
      <font>
        <b/>
        <i val="0"/>
        <strike val="0"/>
        <color auto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  <border>
        <vertical/>
        <horizontal/>
      </border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lor theme="9" tint="-0.24994659260841701"/>
      </font>
    </dxf>
    <dxf>
      <font>
        <color theme="2"/>
      </font>
      <fill>
        <patternFill>
          <bgColor theme="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u/>
        <color theme="9" tint="-0.2499465926084170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theme="2"/>
      </font>
      <fill>
        <patternFill patternType="solid">
          <bgColor theme="2"/>
        </patternFill>
      </fill>
      <border>
        <vertical/>
        <horizontal/>
      </border>
    </dxf>
    <dxf>
      <font>
        <strike val="0"/>
        <color theme="2"/>
      </font>
    </dxf>
    <dxf>
      <font>
        <b/>
        <i val="0"/>
        <strike val="0"/>
      </font>
      <fill>
        <patternFill>
          <bgColor rgb="FFFF7C80"/>
        </patternFill>
      </fill>
    </dxf>
    <dxf>
      <font>
        <b/>
        <i val="0"/>
        <strike val="0"/>
        <color auto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  <border>
        <vertical/>
        <horizontal/>
      </border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lor theme="9" tint="-0.24994659260841701"/>
      </font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u/>
        <color theme="9" tint="-0.2499465926084170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theme="2"/>
      </font>
      <fill>
        <patternFill patternType="solid">
          <bgColor theme="2"/>
        </patternFill>
      </fill>
      <border>
        <vertical/>
        <horizontal/>
      </border>
    </dxf>
    <dxf>
      <font>
        <strike val="0"/>
        <color theme="2"/>
      </font>
    </dxf>
    <dxf>
      <font>
        <b/>
        <i val="0"/>
        <strike val="0"/>
      </font>
      <fill>
        <patternFill>
          <bgColor rgb="FFFF7C80"/>
        </patternFill>
      </fill>
    </dxf>
    <dxf>
      <font>
        <b/>
        <i val="0"/>
        <strike val="0"/>
        <color auto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  <border>
        <vertical/>
        <horizontal/>
      </border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lor theme="9" tint="-0.24994659260841701"/>
      </font>
    </dxf>
    <dxf>
      <font>
        <color theme="2"/>
      </font>
      <fill>
        <patternFill>
          <bgColor theme="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u/>
        <color theme="9" tint="-0.2499465926084170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theme="2"/>
      </font>
      <fill>
        <patternFill patternType="solid">
          <bgColor theme="2"/>
        </patternFill>
      </fill>
      <border>
        <vertical/>
        <horizontal/>
      </border>
    </dxf>
    <dxf>
      <font>
        <strike val="0"/>
        <color theme="2"/>
      </font>
    </dxf>
    <dxf>
      <font>
        <b/>
        <i val="0"/>
        <strike val="0"/>
      </font>
      <fill>
        <patternFill>
          <bgColor rgb="FFFF7C80"/>
        </patternFill>
      </fill>
    </dxf>
    <dxf>
      <font>
        <b/>
        <i val="0"/>
        <strike val="0"/>
        <color auto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  <border>
        <vertical/>
        <horizontal/>
      </border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lor theme="9" tint="-0.24994659260841701"/>
      </font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u/>
        <color theme="9" tint="-0.2499465926084170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theme="2"/>
      </font>
      <fill>
        <patternFill patternType="solid">
          <bgColor theme="2"/>
        </patternFill>
      </fill>
      <border>
        <vertical/>
        <horizontal/>
      </border>
    </dxf>
    <dxf>
      <font>
        <strike val="0"/>
        <color theme="2"/>
      </font>
    </dxf>
    <dxf>
      <font>
        <b/>
        <i val="0"/>
        <strike val="0"/>
      </font>
      <fill>
        <patternFill>
          <bgColor rgb="FFFF7C80"/>
        </patternFill>
      </fill>
    </dxf>
    <dxf>
      <font>
        <b/>
        <i val="0"/>
        <strike val="0"/>
        <color auto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  <border>
        <vertical/>
        <horizontal/>
      </border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lor theme="9" tint="-0.24994659260841701"/>
      </font>
    </dxf>
    <dxf>
      <font>
        <color theme="2"/>
      </font>
      <fill>
        <patternFill>
          <bgColor theme="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u/>
        <color theme="9" tint="-0.2499465926084170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theme="2"/>
      </font>
      <fill>
        <patternFill patternType="solid">
          <bgColor theme="2"/>
        </patternFill>
      </fill>
      <border>
        <vertical/>
        <horizontal/>
      </border>
    </dxf>
    <dxf>
      <font>
        <strike val="0"/>
        <color theme="2"/>
      </font>
    </dxf>
    <dxf>
      <font>
        <b/>
        <i val="0"/>
        <strike val="0"/>
      </font>
      <fill>
        <patternFill>
          <bgColor rgb="FFFF7C80"/>
        </patternFill>
      </fill>
    </dxf>
    <dxf>
      <font>
        <b/>
        <i val="0"/>
        <strike val="0"/>
        <color auto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  <border>
        <vertical/>
        <horizontal/>
      </border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lor theme="9" tint="-0.24994659260841701"/>
      </font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u/>
        <color theme="9" tint="-0.2499465926084170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theme="2"/>
      </font>
      <fill>
        <patternFill patternType="solid">
          <bgColor theme="2"/>
        </patternFill>
      </fill>
      <border>
        <vertical/>
        <horizontal/>
      </border>
    </dxf>
    <dxf>
      <font>
        <strike val="0"/>
        <color theme="2"/>
      </font>
    </dxf>
    <dxf>
      <font>
        <b/>
        <i val="0"/>
        <strike val="0"/>
      </font>
      <fill>
        <patternFill>
          <bgColor rgb="FFFF7C80"/>
        </patternFill>
      </fill>
    </dxf>
    <dxf>
      <font>
        <b/>
        <i val="0"/>
        <strike val="0"/>
        <color auto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  <border>
        <vertical/>
        <horizontal/>
      </border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lor theme="9" tint="-0.24994659260841701"/>
      </font>
    </dxf>
    <dxf>
      <font>
        <color theme="2"/>
      </font>
      <fill>
        <patternFill>
          <bgColor theme="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u/>
        <color theme="9" tint="-0.2499465926084170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theme="2"/>
      </font>
      <fill>
        <patternFill patternType="solid">
          <bgColor theme="2"/>
        </patternFill>
      </fill>
      <border>
        <vertical/>
        <horizontal/>
      </border>
    </dxf>
    <dxf>
      <font>
        <strike val="0"/>
        <color theme="2"/>
      </font>
    </dxf>
    <dxf>
      <font>
        <b/>
        <i val="0"/>
        <strike val="0"/>
      </font>
      <fill>
        <patternFill>
          <bgColor rgb="FFFF7C80"/>
        </patternFill>
      </fill>
    </dxf>
    <dxf>
      <font>
        <b/>
        <i val="0"/>
        <strike val="0"/>
        <color auto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  <border>
        <vertical/>
        <horizontal/>
      </border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lor theme="9" tint="-0.24994659260841701"/>
      </font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u/>
        <color theme="9" tint="-0.2499465926084170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theme="2"/>
      </font>
      <fill>
        <patternFill patternType="solid">
          <bgColor theme="2"/>
        </patternFill>
      </fill>
      <border>
        <vertical/>
        <horizontal/>
      </border>
    </dxf>
    <dxf>
      <font>
        <strike val="0"/>
        <color theme="2"/>
      </font>
    </dxf>
    <dxf>
      <font>
        <b/>
        <i val="0"/>
        <strike val="0"/>
      </font>
      <fill>
        <patternFill>
          <bgColor rgb="FFFF7C80"/>
        </patternFill>
      </fill>
    </dxf>
    <dxf>
      <font>
        <b/>
        <i val="0"/>
        <strike val="0"/>
        <color auto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  <border>
        <vertical/>
        <horizontal/>
      </border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lor theme="9" tint="-0.24994659260841701"/>
      </font>
    </dxf>
    <dxf>
      <font>
        <color theme="2"/>
      </font>
      <fill>
        <patternFill>
          <bgColor theme="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u/>
        <color theme="9" tint="-0.2499465926084170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theme="2"/>
      </font>
      <fill>
        <patternFill patternType="solid">
          <bgColor theme="2"/>
        </patternFill>
      </fill>
      <border>
        <vertical/>
        <horizontal/>
      </border>
    </dxf>
    <dxf>
      <font>
        <strike val="0"/>
        <color theme="2"/>
      </font>
    </dxf>
    <dxf>
      <font>
        <b/>
        <i val="0"/>
        <strike val="0"/>
      </font>
      <fill>
        <patternFill>
          <bgColor rgb="FFFF7C80"/>
        </patternFill>
      </fill>
    </dxf>
    <dxf>
      <font>
        <b/>
        <i val="0"/>
        <strike val="0"/>
        <color auto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  <border>
        <vertical/>
        <horizontal/>
      </border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lor theme="9" tint="-0.24994659260841701"/>
      </font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u/>
        <color theme="9" tint="-0.2499465926084170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theme="2"/>
      </font>
      <fill>
        <patternFill patternType="solid">
          <bgColor theme="2"/>
        </patternFill>
      </fill>
      <border>
        <vertical/>
        <horizontal/>
      </border>
    </dxf>
    <dxf>
      <font>
        <strike val="0"/>
        <color theme="2"/>
      </font>
    </dxf>
    <dxf>
      <font>
        <b/>
        <i val="0"/>
        <strike val="0"/>
      </font>
      <fill>
        <patternFill>
          <bgColor rgb="FFFF7C80"/>
        </patternFill>
      </fill>
    </dxf>
    <dxf>
      <font>
        <b/>
        <i val="0"/>
        <strike val="0"/>
        <color auto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  <border>
        <vertical/>
        <horizontal/>
      </border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lor theme="9" tint="-0.24994659260841701"/>
      </font>
    </dxf>
    <dxf>
      <font>
        <color theme="2"/>
      </font>
      <fill>
        <patternFill>
          <bgColor theme="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u/>
        <color theme="9" tint="-0.2499465926084170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theme="2"/>
      </font>
      <fill>
        <patternFill patternType="solid">
          <bgColor theme="2"/>
        </patternFill>
      </fill>
      <border>
        <vertical/>
        <horizontal/>
      </border>
    </dxf>
    <dxf>
      <font>
        <strike val="0"/>
        <color theme="2"/>
      </font>
    </dxf>
    <dxf>
      <font>
        <b/>
        <i val="0"/>
        <strike val="0"/>
      </font>
      <fill>
        <patternFill>
          <bgColor rgb="FFFF7C80"/>
        </patternFill>
      </fill>
    </dxf>
    <dxf>
      <font>
        <b/>
        <i val="0"/>
        <strike val="0"/>
        <color auto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  <border>
        <vertical/>
        <horizontal/>
      </border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lor theme="9" tint="-0.24994659260841701"/>
      </font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u/>
        <color theme="9" tint="-0.2499465926084170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theme="2"/>
      </font>
      <fill>
        <patternFill patternType="solid">
          <bgColor theme="2"/>
        </patternFill>
      </fill>
      <border>
        <vertical/>
        <horizontal/>
      </border>
    </dxf>
    <dxf>
      <font>
        <strike val="0"/>
        <color theme="2"/>
      </font>
    </dxf>
    <dxf>
      <font>
        <b/>
        <i val="0"/>
        <strike val="0"/>
      </font>
      <fill>
        <patternFill>
          <bgColor rgb="FFFF7C80"/>
        </patternFill>
      </fill>
    </dxf>
    <dxf>
      <font>
        <b/>
        <i val="0"/>
        <strike val="0"/>
        <color auto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  <border>
        <vertical/>
        <horizontal/>
      </border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lor theme="9" tint="-0.24994659260841701"/>
      </font>
    </dxf>
    <dxf>
      <font>
        <color theme="2"/>
      </font>
      <fill>
        <patternFill>
          <bgColor theme="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u/>
        <color theme="9" tint="-0.2499465926084170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theme="2"/>
      </font>
      <fill>
        <patternFill patternType="solid">
          <bgColor theme="2"/>
        </patternFill>
      </fill>
      <border>
        <vertical/>
        <horizontal/>
      </border>
    </dxf>
    <dxf>
      <font>
        <strike val="0"/>
        <color theme="2"/>
      </font>
    </dxf>
    <dxf>
      <font>
        <b/>
        <i val="0"/>
        <strike val="0"/>
      </font>
      <fill>
        <patternFill>
          <bgColor rgb="FFFF7C80"/>
        </patternFill>
      </fill>
    </dxf>
    <dxf>
      <font>
        <b/>
        <i val="0"/>
        <strike val="0"/>
        <color auto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  <border>
        <vertical/>
        <horizontal/>
      </border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lor theme="9" tint="-0.24994659260841701"/>
      </font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u/>
        <color theme="9" tint="-0.2499465926084170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theme="2"/>
      </font>
      <fill>
        <patternFill patternType="solid">
          <bgColor theme="2"/>
        </patternFill>
      </fill>
      <border>
        <vertical/>
        <horizontal/>
      </border>
    </dxf>
    <dxf>
      <font>
        <strike val="0"/>
        <color theme="2"/>
      </font>
    </dxf>
    <dxf>
      <font>
        <b/>
        <i val="0"/>
        <strike val="0"/>
      </font>
      <fill>
        <patternFill>
          <bgColor rgb="FFFF7C80"/>
        </patternFill>
      </fill>
    </dxf>
    <dxf>
      <font>
        <b/>
        <i val="0"/>
        <strike val="0"/>
        <color auto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  <border>
        <vertical/>
        <horizontal/>
      </border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lor theme="9" tint="-0.24994659260841701"/>
      </font>
    </dxf>
    <dxf>
      <font>
        <color theme="2"/>
      </font>
      <fill>
        <patternFill>
          <bgColor theme="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u/>
        <color theme="9" tint="-0.2499465926084170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theme="2"/>
      </font>
      <fill>
        <patternFill patternType="solid">
          <bgColor theme="2"/>
        </patternFill>
      </fill>
      <border>
        <vertical/>
        <horizontal/>
      </border>
    </dxf>
    <dxf>
      <font>
        <strike val="0"/>
        <color theme="2"/>
      </font>
    </dxf>
    <dxf>
      <font>
        <b/>
        <i val="0"/>
        <strike val="0"/>
      </font>
      <fill>
        <patternFill>
          <bgColor rgb="FFFF7C80"/>
        </patternFill>
      </fill>
    </dxf>
    <dxf>
      <font>
        <b/>
        <i val="0"/>
        <strike val="0"/>
        <color auto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  <border>
        <vertical/>
        <horizontal/>
      </border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lor theme="9" tint="-0.24994659260841701"/>
      </font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u/>
        <color theme="9" tint="-0.2499465926084170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theme="2"/>
      </font>
      <fill>
        <patternFill patternType="solid">
          <bgColor theme="2"/>
        </patternFill>
      </fill>
      <border>
        <vertical/>
        <horizontal/>
      </border>
    </dxf>
    <dxf>
      <font>
        <strike val="0"/>
        <color theme="2"/>
      </font>
    </dxf>
    <dxf>
      <font>
        <b/>
        <i val="0"/>
        <strike val="0"/>
      </font>
      <fill>
        <patternFill>
          <bgColor rgb="FFFF7C80"/>
        </patternFill>
      </fill>
    </dxf>
    <dxf>
      <font>
        <b/>
        <i val="0"/>
        <strike val="0"/>
        <color auto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  <border>
        <vertical/>
        <horizontal/>
      </border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lor theme="9" tint="-0.24994659260841701"/>
      </font>
    </dxf>
    <dxf>
      <font>
        <color theme="2"/>
      </font>
      <fill>
        <patternFill>
          <bgColor theme="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u/>
        <color theme="9" tint="-0.2499465926084170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theme="2"/>
      </font>
      <fill>
        <patternFill patternType="solid">
          <bgColor theme="2"/>
        </patternFill>
      </fill>
      <border>
        <vertical/>
        <horizontal/>
      </border>
    </dxf>
    <dxf>
      <font>
        <strike val="0"/>
        <color theme="2"/>
      </font>
    </dxf>
    <dxf>
      <font>
        <b/>
        <i val="0"/>
        <strike val="0"/>
      </font>
      <fill>
        <patternFill>
          <bgColor rgb="FFFF7C80"/>
        </patternFill>
      </fill>
    </dxf>
    <dxf>
      <font>
        <b/>
        <i val="0"/>
        <strike val="0"/>
        <color auto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  <border>
        <vertical/>
        <horizontal/>
      </border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lor theme="9" tint="-0.24994659260841701"/>
      </font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u/>
        <color theme="9" tint="-0.2499465926084170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theme="2"/>
      </font>
      <fill>
        <patternFill patternType="solid">
          <bgColor theme="2"/>
        </patternFill>
      </fill>
      <border>
        <vertical/>
        <horizontal/>
      </border>
    </dxf>
    <dxf>
      <font>
        <strike val="0"/>
        <color theme="2"/>
      </font>
    </dxf>
    <dxf>
      <font>
        <b/>
        <i val="0"/>
        <strike val="0"/>
      </font>
      <fill>
        <patternFill>
          <bgColor rgb="FFFF7C80"/>
        </patternFill>
      </fill>
    </dxf>
    <dxf>
      <font>
        <b/>
        <i val="0"/>
        <strike val="0"/>
        <color auto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  <border>
        <vertical/>
        <horizontal/>
      </border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lor theme="9" tint="-0.24994659260841701"/>
      </font>
    </dxf>
    <dxf>
      <font>
        <color theme="2"/>
      </font>
      <fill>
        <patternFill>
          <bgColor theme="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u/>
        <color theme="9" tint="-0.2499465926084170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theme="2"/>
      </font>
      <fill>
        <patternFill patternType="solid">
          <bgColor theme="2"/>
        </patternFill>
      </fill>
      <border>
        <vertical/>
        <horizontal/>
      </border>
    </dxf>
    <dxf>
      <font>
        <strike val="0"/>
        <color theme="2"/>
      </font>
    </dxf>
    <dxf>
      <font>
        <b/>
        <i val="0"/>
        <strike val="0"/>
      </font>
      <fill>
        <patternFill>
          <bgColor rgb="FFFF7C80"/>
        </patternFill>
      </fill>
    </dxf>
    <dxf>
      <font>
        <b/>
        <i val="0"/>
        <strike val="0"/>
        <color auto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  <border>
        <vertical/>
        <horizontal/>
      </border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lor theme="9" tint="-0.24994659260841701"/>
      </font>
    </dxf>
    <dxf>
      <font>
        <b/>
        <i val="0"/>
        <strike val="0"/>
        <u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u/>
        <color theme="9" tint="-0.2499465926084170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theme="2"/>
      </font>
      <fill>
        <patternFill patternType="solid">
          <bgColor theme="2"/>
        </patternFill>
      </fill>
      <border>
        <vertical/>
        <horizontal/>
      </border>
    </dxf>
    <dxf>
      <font>
        <strike val="0"/>
        <color theme="2"/>
      </font>
    </dxf>
    <dxf>
      <font>
        <b/>
        <i val="0"/>
        <strike val="0"/>
      </font>
      <fill>
        <patternFill>
          <bgColor rgb="FFFF7C80"/>
        </patternFill>
      </fill>
    </dxf>
    <dxf>
      <font>
        <b/>
        <i val="0"/>
        <strike val="0"/>
        <color auto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  <border>
        <vertical/>
        <horizontal/>
      </border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SG">
                <a:solidFill>
                  <a:schemeClr val="accent2"/>
                </a:solidFill>
              </a:rPr>
              <a:t>HQC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041856212537431E-2"/>
          <c:y val="0.13692552474352129"/>
          <c:w val="0.85499174011352508"/>
          <c:h val="0.6503580352696221"/>
        </c:manualLayout>
      </c:layout>
      <c:lineChart>
        <c:grouping val="standard"/>
        <c:varyColors val="1"/>
        <c:ser>
          <c:idx val="4"/>
          <c:order val="6"/>
          <c:tx>
            <c:v>date</c:v>
          </c:tx>
          <c:marker>
            <c:symbol val="none"/>
          </c:marker>
          <c:cat>
            <c:numRef>
              <c:f>'11-deoxycorticosterone'!$R$14:$R$55</c:f>
              <c:numCache>
                <c:formatCode>yyyy/mm/dd;@</c:formatCode>
                <c:ptCount val="42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  <c:pt idx="38">
                  <c:v>46044</c:v>
                </c:pt>
                <c:pt idx="39">
                  <c:v>46048</c:v>
                </c:pt>
                <c:pt idx="40">
                  <c:v>46048</c:v>
                </c:pt>
                <c:pt idx="41">
                  <c:v>46065</c:v>
                </c:pt>
              </c:numCache>
            </c:numRef>
          </c:cat>
          <c:val>
            <c:numRef>
              <c:f>'11-deoxycorticosterone'!$R$14:$R$51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31-4D1E-AB8B-619C74E64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4825479"/>
        <c:axId val="1664720785"/>
      </c:lineChart>
      <c:scatterChart>
        <c:scatterStyle val="smoothMarker"/>
        <c:varyColors val="1"/>
        <c:ser>
          <c:idx val="3"/>
          <c:order val="1"/>
          <c:tx>
            <c:strRef>
              <c:f>'11-deoxycorticosterone'!$Z$10</c:f>
              <c:strCache>
                <c:ptCount val="1"/>
                <c:pt idx="0">
                  <c:v>+3SD UCL</c:v>
                </c:pt>
              </c:strCache>
            </c:strRef>
          </c:tx>
          <c:spPr>
            <a:ln>
              <a:solidFill>
                <a:srgbClr val="C00000"/>
              </a:solidFill>
              <a:prstDash val="solid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C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0EC-44E3-88EA-A014A0C21038}"/>
              </c:ext>
            </c:extLst>
          </c:dPt>
          <c:xVal>
            <c:numRef>
              <c:f>('11-deoxycorticosterone'!$R$4,'11-deoxycorticosterone'!$T$4)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43</c:v>
                </c:pt>
              </c:numCache>
            </c:numRef>
          </c:xVal>
          <c:yVal>
            <c:numRef>
              <c:f>('11-deoxycorticosterone'!$Z$11,'11-deoxycorticosterone'!$Z$11)</c:f>
              <c:numCache>
                <c:formatCode>0.00</c:formatCode>
                <c:ptCount val="2"/>
                <c:pt idx="0">
                  <c:v>13.812203319816302</c:v>
                </c:pt>
                <c:pt idx="1">
                  <c:v>13.812203319816302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131-4D1E-AB8B-619C74E64FBE}"/>
            </c:ext>
          </c:extLst>
        </c:ser>
        <c:ser>
          <c:idx val="1"/>
          <c:order val="5"/>
          <c:tx>
            <c:strRef>
              <c:f>'11-deoxycorticosterone'!$W$10</c:f>
              <c:strCache>
                <c:ptCount val="1"/>
                <c:pt idx="0">
                  <c:v>-3SD LCL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00B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E0EC-44E3-88EA-A014A0C21038}"/>
              </c:ext>
            </c:extLst>
          </c:dPt>
          <c:xVal>
            <c:numRef>
              <c:f>('11-deoxycorticosterone'!$R$4,'11-deoxycorticosterone'!$T$4)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43</c:v>
                </c:pt>
              </c:numCache>
            </c:numRef>
          </c:xVal>
          <c:yVal>
            <c:numRef>
              <c:f>('11-deoxycorticosterone'!$W$11,'11-deoxycorticosterone'!$W$11)</c:f>
              <c:numCache>
                <c:formatCode>0.00</c:formatCode>
                <c:ptCount val="2"/>
                <c:pt idx="0">
                  <c:v>7.5273918021349244</c:v>
                </c:pt>
                <c:pt idx="1">
                  <c:v>7.5273918021349244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131-4D1E-AB8B-619C74E64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scatterChart>
        <c:scatterStyle val="lineMarker"/>
        <c:varyColors val="1"/>
        <c:ser>
          <c:idx val="0"/>
          <c:order val="0"/>
          <c:tx>
            <c:v>HQC</c:v>
          </c:tx>
          <c:marker>
            <c:symbol val="circle"/>
            <c:size val="10"/>
            <c:spPr>
              <a:solidFill>
                <a:schemeClr val="tx1">
                  <a:lumMod val="50000"/>
                  <a:lumOff val="50000"/>
                </a:schemeClr>
              </a:solidFill>
              <a:ln cmpd="sng">
                <a:solidFill>
                  <a:schemeClr val="tx1"/>
                </a:solidFill>
              </a:ln>
            </c:spPr>
          </c:marker>
          <c:xVal>
            <c:strRef>
              <c:f>'11-deoxycorticosterone'!$P$14:$P$268</c:f>
              <c:strCache>
                <c:ptCount val="4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</c:strCache>
            </c:strRef>
          </c:xVal>
          <c:yVal>
            <c:numRef>
              <c:f>'11-deoxycorticosterone'!$U$14:$U$268</c:f>
              <c:numCache>
                <c:formatCode>0.000</c:formatCode>
                <c:ptCount val="255"/>
                <c:pt idx="0">
                  <c:v>10.394</c:v>
                </c:pt>
                <c:pt idx="1">
                  <c:v>11.340999999999999</c:v>
                </c:pt>
                <c:pt idx="2">
                  <c:v>9.3409999999999993</c:v>
                </c:pt>
                <c:pt idx="3">
                  <c:v>10.077999999999999</c:v>
                </c:pt>
                <c:pt idx="4">
                  <c:v>9.5419999999999998</c:v>
                </c:pt>
                <c:pt idx="5">
                  <c:v>10.561</c:v>
                </c:pt>
                <c:pt idx="6">
                  <c:v>9.9039999999999999</c:v>
                </c:pt>
                <c:pt idx="7">
                  <c:v>9.5269999999999992</c:v>
                </c:pt>
                <c:pt idx="8">
                  <c:v>10.715999999999999</c:v>
                </c:pt>
                <c:pt idx="9">
                  <c:v>9.0250000000000004</c:v>
                </c:pt>
                <c:pt idx="10">
                  <c:v>10.651999999999999</c:v>
                </c:pt>
                <c:pt idx="11">
                  <c:v>10.505000000000001</c:v>
                </c:pt>
                <c:pt idx="12">
                  <c:v>10.785</c:v>
                </c:pt>
                <c:pt idx="13">
                  <c:v>12.198</c:v>
                </c:pt>
                <c:pt idx="14">
                  <c:v>9.3409999999999993</c:v>
                </c:pt>
                <c:pt idx="15">
                  <c:v>15.727</c:v>
                </c:pt>
                <c:pt idx="16">
                  <c:v>11.752000000000001</c:v>
                </c:pt>
                <c:pt idx="17">
                  <c:v>11.673999999999999</c:v>
                </c:pt>
                <c:pt idx="18">
                  <c:v>12.673</c:v>
                </c:pt>
                <c:pt idx="19">
                  <c:v>10.472</c:v>
                </c:pt>
                <c:pt idx="20">
                  <c:v>10.869</c:v>
                </c:pt>
                <c:pt idx="21">
                  <c:v>9.6310000000000002</c:v>
                </c:pt>
                <c:pt idx="22">
                  <c:v>10.977</c:v>
                </c:pt>
                <c:pt idx="23">
                  <c:v>9.8490000000000002</c:v>
                </c:pt>
                <c:pt idx="24">
                  <c:v>10.862299999999999</c:v>
                </c:pt>
                <c:pt idx="25">
                  <c:v>10.5214</c:v>
                </c:pt>
                <c:pt idx="26">
                  <c:v>8.9920000000000009</c:v>
                </c:pt>
                <c:pt idx="27">
                  <c:v>10.705</c:v>
                </c:pt>
                <c:pt idx="28">
                  <c:v>10.327</c:v>
                </c:pt>
                <c:pt idx="29">
                  <c:v>10.904</c:v>
                </c:pt>
                <c:pt idx="30">
                  <c:v>10.413</c:v>
                </c:pt>
                <c:pt idx="31">
                  <c:v>9.0489999999999995</c:v>
                </c:pt>
                <c:pt idx="32">
                  <c:v>9.9819999999999993</c:v>
                </c:pt>
                <c:pt idx="33">
                  <c:v>11.44</c:v>
                </c:pt>
                <c:pt idx="34">
                  <c:v>13.002000000000001</c:v>
                </c:pt>
                <c:pt idx="35">
                  <c:v>11.887</c:v>
                </c:pt>
                <c:pt idx="36">
                  <c:v>11.95</c:v>
                </c:pt>
                <c:pt idx="37">
                  <c:v>10.99</c:v>
                </c:pt>
                <c:pt idx="38">
                  <c:v>13.22</c:v>
                </c:pt>
                <c:pt idx="39">
                  <c:v>11.17</c:v>
                </c:pt>
                <c:pt idx="40">
                  <c:v>10.49</c:v>
                </c:pt>
                <c:pt idx="41">
                  <c:v>9.75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131-4D1E-AB8B-619C74E64FBE}"/>
            </c:ext>
          </c:extLst>
        </c:ser>
        <c:ser>
          <c:idx val="5"/>
          <c:order val="2"/>
          <c:tx>
            <c:strRef>
              <c:f>'11-deoxycorticosterone'!$Y$10</c:f>
              <c:strCache>
                <c:ptCount val="1"/>
                <c:pt idx="0">
                  <c:v>+2SD UCL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FF0000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5-E0EC-44E3-88EA-A014A0C21038}"/>
              </c:ext>
            </c:extLst>
          </c:dPt>
          <c:xVal>
            <c:numRef>
              <c:f>('11-deoxycorticosterone'!$R$4,'11-deoxycorticosterone'!$T$4)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43</c:v>
                </c:pt>
              </c:numCache>
            </c:numRef>
          </c:xVal>
          <c:yVal>
            <c:numRef>
              <c:f>('11-deoxycorticosterone'!$Y$11,'11-deoxycorticosterone'!$Y$11)</c:f>
              <c:numCache>
                <c:formatCode>0.00</c:formatCode>
                <c:ptCount val="2"/>
                <c:pt idx="0">
                  <c:v>12.764734733536073</c:v>
                </c:pt>
                <c:pt idx="1">
                  <c:v>12.764734733536073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131-4D1E-AB8B-619C74E64FBE}"/>
            </c:ext>
          </c:extLst>
        </c:ser>
        <c:ser>
          <c:idx val="2"/>
          <c:order val="3"/>
          <c:tx>
            <c:v>Mean</c:v>
          </c:tx>
          <c:spPr>
            <a:ln>
              <a:solidFill>
                <a:schemeClr val="accent1"/>
              </a:solidFill>
              <a:prstDash val="sysDash"/>
            </a:ln>
          </c:spPr>
          <c:dPt>
            <c:idx val="0"/>
            <c:marker>
              <c:symbol val="none"/>
            </c:marker>
            <c:bubble3D val="0"/>
            <c:spPr>
              <a:ln w="28575">
                <a:solidFill>
                  <a:schemeClr val="accent1"/>
                </a:solidFill>
                <a:prstDash val="sysDot"/>
              </a:ln>
            </c:spPr>
            <c:extLst>
              <c:ext xmlns:c16="http://schemas.microsoft.com/office/drawing/2014/chart" uri="{C3380CC4-5D6E-409C-BE32-E72D297353CC}">
                <c16:uniqueId val="{00000007-E0EC-44E3-88EA-A014A0C21038}"/>
              </c:ext>
            </c:extLst>
          </c:dPt>
          <c:xVal>
            <c:numRef>
              <c:f>('11-deoxycorticosterone'!$R$4,'11-deoxycorticosterone'!$T$4)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43</c:v>
                </c:pt>
              </c:numCache>
            </c:numRef>
          </c:xVal>
          <c:yVal>
            <c:numRef>
              <c:f>('11-deoxycorticosterone'!$U$11,'11-deoxycorticosterone'!$U$11)</c:f>
              <c:numCache>
                <c:formatCode>0.00</c:formatCode>
                <c:ptCount val="2"/>
                <c:pt idx="0">
                  <c:v>10.669797560975613</c:v>
                </c:pt>
                <c:pt idx="1">
                  <c:v>10.669797560975613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A131-4D1E-AB8B-619C74E64FBE}"/>
            </c:ext>
          </c:extLst>
        </c:ser>
        <c:ser>
          <c:idx val="6"/>
          <c:order val="4"/>
          <c:tx>
            <c:strRef>
              <c:f>'11-deoxycorticosterone'!$X$10</c:f>
              <c:strCache>
                <c:ptCount val="1"/>
                <c:pt idx="0">
                  <c:v>-2SD LCL</c:v>
                </c:pt>
              </c:strCache>
            </c:strRef>
          </c:tx>
          <c:spPr>
            <a:ln w="25400">
              <a:solidFill>
                <a:schemeClr val="accent6">
                  <a:lumMod val="60000"/>
                  <a:lumOff val="40000"/>
                </a:schemeClr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chemeClr val="accent6">
                    <a:lumMod val="60000"/>
                    <a:lumOff val="40000"/>
                  </a:scheme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9-E0EC-44E3-88EA-A014A0C21038}"/>
              </c:ext>
            </c:extLst>
          </c:dPt>
          <c:xVal>
            <c:numRef>
              <c:f>('11-deoxycorticosterone'!$R$4,'11-deoxycorticosterone'!$T$4)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43</c:v>
                </c:pt>
              </c:numCache>
            </c:numRef>
          </c:xVal>
          <c:yVal>
            <c:numRef>
              <c:f>('11-deoxycorticosterone'!$X$11,'11-deoxycorticosterone'!$X$11)</c:f>
              <c:numCache>
                <c:formatCode>0.00</c:formatCode>
                <c:ptCount val="2"/>
                <c:pt idx="0">
                  <c:v>8.5748603884151535</c:v>
                </c:pt>
                <c:pt idx="1">
                  <c:v>8.5748603884151535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A131-4D1E-AB8B-619C74E64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catAx>
        <c:axId val="1414825479"/>
        <c:scaling>
          <c:orientation val="minMax"/>
        </c:scaling>
        <c:delete val="0"/>
        <c:axPos val="b"/>
        <c:numFmt formatCode="[$-409]d/mmm/yy;@" sourceLinked="0"/>
        <c:majorTickMark val="out"/>
        <c:minorTickMark val="out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664720785"/>
        <c:crosses val="autoZero"/>
        <c:auto val="0"/>
        <c:lblAlgn val="ctr"/>
        <c:lblOffset val="100"/>
        <c:noMultiLvlLbl val="1"/>
      </c:catAx>
      <c:valAx>
        <c:axId val="1664720785"/>
        <c:scaling>
          <c:orientation val="minMax"/>
          <c:max val="20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HQC [nmol/L]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/>
        </c:spPr>
        <c:crossAx val="1414825479"/>
        <c:crosses val="autoZero"/>
        <c:crossBetween val="between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</c:spPr>
      <c:txPr>
        <a:bodyPr anchor="ctr" anchorCtr="1"/>
        <a:lstStyle/>
        <a:p>
          <a:pPr rtl="0">
            <a:defRPr sz="1200"/>
          </a:pPr>
          <a:endParaRPr lang="en-US"/>
        </a:p>
      </c:txPr>
    </c:legend>
    <c:plotVisOnly val="1"/>
    <c:dispBlanksAs val="span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noFill/>
    </a:ln>
  </c:spPr>
  <c:txPr>
    <a:bodyPr/>
    <a:lstStyle/>
    <a:p>
      <a:pPr>
        <a:defRPr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SG">
                <a:solidFill>
                  <a:schemeClr val="accent6"/>
                </a:solidFill>
              </a:rPr>
              <a:t>LQC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041856212537431E-2"/>
          <c:y val="0.13692552474352129"/>
          <c:w val="0.85499174011352508"/>
          <c:h val="0.6503580352696221"/>
        </c:manualLayout>
      </c:layout>
      <c:lineChart>
        <c:grouping val="standard"/>
        <c:varyColors val="1"/>
        <c:ser>
          <c:idx val="4"/>
          <c:order val="6"/>
          <c:tx>
            <c:v>date</c:v>
          </c:tx>
          <c:marker>
            <c:symbol val="none"/>
          </c:marker>
          <c:cat>
            <c:numRef>
              <c:f>'11-deoxycorticosterone'!$R$14:$R$55</c:f>
              <c:numCache>
                <c:formatCode>yyyy/mm/dd;@</c:formatCode>
                <c:ptCount val="42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  <c:pt idx="38">
                  <c:v>46044</c:v>
                </c:pt>
                <c:pt idx="39">
                  <c:v>46048</c:v>
                </c:pt>
                <c:pt idx="40">
                  <c:v>46048</c:v>
                </c:pt>
                <c:pt idx="41">
                  <c:v>46065</c:v>
                </c:pt>
              </c:numCache>
            </c:numRef>
          </c:cat>
          <c:val>
            <c:numRef>
              <c:f>'11-deoxycorticosterone'!$R$14:$R$51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3D-4408-B959-B9EF080EF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4825479"/>
        <c:axId val="1664720785"/>
      </c:lineChart>
      <c:scatterChart>
        <c:scatterStyle val="smoothMarker"/>
        <c:varyColors val="1"/>
        <c:ser>
          <c:idx val="3"/>
          <c:order val="1"/>
          <c:tx>
            <c:strRef>
              <c:f>'11-deoxycorticosterone'!$AH$10</c:f>
              <c:strCache>
                <c:ptCount val="1"/>
                <c:pt idx="0">
                  <c:v>+3SD UCL</c:v>
                </c:pt>
              </c:strCache>
            </c:strRef>
          </c:tx>
          <c:spPr>
            <a:ln>
              <a:solidFill>
                <a:srgbClr val="C00000"/>
              </a:solidFill>
              <a:prstDash val="solid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C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A45-4405-B6E7-3B9D92A62605}"/>
              </c:ext>
            </c:extLst>
          </c:dPt>
          <c:xVal>
            <c:numRef>
              <c:f>('11-deoxycorticosterone'!$R$4,'11-deoxycorticosterone'!$T$4)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43</c:v>
                </c:pt>
              </c:numCache>
            </c:numRef>
          </c:xVal>
          <c:yVal>
            <c:numRef>
              <c:f>('11-deoxycorticosterone'!$AH$11,'11-deoxycorticosterone'!$AH$11)</c:f>
              <c:numCache>
                <c:formatCode>0.00</c:formatCode>
                <c:ptCount val="2"/>
                <c:pt idx="0">
                  <c:v>0.75373732747655087</c:v>
                </c:pt>
                <c:pt idx="1">
                  <c:v>0.75373732747655087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43D-4408-B959-B9EF080EFD11}"/>
            </c:ext>
          </c:extLst>
        </c:ser>
        <c:ser>
          <c:idx val="1"/>
          <c:order val="2"/>
          <c:tx>
            <c:strRef>
              <c:f>'11-deoxycorticosterone'!$AG$10</c:f>
              <c:strCache>
                <c:ptCount val="1"/>
                <c:pt idx="0">
                  <c:v>+2SD UCL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00B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2A45-4405-B6E7-3B9D92A62605}"/>
              </c:ext>
            </c:extLst>
          </c:dPt>
          <c:xVal>
            <c:numRef>
              <c:f>('11-deoxycorticosterone'!$R$4,'11-deoxycorticosterone'!$T$4)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43</c:v>
                </c:pt>
              </c:numCache>
            </c:numRef>
          </c:xVal>
          <c:yVal>
            <c:numRef>
              <c:f>('11-deoxycorticosterone'!$AG$11,'11-deoxycorticosterone'!$AG$11)</c:f>
              <c:numCache>
                <c:formatCode>0.00</c:formatCode>
                <c:ptCount val="2"/>
                <c:pt idx="0">
                  <c:v>0.69642885323833559</c:v>
                </c:pt>
                <c:pt idx="1">
                  <c:v>0.69642885323833559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43D-4408-B959-B9EF080EF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scatterChart>
        <c:scatterStyle val="lineMarker"/>
        <c:varyColors val="1"/>
        <c:ser>
          <c:idx val="0"/>
          <c:order val="0"/>
          <c:tx>
            <c:v>LQC</c:v>
          </c:tx>
          <c:marker>
            <c:symbol val="circle"/>
            <c:size val="10"/>
            <c:spPr>
              <a:solidFill>
                <a:schemeClr val="tx1">
                  <a:lumMod val="50000"/>
                  <a:lumOff val="50000"/>
                </a:schemeClr>
              </a:solidFill>
              <a:ln cmpd="sng">
                <a:solidFill>
                  <a:schemeClr val="tx1"/>
                </a:solidFill>
              </a:ln>
            </c:spPr>
          </c:marker>
          <c:xVal>
            <c:strRef>
              <c:f>'11-deoxycorticosterone'!$P$14:$P$268</c:f>
              <c:strCache>
                <c:ptCount val="4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</c:strCache>
            </c:strRef>
          </c:xVal>
          <c:yVal>
            <c:numRef>
              <c:f>'11-deoxycorticosterone'!$AC$14:$AC$268</c:f>
              <c:numCache>
                <c:formatCode>0.000</c:formatCode>
                <c:ptCount val="255"/>
                <c:pt idx="0">
                  <c:v>0.57099999999999995</c:v>
                </c:pt>
                <c:pt idx="1">
                  <c:v>0.56899999999999995</c:v>
                </c:pt>
                <c:pt idx="2">
                  <c:v>0.63600000000000001</c:v>
                </c:pt>
                <c:pt idx="3">
                  <c:v>0.63900000000000001</c:v>
                </c:pt>
                <c:pt idx="4">
                  <c:v>0.45600000000000002</c:v>
                </c:pt>
                <c:pt idx="5">
                  <c:v>0.55000000000000004</c:v>
                </c:pt>
                <c:pt idx="6">
                  <c:v>0.65100000000000002</c:v>
                </c:pt>
                <c:pt idx="7">
                  <c:v>0.67300000000000004</c:v>
                </c:pt>
                <c:pt idx="8">
                  <c:v>0.61899999999999999</c:v>
                </c:pt>
                <c:pt idx="9">
                  <c:v>0.53900000000000003</c:v>
                </c:pt>
                <c:pt idx="10">
                  <c:v>0.56899999999999995</c:v>
                </c:pt>
                <c:pt idx="11">
                  <c:v>0.71299999999999997</c:v>
                </c:pt>
                <c:pt idx="12">
                  <c:v>0.58199999999999996</c:v>
                </c:pt>
                <c:pt idx="13">
                  <c:v>0.55100000000000005</c:v>
                </c:pt>
                <c:pt idx="14">
                  <c:v>0.54800000000000004</c:v>
                </c:pt>
                <c:pt idx="15">
                  <c:v>0.50900000000000001</c:v>
                </c:pt>
                <c:pt idx="16">
                  <c:v>0.56499999999999995</c:v>
                </c:pt>
                <c:pt idx="17">
                  <c:v>0.54400000000000004</c:v>
                </c:pt>
                <c:pt idx="18">
                  <c:v>0.57299999999999995</c:v>
                </c:pt>
                <c:pt idx="19">
                  <c:v>0.61599999999999999</c:v>
                </c:pt>
                <c:pt idx="20">
                  <c:v>0.57299999999999995</c:v>
                </c:pt>
                <c:pt idx="21">
                  <c:v>0.58499999999999996</c:v>
                </c:pt>
                <c:pt idx="22">
                  <c:v>0.53</c:v>
                </c:pt>
                <c:pt idx="23">
                  <c:v>0.59799999999999998</c:v>
                </c:pt>
                <c:pt idx="24">
                  <c:v>0.59950000000000003</c:v>
                </c:pt>
                <c:pt idx="25">
                  <c:v>0.5706</c:v>
                </c:pt>
                <c:pt idx="26">
                  <c:v>0.58399999999999996</c:v>
                </c:pt>
                <c:pt idx="27">
                  <c:v>0.72699999999999998</c:v>
                </c:pt>
                <c:pt idx="28">
                  <c:v>0.48699999999999999</c:v>
                </c:pt>
                <c:pt idx="29">
                  <c:v>0.52500000000000002</c:v>
                </c:pt>
                <c:pt idx="30">
                  <c:v>0.54600000000000004</c:v>
                </c:pt>
                <c:pt idx="31">
                  <c:v>0.53600000000000003</c:v>
                </c:pt>
                <c:pt idx="32">
                  <c:v>0.57299999999999995</c:v>
                </c:pt>
                <c:pt idx="33">
                  <c:v>0.57899999999999996</c:v>
                </c:pt>
                <c:pt idx="34">
                  <c:v>0.56399999999999995</c:v>
                </c:pt>
                <c:pt idx="35">
                  <c:v>0.67</c:v>
                </c:pt>
                <c:pt idx="36">
                  <c:v>0.55000000000000004</c:v>
                </c:pt>
                <c:pt idx="37">
                  <c:v>0.51300000000000001</c:v>
                </c:pt>
                <c:pt idx="38">
                  <c:v>0.52600000000000002</c:v>
                </c:pt>
                <c:pt idx="39">
                  <c:v>0.60099999999999998</c:v>
                </c:pt>
                <c:pt idx="40">
                  <c:v>0.66300000000000003</c:v>
                </c:pt>
                <c:pt idx="41">
                  <c:v>0.66300000000000003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43D-4408-B959-B9EF080EFD11}"/>
            </c:ext>
          </c:extLst>
        </c:ser>
        <c:ser>
          <c:idx val="2"/>
          <c:order val="3"/>
          <c:tx>
            <c:v>Mean</c:v>
          </c:tx>
          <c:spPr>
            <a:ln>
              <a:solidFill>
                <a:schemeClr val="accent1"/>
              </a:solidFill>
              <a:prstDash val="sysDash"/>
            </a:ln>
          </c:spPr>
          <c:dPt>
            <c:idx val="0"/>
            <c:marker>
              <c:symbol val="none"/>
            </c:marker>
            <c:bubble3D val="0"/>
            <c:spPr>
              <a:ln w="28575">
                <a:solidFill>
                  <a:schemeClr val="accent1"/>
                </a:solidFill>
                <a:prstDash val="sysDot"/>
              </a:ln>
            </c:spPr>
            <c:extLst>
              <c:ext xmlns:c16="http://schemas.microsoft.com/office/drawing/2014/chart" uri="{C3380CC4-5D6E-409C-BE32-E72D297353CC}">
                <c16:uniqueId val="{00000005-2A45-4405-B6E7-3B9D92A62605}"/>
              </c:ext>
            </c:extLst>
          </c:dPt>
          <c:xVal>
            <c:numRef>
              <c:f>('11-deoxycorticosterone'!$R$4,'11-deoxycorticosterone'!$T$4)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43</c:v>
                </c:pt>
              </c:numCache>
            </c:numRef>
          </c:xVal>
          <c:yVal>
            <c:numRef>
              <c:f>('11-deoxycorticosterone'!$AC$11,'11-deoxycorticosterone'!$AC$11)</c:f>
              <c:numCache>
                <c:formatCode>0.00</c:formatCode>
                <c:ptCount val="2"/>
                <c:pt idx="0">
                  <c:v>0.58181190476190481</c:v>
                </c:pt>
                <c:pt idx="1">
                  <c:v>0.58181190476190481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43D-4408-B959-B9EF080EFD11}"/>
            </c:ext>
          </c:extLst>
        </c:ser>
        <c:ser>
          <c:idx val="6"/>
          <c:order val="4"/>
          <c:tx>
            <c:strRef>
              <c:f>'11-deoxycorticosterone'!$AF$10</c:f>
              <c:strCache>
                <c:ptCount val="1"/>
                <c:pt idx="0">
                  <c:v>-2SD LCL</c:v>
                </c:pt>
              </c:strCache>
            </c:strRef>
          </c:tx>
          <c:spPr>
            <a:ln w="25400">
              <a:solidFill>
                <a:schemeClr val="accent6">
                  <a:lumMod val="60000"/>
                  <a:lumOff val="40000"/>
                </a:schemeClr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chemeClr val="accent6">
                    <a:lumMod val="60000"/>
                    <a:lumOff val="40000"/>
                  </a:scheme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7-2A45-4405-B6E7-3B9D92A62605}"/>
              </c:ext>
            </c:extLst>
          </c:dPt>
          <c:xVal>
            <c:numRef>
              <c:f>('11-deoxycorticosterone'!$R$4,'11-deoxycorticosterone'!$T$4)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43</c:v>
                </c:pt>
              </c:numCache>
            </c:numRef>
          </c:xVal>
          <c:yVal>
            <c:numRef>
              <c:f>('11-deoxycorticosterone'!$AF$11,'11-deoxycorticosterone'!$AF$11)</c:f>
              <c:numCache>
                <c:formatCode>0.00</c:formatCode>
                <c:ptCount val="2"/>
                <c:pt idx="0">
                  <c:v>0.46719495628547408</c:v>
                </c:pt>
                <c:pt idx="1">
                  <c:v>0.46719495628547408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43D-4408-B959-B9EF080EFD11}"/>
            </c:ext>
          </c:extLst>
        </c:ser>
        <c:ser>
          <c:idx val="5"/>
          <c:order val="5"/>
          <c:tx>
            <c:strRef>
              <c:f>'11-deoxycorticosterone'!$AE$10</c:f>
              <c:strCache>
                <c:ptCount val="1"/>
                <c:pt idx="0">
                  <c:v>-3SD LCL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FF0000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9-2A45-4405-B6E7-3B9D92A62605}"/>
              </c:ext>
            </c:extLst>
          </c:dPt>
          <c:xVal>
            <c:numRef>
              <c:f>('11-deoxycorticosterone'!$R$4,'11-deoxycorticosterone'!$T$4)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43</c:v>
                </c:pt>
              </c:numCache>
            </c:numRef>
          </c:xVal>
          <c:yVal>
            <c:numRef>
              <c:f>('11-deoxycorticosterone'!$AE$11,'11-deoxycorticosterone'!$AE$11)</c:f>
              <c:numCache>
                <c:formatCode>0.00</c:formatCode>
                <c:ptCount val="2"/>
                <c:pt idx="0">
                  <c:v>0.40988648204725869</c:v>
                </c:pt>
                <c:pt idx="1">
                  <c:v>0.40988648204725869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543D-4408-B959-B9EF080EF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catAx>
        <c:axId val="1414825479"/>
        <c:scaling>
          <c:orientation val="minMax"/>
        </c:scaling>
        <c:delete val="0"/>
        <c:axPos val="b"/>
        <c:numFmt formatCode="[$-409]d/mmm/yy;@" sourceLinked="0"/>
        <c:majorTickMark val="out"/>
        <c:minorTickMark val="out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664720785"/>
        <c:crosses val="autoZero"/>
        <c:auto val="0"/>
        <c:lblAlgn val="ctr"/>
        <c:lblOffset val="100"/>
        <c:noMultiLvlLbl val="1"/>
      </c:catAx>
      <c:valAx>
        <c:axId val="1664720785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200">
                    <a:solidFill>
                      <a:schemeClr val="accent6"/>
                    </a:solidFill>
                  </a:rPr>
                  <a:t>LQC [nmol/L]</a:t>
                </a:r>
              </a:p>
            </c:rich>
          </c:tx>
          <c:layout>
            <c:manualLayout>
              <c:xMode val="edge"/>
              <c:yMode val="edge"/>
              <c:x val="1.2907702223661067E-2"/>
              <c:y val="0.40450724699866752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/>
        </c:spPr>
        <c:crossAx val="1414825479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</c:spPr>
      <c:txPr>
        <a:bodyPr anchor="ctr" anchorCtr="1"/>
        <a:lstStyle/>
        <a:p>
          <a:pPr rtl="0">
            <a:defRPr sz="1200"/>
          </a:pPr>
          <a:endParaRPr lang="en-US"/>
        </a:p>
      </c:txPr>
    </c:legend>
    <c:plotVisOnly val="1"/>
    <c:dispBlanksAs val="span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noFill/>
    </a:ln>
  </c:spPr>
  <c:txPr>
    <a:bodyPr/>
    <a:lstStyle/>
    <a:p>
      <a:pPr>
        <a:defRPr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SG">
                <a:solidFill>
                  <a:sysClr val="windowText" lastClr="000000"/>
                </a:solidFill>
              </a:rPr>
              <a:t>ACCURACY</a:t>
            </a:r>
          </a:p>
        </c:rich>
      </c:tx>
      <c:overlay val="0"/>
      <c:spPr>
        <a:noFill/>
      </c:spPr>
    </c:title>
    <c:autoTitleDeleted val="0"/>
    <c:plotArea>
      <c:layout>
        <c:manualLayout>
          <c:layoutTarget val="inner"/>
          <c:xMode val="edge"/>
          <c:yMode val="edge"/>
          <c:x val="9.7388134921387773E-2"/>
          <c:y val="0.12595373243973218"/>
          <c:w val="0.85499174011352508"/>
          <c:h val="0.6503580352696221"/>
        </c:manualLayout>
      </c:layout>
      <c:lineChart>
        <c:grouping val="standard"/>
        <c:varyColors val="1"/>
        <c:ser>
          <c:idx val="4"/>
          <c:order val="4"/>
          <c:tx>
            <c:v>date</c:v>
          </c:tx>
          <c:marker>
            <c:symbol val="none"/>
          </c:marker>
          <c:cat>
            <c:numRef>
              <c:f>'11-deoxycorticosterone'!$R$14:$R$51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</c:numCache>
            </c:numRef>
          </c:cat>
          <c:val>
            <c:numRef>
              <c:f>'11-deoxycorticosterone'!$R$14:$R$51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15-449D-87A0-A46C533360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4825479"/>
        <c:axId val="1664720785"/>
      </c:lineChart>
      <c:scatterChart>
        <c:scatterStyle val="lineMarker"/>
        <c:varyColors val="1"/>
        <c:ser>
          <c:idx val="1"/>
          <c:order val="0"/>
          <c:tx>
            <c:v>LQC Acc</c:v>
          </c:tx>
          <c:spPr>
            <a:ln>
              <a:solidFill>
                <a:schemeClr val="accent6">
                  <a:lumMod val="50000"/>
                </a:schemeClr>
              </a:solidFill>
            </a:ln>
          </c:spPr>
          <c:marker>
            <c:symbol val="circle"/>
            <c:size val="10"/>
            <c:spPr>
              <a:solidFill>
                <a:schemeClr val="accent6"/>
              </a:solidFill>
              <a:ln>
                <a:solidFill>
                  <a:schemeClr val="accent6"/>
                </a:solidFill>
              </a:ln>
            </c:spPr>
          </c:marker>
          <c:xVal>
            <c:strRef>
              <c:f>'11-deoxycorticosterone'!$P$14:$P$268</c:f>
              <c:strCache>
                <c:ptCount val="4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</c:strCache>
            </c:strRef>
          </c:xVal>
          <c:yVal>
            <c:numRef>
              <c:f>'11-deoxycorticosterone'!$AH$14:$AH$268</c:f>
              <c:numCache>
                <c:formatCode>0.0%</c:formatCode>
                <c:ptCount val="255"/>
                <c:pt idx="0">
                  <c:v>0.98278829604130802</c:v>
                </c:pt>
                <c:pt idx="1">
                  <c:v>0.97934595524956969</c:v>
                </c:pt>
                <c:pt idx="2">
                  <c:v>1.0946643717728055</c:v>
                </c:pt>
                <c:pt idx="3">
                  <c:v>1.0998278829604131</c:v>
                </c:pt>
                <c:pt idx="4">
                  <c:v>0.78485370051635117</c:v>
                </c:pt>
                <c:pt idx="5">
                  <c:v>0.94664371772805522</c:v>
                </c:pt>
                <c:pt idx="6">
                  <c:v>1.1204819277108435</c:v>
                </c:pt>
                <c:pt idx="7">
                  <c:v>1.1583476764199658</c:v>
                </c:pt>
                <c:pt idx="8">
                  <c:v>1.0654044750430294</c:v>
                </c:pt>
                <c:pt idx="9">
                  <c:v>0.92771084337349408</c:v>
                </c:pt>
                <c:pt idx="10">
                  <c:v>0.97934595524956969</c:v>
                </c:pt>
                <c:pt idx="11">
                  <c:v>1.2271944922547333</c:v>
                </c:pt>
                <c:pt idx="12">
                  <c:v>1.0017211703958693</c:v>
                </c:pt>
                <c:pt idx="13">
                  <c:v>0.94836488812392439</c:v>
                </c:pt>
                <c:pt idx="14">
                  <c:v>0.94320137693631678</c:v>
                </c:pt>
                <c:pt idx="15">
                  <c:v>0.87607573149741835</c:v>
                </c:pt>
                <c:pt idx="16">
                  <c:v>0.97246127366609292</c:v>
                </c:pt>
                <c:pt idx="17">
                  <c:v>0.93631669535284001</c:v>
                </c:pt>
                <c:pt idx="18">
                  <c:v>0.98623063683304646</c:v>
                </c:pt>
                <c:pt idx="19">
                  <c:v>1.0602409638554218</c:v>
                </c:pt>
                <c:pt idx="20">
                  <c:v>0.96627318718381106</c:v>
                </c:pt>
                <c:pt idx="21">
                  <c:v>0.98650927487352447</c:v>
                </c:pt>
                <c:pt idx="22">
                  <c:v>0.89376053962900515</c:v>
                </c:pt>
                <c:pt idx="23">
                  <c:v>1.0084317032040473</c:v>
                </c:pt>
                <c:pt idx="24">
                  <c:v>1.0109612141652615</c:v>
                </c:pt>
                <c:pt idx="25">
                  <c:v>0.96222596964586848</c:v>
                </c:pt>
                <c:pt idx="26">
                  <c:v>0.98482293423271494</c:v>
                </c:pt>
                <c:pt idx="27">
                  <c:v>1.2259696458684655</c:v>
                </c:pt>
                <c:pt idx="28">
                  <c:v>0.82124789207419902</c:v>
                </c:pt>
                <c:pt idx="29">
                  <c:v>0.88532883642495797</c:v>
                </c:pt>
                <c:pt idx="30">
                  <c:v>0.92074198988195621</c:v>
                </c:pt>
                <c:pt idx="31">
                  <c:v>0.90387858347386185</c:v>
                </c:pt>
                <c:pt idx="32">
                  <c:v>0.96627318718381106</c:v>
                </c:pt>
                <c:pt idx="33">
                  <c:v>0.97639123102866776</c:v>
                </c:pt>
                <c:pt idx="34">
                  <c:v>0.95109612141652611</c:v>
                </c:pt>
                <c:pt idx="35">
                  <c:v>1.1298482293423273</c:v>
                </c:pt>
                <c:pt idx="36">
                  <c:v>0.92748735244519409</c:v>
                </c:pt>
                <c:pt idx="37">
                  <c:v>0.86509274873524455</c:v>
                </c:pt>
                <c:pt idx="38">
                  <c:v>0.88701517706576738</c:v>
                </c:pt>
                <c:pt idx="39">
                  <c:v>1.0134907251264755</c:v>
                </c:pt>
                <c:pt idx="40">
                  <c:v>1.1180438448566612</c:v>
                </c:pt>
                <c:pt idx="41">
                  <c:v>1.1180438448566612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815-449D-87A0-A46C53336057}"/>
            </c:ext>
          </c:extLst>
        </c:ser>
        <c:ser>
          <c:idx val="0"/>
          <c:order val="1"/>
          <c:tx>
            <c:v>HQC Acc.</c:v>
          </c:tx>
          <c:spPr>
            <a:ln>
              <a:solidFill>
                <a:schemeClr val="accent2">
                  <a:lumMod val="50000"/>
                </a:schemeClr>
              </a:solidFill>
            </a:ln>
          </c:spPr>
          <c:marker>
            <c:symbol val="circle"/>
            <c:size val="10"/>
            <c:spPr>
              <a:solidFill>
                <a:srgbClr val="FFC000"/>
              </a:solidFill>
              <a:ln cmpd="sng">
                <a:solidFill>
                  <a:schemeClr val="accent2"/>
                </a:solidFill>
              </a:ln>
            </c:spPr>
          </c:marker>
          <c:xVal>
            <c:strRef>
              <c:f>'11-deoxycorticosterone'!$P$14:$P$268</c:f>
              <c:strCache>
                <c:ptCount val="4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</c:strCache>
            </c:strRef>
          </c:xVal>
          <c:yVal>
            <c:numRef>
              <c:f>'11-deoxycorticosterone'!$Z$14:$Z$268</c:f>
              <c:numCache>
                <c:formatCode>0.0%</c:formatCode>
                <c:ptCount val="255"/>
                <c:pt idx="0">
                  <c:v>0.9659851301115242</c:v>
                </c:pt>
                <c:pt idx="1">
                  <c:v>1.053996282527881</c:v>
                </c:pt>
                <c:pt idx="2">
                  <c:v>0.86812267657992559</c:v>
                </c:pt>
                <c:pt idx="3">
                  <c:v>0.93661710037174717</c:v>
                </c:pt>
                <c:pt idx="4">
                  <c:v>0.88680297397769514</c:v>
                </c:pt>
                <c:pt idx="5">
                  <c:v>0.98150557620817847</c:v>
                </c:pt>
                <c:pt idx="6">
                  <c:v>0.92044609665427513</c:v>
                </c:pt>
                <c:pt idx="7">
                  <c:v>0.8854089219330854</c:v>
                </c:pt>
                <c:pt idx="8">
                  <c:v>0.99591078066914496</c:v>
                </c:pt>
                <c:pt idx="9">
                  <c:v>0.83875464684014878</c:v>
                </c:pt>
                <c:pt idx="10">
                  <c:v>0.98996282527881041</c:v>
                </c:pt>
                <c:pt idx="11">
                  <c:v>0.97630111524163576</c:v>
                </c:pt>
                <c:pt idx="12">
                  <c:v>1.0023234200743494</c:v>
                </c:pt>
                <c:pt idx="13">
                  <c:v>1.13364312267658</c:v>
                </c:pt>
                <c:pt idx="14">
                  <c:v>0.86812267657992559</c:v>
                </c:pt>
                <c:pt idx="15">
                  <c:v>1.4616171003717473</c:v>
                </c:pt>
                <c:pt idx="16">
                  <c:v>1.092193308550186</c:v>
                </c:pt>
                <c:pt idx="17">
                  <c:v>1.0849442379182155</c:v>
                </c:pt>
                <c:pt idx="18">
                  <c:v>1.1777881040892193</c:v>
                </c:pt>
                <c:pt idx="19">
                  <c:v>0.97323420074349443</c:v>
                </c:pt>
                <c:pt idx="20">
                  <c:v>1.0167446211412536</c:v>
                </c:pt>
                <c:pt idx="21">
                  <c:v>0.90093545369504213</c:v>
                </c:pt>
                <c:pt idx="22">
                  <c:v>1.0268475210477082</c:v>
                </c:pt>
                <c:pt idx="23">
                  <c:v>0.92132834424695986</c:v>
                </c:pt>
                <c:pt idx="24">
                  <c:v>1.0161178671655753</c:v>
                </c:pt>
                <c:pt idx="25">
                  <c:v>0.98422825070159026</c:v>
                </c:pt>
                <c:pt idx="26">
                  <c:v>0.84115996258185233</c:v>
                </c:pt>
                <c:pt idx="27">
                  <c:v>1.0014031805425632</c:v>
                </c:pt>
                <c:pt idx="28">
                  <c:v>0.96604303086997201</c:v>
                </c:pt>
                <c:pt idx="29">
                  <c:v>1.0200187090739008</c:v>
                </c:pt>
                <c:pt idx="30">
                  <c:v>0.97408793264733406</c:v>
                </c:pt>
                <c:pt idx="31">
                  <c:v>0.84649204864359218</c:v>
                </c:pt>
                <c:pt idx="32">
                  <c:v>0.93376987839101966</c:v>
                </c:pt>
                <c:pt idx="33">
                  <c:v>1.0701590271281571</c:v>
                </c:pt>
                <c:pt idx="34">
                  <c:v>1.2162768942937325</c:v>
                </c:pt>
                <c:pt idx="35">
                  <c:v>1.1119738072965388</c:v>
                </c:pt>
                <c:pt idx="36">
                  <c:v>1.1178671655753041</c:v>
                </c:pt>
                <c:pt idx="37">
                  <c:v>1.0280636108512629</c:v>
                </c:pt>
                <c:pt idx="38">
                  <c:v>1.2366697848456503</c:v>
                </c:pt>
                <c:pt idx="39">
                  <c:v>1.0449017773620206</c:v>
                </c:pt>
                <c:pt idx="40">
                  <c:v>0.98129092609915813</c:v>
                </c:pt>
                <c:pt idx="41">
                  <c:v>0.91206735266604311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815-449D-87A0-A46C53336057}"/>
            </c:ext>
          </c:extLst>
        </c:ser>
        <c:ser>
          <c:idx val="5"/>
          <c:order val="2"/>
          <c:tx>
            <c:v>UCL</c:v>
          </c:tx>
          <c:spPr>
            <a:ln>
              <a:prstDash val="dash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C00000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1-2330-4557-A6DD-D3FBDDFAD563}"/>
              </c:ext>
            </c:extLst>
          </c:dPt>
          <c:xVal>
            <c:numRef>
              <c:f>('11-deoxycorticosterone'!$R$4,'11-deoxycorticosterone'!$T$4)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43</c:v>
                </c:pt>
              </c:numCache>
            </c:numRef>
          </c:xVal>
          <c:yVal>
            <c:numRef>
              <c:f>('11-deoxycorticosterone'!$Q$11,'11-deoxycorticosterone'!$Q$11)</c:f>
              <c:numCache>
                <c:formatCode>0%</c:formatCode>
                <c:ptCount val="2"/>
                <c:pt idx="0">
                  <c:v>1.1499999999999999</c:v>
                </c:pt>
                <c:pt idx="1">
                  <c:v>1.1499999999999999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815-449D-87A0-A46C53336057}"/>
            </c:ext>
          </c:extLst>
        </c:ser>
        <c:ser>
          <c:idx val="6"/>
          <c:order val="3"/>
          <c:tx>
            <c:v>LCL</c:v>
          </c:tx>
          <c:spPr>
            <a:ln w="25400"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chemeClr val="accent6">
                    <a:lumMod val="75000"/>
                  </a:scheme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3-2330-4557-A6DD-D3FBDDFAD563}"/>
              </c:ext>
            </c:extLst>
          </c:dPt>
          <c:xVal>
            <c:numRef>
              <c:f>('11-deoxycorticosterone'!$R$4,'11-deoxycorticosterone'!$T$4)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43</c:v>
                </c:pt>
              </c:numCache>
            </c:numRef>
          </c:xVal>
          <c:yVal>
            <c:numRef>
              <c:f>('11-deoxycorticosterone'!$R$11,'11-deoxycorticosterone'!$R$11)</c:f>
              <c:numCache>
                <c:formatCode>0%</c:formatCode>
                <c:ptCount val="2"/>
                <c:pt idx="0">
                  <c:v>0.8</c:v>
                </c:pt>
                <c:pt idx="1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815-449D-87A0-A46C533360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catAx>
        <c:axId val="1414825479"/>
        <c:scaling>
          <c:orientation val="minMax"/>
        </c:scaling>
        <c:delete val="0"/>
        <c:axPos val="b"/>
        <c:numFmt formatCode="[$-409]d/mmm/yy;@" sourceLinked="0"/>
        <c:majorTickMark val="out"/>
        <c:minorTickMark val="out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664720785"/>
        <c:crosses val="autoZero"/>
        <c:auto val="0"/>
        <c:lblAlgn val="ctr"/>
        <c:lblOffset val="100"/>
        <c:noMultiLvlLbl val="1"/>
      </c:catAx>
      <c:valAx>
        <c:axId val="1664720785"/>
        <c:scaling>
          <c:orientation val="minMax"/>
          <c:max val="1.8"/>
          <c:min val="0.4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ACCURACY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/>
            </a:pPr>
            <a:endParaRPr lang="en-US"/>
          </a:p>
        </c:txPr>
        <c:crossAx val="1414825479"/>
        <c:crosses val="autoZero"/>
        <c:crossBetween val="between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</c:spPr>
      <c:txPr>
        <a:bodyPr anchor="ctr" anchorCtr="1"/>
        <a:lstStyle/>
        <a:p>
          <a:pPr rtl="0">
            <a:defRPr sz="1400" b="0"/>
          </a:pPr>
          <a:endParaRPr lang="en-US"/>
        </a:p>
      </c:txPr>
    </c:legend>
    <c:plotVisOnly val="1"/>
    <c:dispBlanksAs val="span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noFill/>
    </a:ln>
  </c:spPr>
  <c:txPr>
    <a:bodyPr/>
    <a:lstStyle/>
    <a:p>
      <a:pPr>
        <a:defRPr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SG">
                <a:solidFill>
                  <a:schemeClr val="accent2"/>
                </a:solidFill>
              </a:rPr>
              <a:t>HQC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041856212537431E-2"/>
          <c:y val="0.13692552474352129"/>
          <c:w val="0.85499174011352508"/>
          <c:h val="0.6503580352696221"/>
        </c:manualLayout>
      </c:layout>
      <c:lineChart>
        <c:grouping val="standard"/>
        <c:varyColors val="1"/>
        <c:ser>
          <c:idx val="4"/>
          <c:order val="6"/>
          <c:tx>
            <c:v>date</c:v>
          </c:tx>
          <c:marker>
            <c:symbol val="none"/>
          </c:marker>
          <c:cat>
            <c:numRef>
              <c:f>'11-deoxycortisol'!$R$14:$R$55</c:f>
              <c:numCache>
                <c:formatCode>yyyy/mm/dd;@</c:formatCode>
                <c:ptCount val="42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  <c:pt idx="38">
                  <c:v>46044</c:v>
                </c:pt>
                <c:pt idx="39">
                  <c:v>46048</c:v>
                </c:pt>
                <c:pt idx="40">
                  <c:v>46048</c:v>
                </c:pt>
                <c:pt idx="41">
                  <c:v>46065</c:v>
                </c:pt>
              </c:numCache>
            </c:numRef>
          </c:cat>
          <c:val>
            <c:numRef>
              <c:f>'11-deoxycortisol'!$R$14:$R$51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28-4826-A553-FDFF1B111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4825479"/>
        <c:axId val="1664720785"/>
      </c:lineChart>
      <c:scatterChart>
        <c:scatterStyle val="smoothMarker"/>
        <c:varyColors val="1"/>
        <c:ser>
          <c:idx val="3"/>
          <c:order val="1"/>
          <c:tx>
            <c:strRef>
              <c:f>'11-deoxycortisol'!$Z$10</c:f>
              <c:strCache>
                <c:ptCount val="1"/>
                <c:pt idx="0">
                  <c:v>+3SD UCL</c:v>
                </c:pt>
              </c:strCache>
            </c:strRef>
          </c:tx>
          <c:spPr>
            <a:ln>
              <a:solidFill>
                <a:srgbClr val="C00000"/>
              </a:solidFill>
              <a:prstDash val="solid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C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4E8-4A10-BBBE-F59F6F863277}"/>
              </c:ext>
            </c:extLst>
          </c:dPt>
          <c:xVal>
            <c:numRef>
              <c:f>('11-deoxycortisol'!$R$4,'11-deoxycortisol'!$T$4)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('11-deoxycortisol'!$Z$11,'11-deoxycortisol'!$Z$11)</c:f>
              <c:numCache>
                <c:formatCode>0.00</c:formatCode>
                <c:ptCount val="2"/>
                <c:pt idx="0">
                  <c:v>34.164441110134781</c:v>
                </c:pt>
                <c:pt idx="1">
                  <c:v>34.164441110134781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628-4826-A553-FDFF1B111A5C}"/>
            </c:ext>
          </c:extLst>
        </c:ser>
        <c:ser>
          <c:idx val="1"/>
          <c:order val="5"/>
          <c:tx>
            <c:strRef>
              <c:f>'11-deoxycortisol'!$W$10</c:f>
              <c:strCache>
                <c:ptCount val="1"/>
                <c:pt idx="0">
                  <c:v>-3SD LCL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00B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44E8-4A10-BBBE-F59F6F863277}"/>
              </c:ext>
            </c:extLst>
          </c:dPt>
          <c:xVal>
            <c:numRef>
              <c:f>('11-deoxycortisol'!$R$4,'11-deoxycortisol'!$T$4)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('11-deoxycortisol'!$W$11,'11-deoxycortisol'!$W$11)</c:f>
              <c:numCache>
                <c:formatCode>0.00</c:formatCode>
                <c:ptCount val="2"/>
                <c:pt idx="0">
                  <c:v>15.385516032722359</c:v>
                </c:pt>
                <c:pt idx="1">
                  <c:v>15.385516032722359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628-4826-A553-FDFF1B111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scatterChart>
        <c:scatterStyle val="lineMarker"/>
        <c:varyColors val="1"/>
        <c:ser>
          <c:idx val="0"/>
          <c:order val="0"/>
          <c:tx>
            <c:v>HQC</c:v>
          </c:tx>
          <c:marker>
            <c:symbol val="circle"/>
            <c:size val="10"/>
            <c:spPr>
              <a:solidFill>
                <a:schemeClr val="tx1">
                  <a:lumMod val="50000"/>
                  <a:lumOff val="50000"/>
                </a:schemeClr>
              </a:solidFill>
              <a:ln cmpd="sng">
                <a:solidFill>
                  <a:schemeClr val="tx1"/>
                </a:solidFill>
              </a:ln>
            </c:spPr>
          </c:marker>
          <c:xVal>
            <c:strRef>
              <c:f>'11-deoxycortisol'!$P$14:$P$268</c:f>
              <c:strCach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strCache>
            </c:strRef>
          </c:xVal>
          <c:yVal>
            <c:numRef>
              <c:f>'11-deoxycortisol'!$U$14:$U$268</c:f>
              <c:numCache>
                <c:formatCode>0.000</c:formatCode>
                <c:ptCount val="255"/>
                <c:pt idx="0">
                  <c:v>22.294</c:v>
                </c:pt>
                <c:pt idx="1">
                  <c:v>26.783000000000001</c:v>
                </c:pt>
                <c:pt idx="2">
                  <c:v>25.356000000000002</c:v>
                </c:pt>
                <c:pt idx="3">
                  <c:v>20.655999999999999</c:v>
                </c:pt>
                <c:pt idx="4">
                  <c:v>23.51</c:v>
                </c:pt>
                <c:pt idx="5">
                  <c:v>19.949000000000002</c:v>
                </c:pt>
                <c:pt idx="6">
                  <c:v>22.704000000000001</c:v>
                </c:pt>
                <c:pt idx="7">
                  <c:v>25.273</c:v>
                </c:pt>
                <c:pt idx="8">
                  <c:v>23.012</c:v>
                </c:pt>
                <c:pt idx="9">
                  <c:v>25.35</c:v>
                </c:pt>
                <c:pt idx="10">
                  <c:v>33.792999999999999</c:v>
                </c:pt>
                <c:pt idx="11">
                  <c:v>24.981000000000002</c:v>
                </c:pt>
                <c:pt idx="12">
                  <c:v>27.821999999999999</c:v>
                </c:pt>
                <c:pt idx="13">
                  <c:v>27.548999999999999</c:v>
                </c:pt>
                <c:pt idx="14">
                  <c:v>24.777999999999999</c:v>
                </c:pt>
                <c:pt idx="15">
                  <c:v>23.436</c:v>
                </c:pt>
                <c:pt idx="16">
                  <c:v>24.805</c:v>
                </c:pt>
                <c:pt idx="17">
                  <c:v>28.38</c:v>
                </c:pt>
                <c:pt idx="18">
                  <c:v>25.913</c:v>
                </c:pt>
                <c:pt idx="19">
                  <c:v>20.530999999999999</c:v>
                </c:pt>
                <c:pt idx="20">
                  <c:v>28.178000000000001</c:v>
                </c:pt>
                <c:pt idx="21">
                  <c:v>18.611999999999998</c:v>
                </c:pt>
                <c:pt idx="22">
                  <c:v>23.413</c:v>
                </c:pt>
                <c:pt idx="23">
                  <c:v>22.283000000000001</c:v>
                </c:pt>
                <c:pt idx="24">
                  <c:v>21.5503</c:v>
                </c:pt>
                <c:pt idx="25">
                  <c:v>20.905799999999999</c:v>
                </c:pt>
                <c:pt idx="26">
                  <c:v>24.94</c:v>
                </c:pt>
                <c:pt idx="27">
                  <c:v>27.268999999999998</c:v>
                </c:pt>
                <c:pt idx="28">
                  <c:v>25.202999999999999</c:v>
                </c:pt>
                <c:pt idx="29">
                  <c:v>27.81</c:v>
                </c:pt>
                <c:pt idx="30">
                  <c:v>23.591999999999999</c:v>
                </c:pt>
                <c:pt idx="31">
                  <c:v>22.306000000000001</c:v>
                </c:pt>
                <c:pt idx="32">
                  <c:v>23.241</c:v>
                </c:pt>
                <c:pt idx="33">
                  <c:v>22.177</c:v>
                </c:pt>
                <c:pt idx="34">
                  <c:v>26.789000000000001</c:v>
                </c:pt>
                <c:pt idx="35">
                  <c:v>21.981999999999999</c:v>
                </c:pt>
                <c:pt idx="36">
                  <c:v>30.56</c:v>
                </c:pt>
                <c:pt idx="37">
                  <c:v>25.581</c:v>
                </c:pt>
                <c:pt idx="38">
                  <c:v>29.381</c:v>
                </c:pt>
                <c:pt idx="39">
                  <c:v>25.584</c:v>
                </c:pt>
                <c:pt idx="40">
                  <c:v>29.469000000000001</c:v>
                </c:pt>
                <c:pt idx="41">
                  <c:v>22.847999999999999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628-4826-A553-FDFF1B111A5C}"/>
            </c:ext>
          </c:extLst>
        </c:ser>
        <c:ser>
          <c:idx val="5"/>
          <c:order val="2"/>
          <c:tx>
            <c:strRef>
              <c:f>'11-deoxycortisol'!$Y$10</c:f>
              <c:strCache>
                <c:ptCount val="1"/>
                <c:pt idx="0">
                  <c:v>+2SD UCL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FF0000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5-44E8-4A10-BBBE-F59F6F863277}"/>
              </c:ext>
            </c:extLst>
          </c:dPt>
          <c:xVal>
            <c:numRef>
              <c:f>('11-deoxycortisol'!$R$4,'11-deoxycortisol'!$T$4)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('11-deoxycortisol'!$Y$11,'11-deoxycortisol'!$Y$11)</c:f>
              <c:numCache>
                <c:formatCode>0.00</c:formatCode>
                <c:ptCount val="2"/>
                <c:pt idx="0">
                  <c:v>31.034620263899377</c:v>
                </c:pt>
                <c:pt idx="1">
                  <c:v>31.034620263899377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628-4826-A553-FDFF1B111A5C}"/>
            </c:ext>
          </c:extLst>
        </c:ser>
        <c:ser>
          <c:idx val="2"/>
          <c:order val="3"/>
          <c:tx>
            <c:v>Mean</c:v>
          </c:tx>
          <c:spPr>
            <a:ln>
              <a:solidFill>
                <a:schemeClr val="accent1"/>
              </a:solidFill>
              <a:prstDash val="sysDash"/>
            </a:ln>
          </c:spPr>
          <c:dPt>
            <c:idx val="0"/>
            <c:marker>
              <c:symbol val="none"/>
            </c:marker>
            <c:bubble3D val="0"/>
            <c:spPr>
              <a:ln w="28575">
                <a:solidFill>
                  <a:schemeClr val="accent1"/>
                </a:solidFill>
                <a:prstDash val="sysDot"/>
              </a:ln>
            </c:spPr>
            <c:extLst>
              <c:ext xmlns:c16="http://schemas.microsoft.com/office/drawing/2014/chart" uri="{C3380CC4-5D6E-409C-BE32-E72D297353CC}">
                <c16:uniqueId val="{00000007-44E8-4A10-BBBE-F59F6F863277}"/>
              </c:ext>
            </c:extLst>
          </c:dPt>
          <c:xVal>
            <c:numRef>
              <c:f>('11-deoxycortisol'!$R$4,'11-deoxycortisol'!$T$4)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('11-deoxycortisol'!$U$11,'11-deoxycortisol'!$U$11)</c:f>
              <c:numCache>
                <c:formatCode>0.00</c:formatCode>
                <c:ptCount val="2"/>
                <c:pt idx="0">
                  <c:v>24.774978571428569</c:v>
                </c:pt>
                <c:pt idx="1">
                  <c:v>24.774978571428569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628-4826-A553-FDFF1B111A5C}"/>
            </c:ext>
          </c:extLst>
        </c:ser>
        <c:ser>
          <c:idx val="6"/>
          <c:order val="4"/>
          <c:tx>
            <c:strRef>
              <c:f>'11-deoxycortisol'!$X$10</c:f>
              <c:strCache>
                <c:ptCount val="1"/>
                <c:pt idx="0">
                  <c:v>-2SD LCL</c:v>
                </c:pt>
              </c:strCache>
            </c:strRef>
          </c:tx>
          <c:spPr>
            <a:ln w="25400">
              <a:solidFill>
                <a:schemeClr val="accent6">
                  <a:lumMod val="60000"/>
                  <a:lumOff val="40000"/>
                </a:schemeClr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chemeClr val="accent6">
                    <a:lumMod val="60000"/>
                    <a:lumOff val="40000"/>
                  </a:scheme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9-44E8-4A10-BBBE-F59F6F863277}"/>
              </c:ext>
            </c:extLst>
          </c:dPt>
          <c:xVal>
            <c:numRef>
              <c:f>('11-deoxycortisol'!$R$4,'11-deoxycortisol'!$T$4)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('11-deoxycortisol'!$X$11,'11-deoxycortisol'!$X$11)</c:f>
              <c:numCache>
                <c:formatCode>0.00</c:formatCode>
                <c:ptCount val="2"/>
                <c:pt idx="0">
                  <c:v>18.515336878957761</c:v>
                </c:pt>
                <c:pt idx="1">
                  <c:v>18.515336878957761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F628-4826-A553-FDFF1B111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catAx>
        <c:axId val="1414825479"/>
        <c:scaling>
          <c:orientation val="minMax"/>
        </c:scaling>
        <c:delete val="0"/>
        <c:axPos val="b"/>
        <c:numFmt formatCode="[$-409]d/mmm/yy;@" sourceLinked="0"/>
        <c:majorTickMark val="out"/>
        <c:minorTickMark val="out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664720785"/>
        <c:crosses val="autoZero"/>
        <c:auto val="0"/>
        <c:lblAlgn val="ctr"/>
        <c:lblOffset val="100"/>
        <c:noMultiLvlLbl val="1"/>
      </c:catAx>
      <c:valAx>
        <c:axId val="1664720785"/>
        <c:scaling>
          <c:orientation val="minMax"/>
          <c:max val="4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HQC [nmol/L]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/>
        </c:spPr>
        <c:crossAx val="1414825479"/>
        <c:crosses val="autoZero"/>
        <c:crossBetween val="between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</c:spPr>
      <c:txPr>
        <a:bodyPr anchor="ctr" anchorCtr="1"/>
        <a:lstStyle/>
        <a:p>
          <a:pPr rtl="0">
            <a:defRPr sz="1200"/>
          </a:pPr>
          <a:endParaRPr lang="en-US"/>
        </a:p>
      </c:txPr>
    </c:legend>
    <c:plotVisOnly val="1"/>
    <c:dispBlanksAs val="span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noFill/>
    </a:ln>
  </c:spPr>
  <c:txPr>
    <a:bodyPr/>
    <a:lstStyle/>
    <a:p>
      <a:pPr>
        <a:defRPr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SG">
                <a:solidFill>
                  <a:schemeClr val="accent6"/>
                </a:solidFill>
              </a:rPr>
              <a:t>LQC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041856212537431E-2"/>
          <c:y val="0.13692552474352129"/>
          <c:w val="0.85499174011352508"/>
          <c:h val="0.6503580352696221"/>
        </c:manualLayout>
      </c:layout>
      <c:lineChart>
        <c:grouping val="standard"/>
        <c:varyColors val="1"/>
        <c:ser>
          <c:idx val="4"/>
          <c:order val="6"/>
          <c:tx>
            <c:v>date</c:v>
          </c:tx>
          <c:marker>
            <c:symbol val="none"/>
          </c:marker>
          <c:cat>
            <c:numRef>
              <c:f>'11-deoxycortisol'!$R$14:$R$55</c:f>
              <c:numCache>
                <c:formatCode>yyyy/mm/dd;@</c:formatCode>
                <c:ptCount val="42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  <c:pt idx="38">
                  <c:v>46044</c:v>
                </c:pt>
                <c:pt idx="39">
                  <c:v>46048</c:v>
                </c:pt>
                <c:pt idx="40">
                  <c:v>46048</c:v>
                </c:pt>
                <c:pt idx="41">
                  <c:v>46065</c:v>
                </c:pt>
              </c:numCache>
            </c:numRef>
          </c:cat>
          <c:val>
            <c:numRef>
              <c:f>'11-deoxycortisol'!$R$14:$R$51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78-41F0-B58B-586B36A0E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4825479"/>
        <c:axId val="1664720785"/>
      </c:lineChart>
      <c:scatterChart>
        <c:scatterStyle val="smoothMarker"/>
        <c:varyColors val="1"/>
        <c:ser>
          <c:idx val="3"/>
          <c:order val="1"/>
          <c:tx>
            <c:strRef>
              <c:f>'11-deoxycortisol'!$AH$10</c:f>
              <c:strCache>
                <c:ptCount val="1"/>
                <c:pt idx="0">
                  <c:v>+3SD UCL</c:v>
                </c:pt>
              </c:strCache>
            </c:strRef>
          </c:tx>
          <c:spPr>
            <a:ln>
              <a:solidFill>
                <a:srgbClr val="C00000"/>
              </a:solidFill>
              <a:prstDash val="solid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C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D6D-4BE3-BC98-C2B65F84A6ED}"/>
              </c:ext>
            </c:extLst>
          </c:dPt>
          <c:xVal>
            <c:numRef>
              <c:f>('11-deoxycortisol'!$R$4,'11-deoxycortisol'!$T$4)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('11-deoxycortisol'!$AH$11,'11-deoxycortisol'!$AH$11)</c:f>
              <c:numCache>
                <c:formatCode>0.00</c:formatCode>
                <c:ptCount val="2"/>
                <c:pt idx="0">
                  <c:v>1.9495398520912766</c:v>
                </c:pt>
                <c:pt idx="1">
                  <c:v>1.9495398520912766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E78-41F0-B58B-586B36A0EC69}"/>
            </c:ext>
          </c:extLst>
        </c:ser>
        <c:ser>
          <c:idx val="1"/>
          <c:order val="2"/>
          <c:tx>
            <c:strRef>
              <c:f>'11-deoxycortisol'!$AG$10</c:f>
              <c:strCache>
                <c:ptCount val="1"/>
                <c:pt idx="0">
                  <c:v>+2SD UCL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00B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5D6D-4BE3-BC98-C2B65F84A6ED}"/>
              </c:ext>
            </c:extLst>
          </c:dPt>
          <c:xVal>
            <c:numRef>
              <c:f>('11-deoxycortisol'!$R$4,'11-deoxycortisol'!$T$4)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('11-deoxycortisol'!$AG$11,'11-deoxycortisol'!$AG$11)</c:f>
              <c:numCache>
                <c:formatCode>0.00</c:formatCode>
                <c:ptCount val="2"/>
                <c:pt idx="0">
                  <c:v>1.7629448220291051</c:v>
                </c:pt>
                <c:pt idx="1">
                  <c:v>1.7629448220291051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E78-41F0-B58B-586B36A0E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scatterChart>
        <c:scatterStyle val="lineMarker"/>
        <c:varyColors val="1"/>
        <c:ser>
          <c:idx val="0"/>
          <c:order val="0"/>
          <c:tx>
            <c:v>LQC</c:v>
          </c:tx>
          <c:marker>
            <c:symbol val="circle"/>
            <c:size val="10"/>
            <c:spPr>
              <a:solidFill>
                <a:schemeClr val="tx1">
                  <a:lumMod val="50000"/>
                  <a:lumOff val="50000"/>
                </a:schemeClr>
              </a:solidFill>
              <a:ln cmpd="sng">
                <a:solidFill>
                  <a:schemeClr val="tx1"/>
                </a:solidFill>
              </a:ln>
            </c:spPr>
          </c:marker>
          <c:xVal>
            <c:strRef>
              <c:f>'11-deoxycortisol'!$P$14:$P$268</c:f>
              <c:strCach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strCache>
            </c:strRef>
          </c:xVal>
          <c:yVal>
            <c:numRef>
              <c:f>'11-deoxycortisol'!$AC$14:$AC$268</c:f>
              <c:numCache>
                <c:formatCode>0.000</c:formatCode>
                <c:ptCount val="255"/>
                <c:pt idx="0">
                  <c:v>1.7010000000000001</c:v>
                </c:pt>
                <c:pt idx="1">
                  <c:v>1.4650000000000001</c:v>
                </c:pt>
                <c:pt idx="2">
                  <c:v>1.81</c:v>
                </c:pt>
                <c:pt idx="3">
                  <c:v>1.6819999999999999</c:v>
                </c:pt>
                <c:pt idx="4">
                  <c:v>1.2250000000000001</c:v>
                </c:pt>
                <c:pt idx="5">
                  <c:v>1.5289999999999999</c:v>
                </c:pt>
                <c:pt idx="6">
                  <c:v>1.6080000000000001</c:v>
                </c:pt>
                <c:pt idx="7">
                  <c:v>1.617</c:v>
                </c:pt>
                <c:pt idx="8">
                  <c:v>1.373</c:v>
                </c:pt>
                <c:pt idx="9">
                  <c:v>1.54</c:v>
                </c:pt>
                <c:pt idx="10">
                  <c:v>1.3009999999999999</c:v>
                </c:pt>
                <c:pt idx="11">
                  <c:v>1.4750000000000001</c:v>
                </c:pt>
                <c:pt idx="12">
                  <c:v>1.2350000000000001</c:v>
                </c:pt>
                <c:pt idx="13">
                  <c:v>1.349</c:v>
                </c:pt>
                <c:pt idx="14">
                  <c:v>1.2330000000000001</c:v>
                </c:pt>
                <c:pt idx="15">
                  <c:v>1.343</c:v>
                </c:pt>
                <c:pt idx="16">
                  <c:v>1.298</c:v>
                </c:pt>
                <c:pt idx="17">
                  <c:v>1.415</c:v>
                </c:pt>
                <c:pt idx="18">
                  <c:v>1.042</c:v>
                </c:pt>
                <c:pt idx="19">
                  <c:v>1.3009999999999999</c:v>
                </c:pt>
                <c:pt idx="20">
                  <c:v>1.2090000000000001</c:v>
                </c:pt>
                <c:pt idx="21">
                  <c:v>1.1240000000000001</c:v>
                </c:pt>
                <c:pt idx="22">
                  <c:v>1.468</c:v>
                </c:pt>
                <c:pt idx="23">
                  <c:v>1.08</c:v>
                </c:pt>
                <c:pt idx="24">
                  <c:v>1.5225</c:v>
                </c:pt>
                <c:pt idx="25">
                  <c:v>1.2372000000000001</c:v>
                </c:pt>
                <c:pt idx="26">
                  <c:v>1.2809999999999999</c:v>
                </c:pt>
                <c:pt idx="27">
                  <c:v>1.2070000000000001</c:v>
                </c:pt>
                <c:pt idx="28">
                  <c:v>1.075</c:v>
                </c:pt>
                <c:pt idx="29">
                  <c:v>1.2669999999999999</c:v>
                </c:pt>
                <c:pt idx="30">
                  <c:v>1.3460000000000001</c:v>
                </c:pt>
                <c:pt idx="31">
                  <c:v>1.3089999999999999</c:v>
                </c:pt>
                <c:pt idx="32">
                  <c:v>1.6020000000000001</c:v>
                </c:pt>
                <c:pt idx="33">
                  <c:v>1.2450000000000001</c:v>
                </c:pt>
                <c:pt idx="34">
                  <c:v>1.238</c:v>
                </c:pt>
                <c:pt idx="35">
                  <c:v>1.512</c:v>
                </c:pt>
                <c:pt idx="36">
                  <c:v>1.31</c:v>
                </c:pt>
                <c:pt idx="37">
                  <c:v>1.1399999999999999</c:v>
                </c:pt>
                <c:pt idx="38">
                  <c:v>1.6040000000000001</c:v>
                </c:pt>
                <c:pt idx="39">
                  <c:v>1.5720000000000001</c:v>
                </c:pt>
                <c:pt idx="40">
                  <c:v>2.085</c:v>
                </c:pt>
                <c:pt idx="41">
                  <c:v>1.3939999999999999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E78-41F0-B58B-586B36A0EC69}"/>
            </c:ext>
          </c:extLst>
        </c:ser>
        <c:ser>
          <c:idx val="2"/>
          <c:order val="3"/>
          <c:tx>
            <c:v>Mean</c:v>
          </c:tx>
          <c:spPr>
            <a:ln>
              <a:solidFill>
                <a:schemeClr val="accent1"/>
              </a:solidFill>
              <a:prstDash val="sysDash"/>
            </a:ln>
          </c:spPr>
          <c:dPt>
            <c:idx val="0"/>
            <c:marker>
              <c:symbol val="none"/>
            </c:marker>
            <c:bubble3D val="0"/>
            <c:spPr>
              <a:ln w="28575">
                <a:solidFill>
                  <a:schemeClr val="accent1"/>
                </a:solidFill>
                <a:prstDash val="sysDot"/>
              </a:ln>
            </c:spPr>
            <c:extLst>
              <c:ext xmlns:c16="http://schemas.microsoft.com/office/drawing/2014/chart" uri="{C3380CC4-5D6E-409C-BE32-E72D297353CC}">
                <c16:uniqueId val="{00000005-5D6D-4BE3-BC98-C2B65F84A6ED}"/>
              </c:ext>
            </c:extLst>
          </c:dPt>
          <c:xVal>
            <c:numRef>
              <c:f>('11-deoxycortisol'!$R$4,'11-deoxycortisol'!$T$4)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('11-deoxycortisol'!$AC$11,'11-deoxycortisol'!$AC$11)</c:f>
              <c:numCache>
                <c:formatCode>0.00</c:formatCode>
                <c:ptCount val="2"/>
                <c:pt idx="0">
                  <c:v>1.3897547619047619</c:v>
                </c:pt>
                <c:pt idx="1">
                  <c:v>1.3897547619047619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E78-41F0-B58B-586B36A0EC69}"/>
            </c:ext>
          </c:extLst>
        </c:ser>
        <c:ser>
          <c:idx val="6"/>
          <c:order val="4"/>
          <c:tx>
            <c:strRef>
              <c:f>'11-deoxycortisol'!$AF$10</c:f>
              <c:strCache>
                <c:ptCount val="1"/>
                <c:pt idx="0">
                  <c:v>-2SD LCL</c:v>
                </c:pt>
              </c:strCache>
            </c:strRef>
          </c:tx>
          <c:spPr>
            <a:ln w="25400">
              <a:solidFill>
                <a:schemeClr val="accent6">
                  <a:lumMod val="60000"/>
                  <a:lumOff val="40000"/>
                </a:schemeClr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chemeClr val="accent6">
                    <a:lumMod val="60000"/>
                    <a:lumOff val="40000"/>
                  </a:scheme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7-5D6D-4BE3-BC98-C2B65F84A6ED}"/>
              </c:ext>
            </c:extLst>
          </c:dPt>
          <c:xVal>
            <c:numRef>
              <c:f>('11-deoxycortisol'!$R$4,'11-deoxycortisol'!$T$4)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('11-deoxycortisol'!$AF$11,'11-deoxycortisol'!$AF$11)</c:f>
              <c:numCache>
                <c:formatCode>0.00</c:formatCode>
                <c:ptCount val="2"/>
                <c:pt idx="0">
                  <c:v>1.0165647017804187</c:v>
                </c:pt>
                <c:pt idx="1">
                  <c:v>1.0165647017804187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E78-41F0-B58B-586B36A0EC69}"/>
            </c:ext>
          </c:extLst>
        </c:ser>
        <c:ser>
          <c:idx val="5"/>
          <c:order val="5"/>
          <c:tx>
            <c:strRef>
              <c:f>'11-deoxycortisol'!$AE$10</c:f>
              <c:strCache>
                <c:ptCount val="1"/>
                <c:pt idx="0">
                  <c:v>-3SD LCL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FF0000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9-5D6D-4BE3-BC98-C2B65F84A6ED}"/>
              </c:ext>
            </c:extLst>
          </c:dPt>
          <c:xVal>
            <c:numRef>
              <c:f>('11-deoxycortisol'!$R$4,'11-deoxycortisol'!$T$4)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('11-deoxycortisol'!$AE$11,'11-deoxycortisol'!$AE$11)</c:f>
              <c:numCache>
                <c:formatCode>0.00</c:formatCode>
                <c:ptCount val="2"/>
                <c:pt idx="0">
                  <c:v>0.8299696717182472</c:v>
                </c:pt>
                <c:pt idx="1">
                  <c:v>0.8299696717182472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5E78-41F0-B58B-586B36A0E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catAx>
        <c:axId val="1414825479"/>
        <c:scaling>
          <c:orientation val="minMax"/>
        </c:scaling>
        <c:delete val="0"/>
        <c:axPos val="b"/>
        <c:numFmt formatCode="[$-409]d/mmm/yy;@" sourceLinked="0"/>
        <c:majorTickMark val="out"/>
        <c:minorTickMark val="out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664720785"/>
        <c:crosses val="autoZero"/>
        <c:auto val="0"/>
        <c:lblAlgn val="ctr"/>
        <c:lblOffset val="100"/>
        <c:noMultiLvlLbl val="1"/>
      </c:catAx>
      <c:valAx>
        <c:axId val="1664720785"/>
        <c:scaling>
          <c:orientation val="minMax"/>
          <c:max val="2.25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200">
                    <a:solidFill>
                      <a:schemeClr val="accent6"/>
                    </a:solidFill>
                  </a:rPr>
                  <a:t>LQC [nmol/L]</a:t>
                </a:r>
              </a:p>
            </c:rich>
          </c:tx>
          <c:layout>
            <c:manualLayout>
              <c:xMode val="edge"/>
              <c:yMode val="edge"/>
              <c:x val="1.2907702223661067E-2"/>
              <c:y val="0.40450724699866752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/>
        </c:spPr>
        <c:crossAx val="1414825479"/>
        <c:crosses val="autoZero"/>
        <c:crossBetween val="between"/>
        <c:majorUnit val="0.25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</c:spPr>
      <c:txPr>
        <a:bodyPr anchor="ctr" anchorCtr="1"/>
        <a:lstStyle/>
        <a:p>
          <a:pPr rtl="0">
            <a:defRPr sz="1200"/>
          </a:pPr>
          <a:endParaRPr lang="en-US"/>
        </a:p>
      </c:txPr>
    </c:legend>
    <c:plotVisOnly val="1"/>
    <c:dispBlanksAs val="span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noFill/>
    </a:ln>
  </c:spPr>
  <c:txPr>
    <a:bodyPr/>
    <a:lstStyle/>
    <a:p>
      <a:pPr>
        <a:defRPr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SG">
                <a:solidFill>
                  <a:sysClr val="windowText" lastClr="000000"/>
                </a:solidFill>
              </a:rPr>
              <a:t>ACCURACY</a:t>
            </a:r>
          </a:p>
        </c:rich>
      </c:tx>
      <c:overlay val="0"/>
      <c:spPr>
        <a:noFill/>
      </c:spPr>
    </c:title>
    <c:autoTitleDeleted val="0"/>
    <c:plotArea>
      <c:layout>
        <c:manualLayout>
          <c:layoutTarget val="inner"/>
          <c:xMode val="edge"/>
          <c:yMode val="edge"/>
          <c:x val="9.7388134921387773E-2"/>
          <c:y val="0.12595373243973218"/>
          <c:w val="0.85499174011352508"/>
          <c:h val="0.6503580352696221"/>
        </c:manualLayout>
      </c:layout>
      <c:lineChart>
        <c:grouping val="standard"/>
        <c:varyColors val="1"/>
        <c:ser>
          <c:idx val="4"/>
          <c:order val="4"/>
          <c:tx>
            <c:v>date</c:v>
          </c:tx>
          <c:marker>
            <c:symbol val="none"/>
          </c:marker>
          <c:cat>
            <c:numRef>
              <c:f>'11-deoxycortisol'!$R$14:$R$51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</c:numCache>
            </c:numRef>
          </c:cat>
          <c:val>
            <c:numRef>
              <c:f>'11-deoxycortisol'!$R$14:$R$51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DC-4F1E-A8AD-674BCEC1D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4825479"/>
        <c:axId val="1664720785"/>
      </c:lineChart>
      <c:scatterChart>
        <c:scatterStyle val="lineMarker"/>
        <c:varyColors val="1"/>
        <c:ser>
          <c:idx val="1"/>
          <c:order val="0"/>
          <c:tx>
            <c:v>LQC Acc</c:v>
          </c:tx>
          <c:spPr>
            <a:ln>
              <a:solidFill>
                <a:schemeClr val="accent6">
                  <a:lumMod val="50000"/>
                </a:schemeClr>
              </a:solidFill>
            </a:ln>
          </c:spPr>
          <c:marker>
            <c:symbol val="circle"/>
            <c:size val="10"/>
            <c:spPr>
              <a:solidFill>
                <a:schemeClr val="accent6"/>
              </a:solidFill>
              <a:ln>
                <a:solidFill>
                  <a:schemeClr val="accent6"/>
                </a:solidFill>
              </a:ln>
            </c:spPr>
          </c:marker>
          <c:xVal>
            <c:strRef>
              <c:f>'11-deoxycortisol'!$P$14:$P$268</c:f>
              <c:strCach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strCache>
            </c:strRef>
          </c:xVal>
          <c:yVal>
            <c:numRef>
              <c:f>'11-deoxycortisol'!$AH$14:$AH$268</c:f>
              <c:numCache>
                <c:formatCode>0.0%</c:formatCode>
                <c:ptCount val="255"/>
                <c:pt idx="0">
                  <c:v>1.2281588447653431</c:v>
                </c:pt>
                <c:pt idx="1">
                  <c:v>1.0577617328519857</c:v>
                </c:pt>
                <c:pt idx="2">
                  <c:v>1.3068592057761732</c:v>
                </c:pt>
                <c:pt idx="3">
                  <c:v>1.2144404332129963</c:v>
                </c:pt>
                <c:pt idx="4">
                  <c:v>0.8844765342960289</c:v>
                </c:pt>
                <c:pt idx="5">
                  <c:v>1.1039711191335739</c:v>
                </c:pt>
                <c:pt idx="6">
                  <c:v>1.1610108303249098</c:v>
                </c:pt>
                <c:pt idx="7">
                  <c:v>1.1675090252707581</c:v>
                </c:pt>
                <c:pt idx="8">
                  <c:v>0.99133574007220215</c:v>
                </c:pt>
                <c:pt idx="9">
                  <c:v>1.1119133574007221</c:v>
                </c:pt>
                <c:pt idx="10">
                  <c:v>0.93935018050541508</c:v>
                </c:pt>
                <c:pt idx="11">
                  <c:v>1.0649819494584838</c:v>
                </c:pt>
                <c:pt idx="12">
                  <c:v>0.89169675090252709</c:v>
                </c:pt>
                <c:pt idx="13">
                  <c:v>0.97400722021660646</c:v>
                </c:pt>
                <c:pt idx="14">
                  <c:v>0.89025270758122754</c:v>
                </c:pt>
                <c:pt idx="15">
                  <c:v>0.96967509025270759</c:v>
                </c:pt>
                <c:pt idx="16">
                  <c:v>0.9371841155234657</c:v>
                </c:pt>
                <c:pt idx="17">
                  <c:v>1.0216606498194947</c:v>
                </c:pt>
                <c:pt idx="18">
                  <c:v>0.75234657039711195</c:v>
                </c:pt>
                <c:pt idx="19">
                  <c:v>0.93935018050541508</c:v>
                </c:pt>
                <c:pt idx="20">
                  <c:v>0.87735849056603787</c:v>
                </c:pt>
                <c:pt idx="21">
                  <c:v>0.81567489114658942</c:v>
                </c:pt>
                <c:pt idx="22">
                  <c:v>1.0653120464441219</c:v>
                </c:pt>
                <c:pt idx="23">
                  <c:v>0.78374455732946313</c:v>
                </c:pt>
                <c:pt idx="24">
                  <c:v>1.1048621190130625</c:v>
                </c:pt>
                <c:pt idx="25">
                  <c:v>0.89782293178519601</c:v>
                </c:pt>
                <c:pt idx="26">
                  <c:v>0.92960812772133528</c:v>
                </c:pt>
                <c:pt idx="27">
                  <c:v>0.87590711175616853</c:v>
                </c:pt>
                <c:pt idx="28">
                  <c:v>0.78011611030478956</c:v>
                </c:pt>
                <c:pt idx="29">
                  <c:v>0.91944847605224966</c:v>
                </c:pt>
                <c:pt idx="30">
                  <c:v>0.97677793904209009</c:v>
                </c:pt>
                <c:pt idx="31">
                  <c:v>0.94992743105950661</c:v>
                </c:pt>
                <c:pt idx="32">
                  <c:v>1.1625544267053702</c:v>
                </c:pt>
                <c:pt idx="33">
                  <c:v>0.90348330914368669</c:v>
                </c:pt>
                <c:pt idx="34">
                  <c:v>0.89840348330914377</c:v>
                </c:pt>
                <c:pt idx="35">
                  <c:v>1.0972423802612483</c:v>
                </c:pt>
                <c:pt idx="36">
                  <c:v>0.95065312046444128</c:v>
                </c:pt>
                <c:pt idx="37">
                  <c:v>0.82728592162554426</c:v>
                </c:pt>
                <c:pt idx="38">
                  <c:v>1.1640058055152396</c:v>
                </c:pt>
                <c:pt idx="39">
                  <c:v>1.1407837445573297</c:v>
                </c:pt>
                <c:pt idx="40">
                  <c:v>1.5130624092888245</c:v>
                </c:pt>
                <c:pt idx="41">
                  <c:v>1.011611030478955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DC-4F1E-A8AD-674BCEC1D2A4}"/>
            </c:ext>
          </c:extLst>
        </c:ser>
        <c:ser>
          <c:idx val="0"/>
          <c:order val="1"/>
          <c:tx>
            <c:v>HQC Acc.</c:v>
          </c:tx>
          <c:spPr>
            <a:ln>
              <a:solidFill>
                <a:schemeClr val="accent2">
                  <a:lumMod val="50000"/>
                </a:schemeClr>
              </a:solidFill>
            </a:ln>
          </c:spPr>
          <c:marker>
            <c:symbol val="circle"/>
            <c:size val="10"/>
            <c:spPr>
              <a:solidFill>
                <a:srgbClr val="FFC000"/>
              </a:solidFill>
              <a:ln cmpd="sng">
                <a:solidFill>
                  <a:schemeClr val="accent2"/>
                </a:solidFill>
              </a:ln>
            </c:spPr>
          </c:marker>
          <c:xVal>
            <c:strRef>
              <c:f>'11-deoxycortisol'!$P$14:$P$268</c:f>
              <c:strCach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strCache>
            </c:strRef>
          </c:xVal>
          <c:yVal>
            <c:numRef>
              <c:f>'11-deoxycortisol'!$Z$14:$Z$268</c:f>
              <c:numCache>
                <c:formatCode>0.0%</c:formatCode>
                <c:ptCount val="255"/>
                <c:pt idx="0">
                  <c:v>0.86882307092751365</c:v>
                </c:pt>
                <c:pt idx="1">
                  <c:v>1.0437646141855028</c:v>
                </c:pt>
                <c:pt idx="2">
                  <c:v>0.98815276695245524</c:v>
                </c:pt>
                <c:pt idx="3">
                  <c:v>0.80498830865159776</c:v>
                </c:pt>
                <c:pt idx="4">
                  <c:v>0.91621200311769291</c:v>
                </c:pt>
                <c:pt idx="5">
                  <c:v>0.77743569758378805</c:v>
                </c:pt>
                <c:pt idx="6">
                  <c:v>0.8848012470771629</c:v>
                </c:pt>
                <c:pt idx="7">
                  <c:v>0.98491816056118475</c:v>
                </c:pt>
                <c:pt idx="8">
                  <c:v>0.89680436477007019</c:v>
                </c:pt>
                <c:pt idx="9">
                  <c:v>0.9879189399844116</c:v>
                </c:pt>
                <c:pt idx="10">
                  <c:v>1.3169524551831644</c:v>
                </c:pt>
                <c:pt idx="11">
                  <c:v>0.97353858144972727</c:v>
                </c:pt>
                <c:pt idx="12">
                  <c:v>1.0842556508183943</c:v>
                </c:pt>
                <c:pt idx="13">
                  <c:v>1.0736165237724085</c:v>
                </c:pt>
                <c:pt idx="14">
                  <c:v>0.96562743569758369</c:v>
                </c:pt>
                <c:pt idx="15">
                  <c:v>0.91332813717848793</c:v>
                </c:pt>
                <c:pt idx="16">
                  <c:v>0.96667965705378023</c:v>
                </c:pt>
                <c:pt idx="17">
                  <c:v>1.1060015588464536</c:v>
                </c:pt>
                <c:pt idx="18">
                  <c:v>1.0098597038191739</c:v>
                </c:pt>
                <c:pt idx="19">
                  <c:v>0.80011691348402181</c:v>
                </c:pt>
                <c:pt idx="20">
                  <c:v>1.0645258783528524</c:v>
                </c:pt>
                <c:pt idx="21">
                  <c:v>0.70313562523611628</c:v>
                </c:pt>
                <c:pt idx="22">
                  <c:v>0.88451076690593133</c:v>
                </c:pt>
                <c:pt idx="23">
                  <c:v>0.84182092935398578</c:v>
                </c:pt>
                <c:pt idx="24">
                  <c:v>0.81414053645636575</c:v>
                </c:pt>
                <c:pt idx="25">
                  <c:v>0.78979221760483564</c:v>
                </c:pt>
                <c:pt idx="26">
                  <c:v>0.94219871552701184</c:v>
                </c:pt>
                <c:pt idx="27">
                  <c:v>1.0301851152247827</c:v>
                </c:pt>
                <c:pt idx="28">
                  <c:v>0.95213449187759724</c:v>
                </c:pt>
                <c:pt idx="29">
                  <c:v>1.0506233471854931</c:v>
                </c:pt>
                <c:pt idx="30">
                  <c:v>0.89127313940309782</c:v>
                </c:pt>
                <c:pt idx="31">
                  <c:v>0.84268983755194571</c:v>
                </c:pt>
                <c:pt idx="32">
                  <c:v>0.87801284472988295</c:v>
                </c:pt>
                <c:pt idx="33">
                  <c:v>0.83781639591990931</c:v>
                </c:pt>
                <c:pt idx="34">
                  <c:v>1.0120513789195316</c:v>
                </c:pt>
                <c:pt idx="35">
                  <c:v>0.83044956554590099</c:v>
                </c:pt>
                <c:pt idx="36">
                  <c:v>1.1545145447676615</c:v>
                </c:pt>
                <c:pt idx="37">
                  <c:v>0.96641480921798262</c:v>
                </c:pt>
                <c:pt idx="38">
                  <c:v>1.1099735549678882</c:v>
                </c:pt>
                <c:pt idx="39">
                  <c:v>0.96652814506989049</c:v>
                </c:pt>
                <c:pt idx="40">
                  <c:v>1.1132980732905176</c:v>
                </c:pt>
                <c:pt idx="41">
                  <c:v>0.86316584812995845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7DC-4F1E-A8AD-674BCEC1D2A4}"/>
            </c:ext>
          </c:extLst>
        </c:ser>
        <c:ser>
          <c:idx val="5"/>
          <c:order val="2"/>
          <c:tx>
            <c:v>UCL</c:v>
          </c:tx>
          <c:spPr>
            <a:ln>
              <a:prstDash val="dash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C00000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1-88A1-4FB6-8975-3DE15B69CAA1}"/>
              </c:ext>
            </c:extLst>
          </c:dPt>
          <c:xVal>
            <c:numRef>
              <c:f>('11-deoxycortisol'!$R$4,'11-deoxycortisol'!$T$4)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('11-deoxycortisol'!$Q$11,'11-deoxycortisol'!$Q$11)</c:f>
              <c:numCache>
                <c:formatCode>0%</c:formatCode>
                <c:ptCount val="2"/>
                <c:pt idx="0">
                  <c:v>1.1499999999999999</c:v>
                </c:pt>
                <c:pt idx="1">
                  <c:v>1.1499999999999999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7DC-4F1E-A8AD-674BCEC1D2A4}"/>
            </c:ext>
          </c:extLst>
        </c:ser>
        <c:ser>
          <c:idx val="6"/>
          <c:order val="3"/>
          <c:tx>
            <c:v>LCL</c:v>
          </c:tx>
          <c:spPr>
            <a:ln w="25400"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chemeClr val="accent6">
                    <a:lumMod val="75000"/>
                  </a:scheme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3-88A1-4FB6-8975-3DE15B69CAA1}"/>
              </c:ext>
            </c:extLst>
          </c:dPt>
          <c:xVal>
            <c:numRef>
              <c:f>('11-deoxycortisol'!$R$4,'11-deoxycortisol'!$T$4)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('11-deoxycortisol'!$R$11,'11-deoxycortisol'!$R$11)</c:f>
              <c:numCache>
                <c:formatCode>0%</c:formatCode>
                <c:ptCount val="2"/>
                <c:pt idx="0">
                  <c:v>0.8</c:v>
                </c:pt>
                <c:pt idx="1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7DC-4F1E-A8AD-674BCEC1D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catAx>
        <c:axId val="1414825479"/>
        <c:scaling>
          <c:orientation val="minMax"/>
        </c:scaling>
        <c:delete val="0"/>
        <c:axPos val="b"/>
        <c:numFmt formatCode="[$-409]d/mmm/yy;@" sourceLinked="0"/>
        <c:majorTickMark val="out"/>
        <c:minorTickMark val="out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664720785"/>
        <c:crosses val="autoZero"/>
        <c:auto val="0"/>
        <c:lblAlgn val="ctr"/>
        <c:lblOffset val="100"/>
        <c:noMultiLvlLbl val="1"/>
      </c:catAx>
      <c:valAx>
        <c:axId val="1664720785"/>
        <c:scaling>
          <c:orientation val="minMax"/>
          <c:max val="1.8"/>
          <c:min val="0.4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ACCURACY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/>
            </a:pPr>
            <a:endParaRPr lang="en-US"/>
          </a:p>
        </c:txPr>
        <c:crossAx val="1414825479"/>
        <c:crosses val="autoZero"/>
        <c:crossBetween val="between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</c:spPr>
      <c:txPr>
        <a:bodyPr anchor="ctr" anchorCtr="1"/>
        <a:lstStyle/>
        <a:p>
          <a:pPr rtl="0">
            <a:defRPr sz="1400" b="0"/>
          </a:pPr>
          <a:endParaRPr lang="en-US"/>
        </a:p>
      </c:txPr>
    </c:legend>
    <c:plotVisOnly val="1"/>
    <c:dispBlanksAs val="span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noFill/>
    </a:ln>
  </c:spPr>
  <c:txPr>
    <a:bodyPr/>
    <a:lstStyle/>
    <a:p>
      <a:pPr>
        <a:defRPr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SG">
                <a:solidFill>
                  <a:schemeClr val="accent2"/>
                </a:solidFill>
              </a:rPr>
              <a:t>HQC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041856212537431E-2"/>
          <c:y val="0.13692552474352129"/>
          <c:w val="0.85499174011352508"/>
          <c:h val="0.6503580352696221"/>
        </c:manualLayout>
      </c:layout>
      <c:lineChart>
        <c:grouping val="standard"/>
        <c:varyColors val="1"/>
        <c:ser>
          <c:idx val="4"/>
          <c:order val="6"/>
          <c:tx>
            <c:v>date</c:v>
          </c:tx>
          <c:marker>
            <c:symbol val="none"/>
          </c:marker>
          <c:cat>
            <c:numRef>
              <c:f>'17-Hydroxyprogesterone'!$R$14:$R$55</c:f>
              <c:numCache>
                <c:formatCode>yyyy/mm/dd;@</c:formatCode>
                <c:ptCount val="42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45804</c:v>
                </c:pt>
                <c:pt idx="28">
                  <c:v>45804</c:v>
                </c:pt>
                <c:pt idx="29">
                  <c:v>45825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45860</c:v>
                </c:pt>
                <c:pt idx="34">
                  <c:v>45860</c:v>
                </c:pt>
                <c:pt idx="35">
                  <c:v>45912</c:v>
                </c:pt>
                <c:pt idx="36">
                  <c:v>46044</c:v>
                </c:pt>
                <c:pt idx="37">
                  <c:v>46044</c:v>
                </c:pt>
                <c:pt idx="38">
                  <c:v>46048</c:v>
                </c:pt>
                <c:pt idx="39">
                  <c:v>46048</c:v>
                </c:pt>
                <c:pt idx="40">
                  <c:v>46065</c:v>
                </c:pt>
              </c:numCache>
            </c:numRef>
          </c:cat>
          <c:val>
            <c:numRef>
              <c:f>'17-Hydroxyprogesterone'!$R$14:$R$51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45804</c:v>
                </c:pt>
                <c:pt idx="28">
                  <c:v>45804</c:v>
                </c:pt>
                <c:pt idx="29">
                  <c:v>45825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45860</c:v>
                </c:pt>
                <c:pt idx="34">
                  <c:v>45860</c:v>
                </c:pt>
                <c:pt idx="35">
                  <c:v>45912</c:v>
                </c:pt>
                <c:pt idx="36">
                  <c:v>46044</c:v>
                </c:pt>
                <c:pt idx="37">
                  <c:v>46044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46-429A-9061-2FF204141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4825479"/>
        <c:axId val="1664720785"/>
      </c:lineChart>
      <c:scatterChart>
        <c:scatterStyle val="smoothMarker"/>
        <c:varyColors val="1"/>
        <c:ser>
          <c:idx val="3"/>
          <c:order val="1"/>
          <c:tx>
            <c:strRef>
              <c:f>'17-Hydroxyprogesterone'!$Z$10</c:f>
              <c:strCache>
                <c:ptCount val="1"/>
                <c:pt idx="0">
                  <c:v>+3SD UCL</c:v>
                </c:pt>
              </c:strCache>
            </c:strRef>
          </c:tx>
          <c:spPr>
            <a:ln>
              <a:solidFill>
                <a:srgbClr val="C00000"/>
              </a:solidFill>
              <a:prstDash val="solid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C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566-495E-94A4-CE6F5B6A0B96}"/>
              </c:ext>
            </c:extLst>
          </c:dPt>
          <c:xVal>
            <c:numRef>
              <c:f>('17-Hydroxyprogesterone'!$R$4,'17-Hydroxyprogesterone'!$T$4)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41</c:v>
                </c:pt>
              </c:numCache>
            </c:numRef>
          </c:xVal>
          <c:yVal>
            <c:numRef>
              <c:f>('17-Hydroxyprogesterone'!$Z$11,'17-Hydroxyprogesterone'!$Z$11)</c:f>
              <c:numCache>
                <c:formatCode>0.00</c:formatCode>
                <c:ptCount val="2"/>
                <c:pt idx="0">
                  <c:v>39.875312880195523</c:v>
                </c:pt>
                <c:pt idx="1">
                  <c:v>39.875312880195523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F46-429A-9061-2FF204141336}"/>
            </c:ext>
          </c:extLst>
        </c:ser>
        <c:ser>
          <c:idx val="1"/>
          <c:order val="5"/>
          <c:tx>
            <c:strRef>
              <c:f>'17-Hydroxyprogesterone'!$W$10</c:f>
              <c:strCache>
                <c:ptCount val="1"/>
                <c:pt idx="0">
                  <c:v>-3SD LCL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00B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7566-495E-94A4-CE6F5B6A0B96}"/>
              </c:ext>
            </c:extLst>
          </c:dPt>
          <c:xVal>
            <c:numRef>
              <c:f>('17-Hydroxyprogesterone'!$R$4,'17-Hydroxyprogesterone'!$T$4)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41</c:v>
                </c:pt>
              </c:numCache>
            </c:numRef>
          </c:xVal>
          <c:yVal>
            <c:numRef>
              <c:f>('17-Hydroxyprogesterone'!$W$11,'17-Hydroxyprogesterone'!$W$11)</c:f>
              <c:numCache>
                <c:formatCode>0.00</c:formatCode>
                <c:ptCount val="2"/>
                <c:pt idx="0">
                  <c:v>11.726389558828888</c:v>
                </c:pt>
                <c:pt idx="1">
                  <c:v>11.726389558828888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F46-429A-9061-2FF204141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scatterChart>
        <c:scatterStyle val="lineMarker"/>
        <c:varyColors val="1"/>
        <c:ser>
          <c:idx val="0"/>
          <c:order val="0"/>
          <c:tx>
            <c:v>HQC</c:v>
          </c:tx>
          <c:marker>
            <c:symbol val="circle"/>
            <c:size val="10"/>
            <c:spPr>
              <a:solidFill>
                <a:schemeClr val="tx1">
                  <a:lumMod val="50000"/>
                  <a:lumOff val="50000"/>
                </a:schemeClr>
              </a:solidFill>
              <a:ln cmpd="sng">
                <a:solidFill>
                  <a:schemeClr val="tx1"/>
                </a:solidFill>
              </a:ln>
            </c:spPr>
          </c:marker>
          <c:xVal>
            <c:strRef>
              <c:f>'17-Hydroxyprogesterone'!$P$14:$P$268</c:f>
              <c:strCache>
                <c:ptCount val="4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</c:strCache>
            </c:strRef>
          </c:xVal>
          <c:yVal>
            <c:numRef>
              <c:f>'17-Hydroxyprogesterone'!$U$14:$U$268</c:f>
              <c:numCache>
                <c:formatCode>0.000</c:formatCode>
                <c:ptCount val="255"/>
                <c:pt idx="0">
                  <c:v>25.469000000000001</c:v>
                </c:pt>
                <c:pt idx="1">
                  <c:v>25.4</c:v>
                </c:pt>
                <c:pt idx="2">
                  <c:v>28.106999999999999</c:v>
                </c:pt>
                <c:pt idx="3">
                  <c:v>25.914999999999999</c:v>
                </c:pt>
                <c:pt idx="4">
                  <c:v>33.409999999999997</c:v>
                </c:pt>
                <c:pt idx="5">
                  <c:v>28.026</c:v>
                </c:pt>
                <c:pt idx="6">
                  <c:v>33.131</c:v>
                </c:pt>
                <c:pt idx="7">
                  <c:v>30.039000000000001</c:v>
                </c:pt>
                <c:pt idx="8">
                  <c:v>30.774000000000001</c:v>
                </c:pt>
                <c:pt idx="9">
                  <c:v>32.21</c:v>
                </c:pt>
                <c:pt idx="10">
                  <c:v>21.826000000000001</c:v>
                </c:pt>
                <c:pt idx="11">
                  <c:v>22.155999999999999</c:v>
                </c:pt>
                <c:pt idx="12">
                  <c:v>21.318000000000001</c:v>
                </c:pt>
                <c:pt idx="13">
                  <c:v>19.257000000000001</c:v>
                </c:pt>
                <c:pt idx="14">
                  <c:v>22.472999999999999</c:v>
                </c:pt>
                <c:pt idx="15">
                  <c:v>23.065999999999999</c:v>
                </c:pt>
                <c:pt idx="16">
                  <c:v>22.584</c:v>
                </c:pt>
                <c:pt idx="17">
                  <c:v>21.106000000000002</c:v>
                </c:pt>
                <c:pt idx="18">
                  <c:v>19.57</c:v>
                </c:pt>
                <c:pt idx="19">
                  <c:v>22.466000000000001</c:v>
                </c:pt>
                <c:pt idx="20">
                  <c:v>28.866</c:v>
                </c:pt>
                <c:pt idx="21">
                  <c:v>24.067</c:v>
                </c:pt>
                <c:pt idx="22">
                  <c:v>21.071000000000002</c:v>
                </c:pt>
                <c:pt idx="23">
                  <c:v>27.007000000000001</c:v>
                </c:pt>
                <c:pt idx="24">
                  <c:v>26.489000000000001</c:v>
                </c:pt>
                <c:pt idx="25">
                  <c:v>37.618899999999996</c:v>
                </c:pt>
                <c:pt idx="26">
                  <c:v>20.434999999999999</c:v>
                </c:pt>
                <c:pt idx="27">
                  <c:v>22.378</c:v>
                </c:pt>
                <c:pt idx="28">
                  <c:v>21.823</c:v>
                </c:pt>
                <c:pt idx="29">
                  <c:v>23.382000000000001</c:v>
                </c:pt>
                <c:pt idx="30">
                  <c:v>23.85</c:v>
                </c:pt>
                <c:pt idx="31">
                  <c:v>28.024000000000001</c:v>
                </c:pt>
                <c:pt idx="32">
                  <c:v>36.503</c:v>
                </c:pt>
                <c:pt idx="33">
                  <c:v>33.715000000000003</c:v>
                </c:pt>
                <c:pt idx="34">
                  <c:v>26.456</c:v>
                </c:pt>
                <c:pt idx="35">
                  <c:v>19.16</c:v>
                </c:pt>
                <c:pt idx="36">
                  <c:v>27.617999999999999</c:v>
                </c:pt>
                <c:pt idx="37">
                  <c:v>23.786999999999999</c:v>
                </c:pt>
                <c:pt idx="38">
                  <c:v>26.475999999999999</c:v>
                </c:pt>
                <c:pt idx="39">
                  <c:v>23.914999999999999</c:v>
                </c:pt>
                <c:pt idx="40">
                  <c:v>26.890999999999998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F46-429A-9061-2FF204141336}"/>
            </c:ext>
          </c:extLst>
        </c:ser>
        <c:ser>
          <c:idx val="5"/>
          <c:order val="2"/>
          <c:tx>
            <c:strRef>
              <c:f>'17-Hydroxyprogesterone'!$Y$10</c:f>
              <c:strCache>
                <c:ptCount val="1"/>
                <c:pt idx="0">
                  <c:v>+2SD UCL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FF0000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5-7566-495E-94A4-CE6F5B6A0B96}"/>
              </c:ext>
            </c:extLst>
          </c:dPt>
          <c:xVal>
            <c:numRef>
              <c:f>('17-Hydroxyprogesterone'!$R$4,'17-Hydroxyprogesterone'!$T$4)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41</c:v>
                </c:pt>
              </c:numCache>
            </c:numRef>
          </c:xVal>
          <c:yVal>
            <c:numRef>
              <c:f>('17-Hydroxyprogesterone'!$Y$11,'17-Hydroxyprogesterone'!$Y$11)</c:f>
              <c:numCache>
                <c:formatCode>0.00</c:formatCode>
                <c:ptCount val="2"/>
                <c:pt idx="0">
                  <c:v>35.183825659967745</c:v>
                </c:pt>
                <c:pt idx="1">
                  <c:v>35.183825659967745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F46-429A-9061-2FF204141336}"/>
            </c:ext>
          </c:extLst>
        </c:ser>
        <c:ser>
          <c:idx val="2"/>
          <c:order val="3"/>
          <c:tx>
            <c:v>Mean</c:v>
          </c:tx>
          <c:spPr>
            <a:ln>
              <a:solidFill>
                <a:schemeClr val="accent1"/>
              </a:solidFill>
              <a:prstDash val="sysDash"/>
            </a:ln>
          </c:spPr>
          <c:dPt>
            <c:idx val="0"/>
            <c:marker>
              <c:symbol val="none"/>
            </c:marker>
            <c:bubble3D val="0"/>
            <c:spPr>
              <a:ln w="28575">
                <a:solidFill>
                  <a:schemeClr val="accent1"/>
                </a:solidFill>
                <a:prstDash val="sysDot"/>
              </a:ln>
            </c:spPr>
            <c:extLst>
              <c:ext xmlns:c16="http://schemas.microsoft.com/office/drawing/2014/chart" uri="{C3380CC4-5D6E-409C-BE32-E72D297353CC}">
                <c16:uniqueId val="{00000007-7566-495E-94A4-CE6F5B6A0B96}"/>
              </c:ext>
            </c:extLst>
          </c:dPt>
          <c:xVal>
            <c:numRef>
              <c:f>('17-Hydroxyprogesterone'!$R$4,'17-Hydroxyprogesterone'!$T$4)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41</c:v>
                </c:pt>
              </c:numCache>
            </c:numRef>
          </c:xVal>
          <c:yVal>
            <c:numRef>
              <c:f>('17-Hydroxyprogesterone'!$U$11,'17-Hydroxyprogesterone'!$U$11)</c:f>
              <c:numCache>
                <c:formatCode>0.00</c:formatCode>
                <c:ptCount val="2"/>
                <c:pt idx="0">
                  <c:v>25.800851219512204</c:v>
                </c:pt>
                <c:pt idx="1">
                  <c:v>25.800851219512204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F46-429A-9061-2FF204141336}"/>
            </c:ext>
          </c:extLst>
        </c:ser>
        <c:ser>
          <c:idx val="6"/>
          <c:order val="4"/>
          <c:tx>
            <c:strRef>
              <c:f>'17-Hydroxyprogesterone'!$X$10</c:f>
              <c:strCache>
                <c:ptCount val="1"/>
                <c:pt idx="0">
                  <c:v>-2SD LCL</c:v>
                </c:pt>
              </c:strCache>
            </c:strRef>
          </c:tx>
          <c:spPr>
            <a:ln w="25400">
              <a:solidFill>
                <a:schemeClr val="accent6">
                  <a:lumMod val="60000"/>
                  <a:lumOff val="40000"/>
                </a:schemeClr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chemeClr val="accent6">
                    <a:lumMod val="60000"/>
                    <a:lumOff val="40000"/>
                  </a:scheme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9-7566-495E-94A4-CE6F5B6A0B96}"/>
              </c:ext>
            </c:extLst>
          </c:dPt>
          <c:xVal>
            <c:numRef>
              <c:f>('17-Hydroxyprogesterone'!$R$4,'17-Hydroxyprogesterone'!$T$4)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41</c:v>
                </c:pt>
              </c:numCache>
            </c:numRef>
          </c:xVal>
          <c:yVal>
            <c:numRef>
              <c:f>('17-Hydroxyprogesterone'!$X$11,'17-Hydroxyprogesterone'!$X$11)</c:f>
              <c:numCache>
                <c:formatCode>0.00</c:formatCode>
                <c:ptCount val="2"/>
                <c:pt idx="0">
                  <c:v>16.417876779056662</c:v>
                </c:pt>
                <c:pt idx="1">
                  <c:v>16.417876779056662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F46-429A-9061-2FF204141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catAx>
        <c:axId val="1414825479"/>
        <c:scaling>
          <c:orientation val="minMax"/>
        </c:scaling>
        <c:delete val="0"/>
        <c:axPos val="b"/>
        <c:numFmt formatCode="[$-409]d/mmm/yy;@" sourceLinked="0"/>
        <c:majorTickMark val="out"/>
        <c:minorTickMark val="out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664720785"/>
        <c:crosses val="autoZero"/>
        <c:auto val="0"/>
        <c:lblAlgn val="ctr"/>
        <c:lblOffset val="100"/>
        <c:noMultiLvlLbl val="1"/>
      </c:catAx>
      <c:valAx>
        <c:axId val="1664720785"/>
        <c:scaling>
          <c:orientation val="minMax"/>
          <c:max val="5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HQC [nmol/L]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/>
        </c:spPr>
        <c:crossAx val="1414825479"/>
        <c:crosses val="autoZero"/>
        <c:crossBetween val="between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</c:spPr>
      <c:txPr>
        <a:bodyPr anchor="ctr" anchorCtr="1"/>
        <a:lstStyle/>
        <a:p>
          <a:pPr rtl="0">
            <a:defRPr sz="1200"/>
          </a:pPr>
          <a:endParaRPr lang="en-US"/>
        </a:p>
      </c:txPr>
    </c:legend>
    <c:plotVisOnly val="1"/>
    <c:dispBlanksAs val="span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noFill/>
    </a:ln>
  </c:spPr>
  <c:txPr>
    <a:bodyPr/>
    <a:lstStyle/>
    <a:p>
      <a:pPr>
        <a:defRPr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SG">
                <a:solidFill>
                  <a:schemeClr val="accent6"/>
                </a:solidFill>
              </a:rPr>
              <a:t>LQC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041856212537431E-2"/>
          <c:y val="0.13692552474352129"/>
          <c:w val="0.85499174011352508"/>
          <c:h val="0.6503580352696221"/>
        </c:manualLayout>
      </c:layout>
      <c:lineChart>
        <c:grouping val="standard"/>
        <c:varyColors val="1"/>
        <c:ser>
          <c:idx val="4"/>
          <c:order val="6"/>
          <c:tx>
            <c:v>date</c:v>
          </c:tx>
          <c:marker>
            <c:symbol val="none"/>
          </c:marker>
          <c:cat>
            <c:numRef>
              <c:f>'17-Hydroxyprogesterone'!$R$14:$R$55</c:f>
              <c:numCache>
                <c:formatCode>yyyy/mm/dd;@</c:formatCode>
                <c:ptCount val="42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45804</c:v>
                </c:pt>
                <c:pt idx="28">
                  <c:v>45804</c:v>
                </c:pt>
                <c:pt idx="29">
                  <c:v>45825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45860</c:v>
                </c:pt>
                <c:pt idx="34">
                  <c:v>45860</c:v>
                </c:pt>
                <c:pt idx="35">
                  <c:v>45912</c:v>
                </c:pt>
                <c:pt idx="36">
                  <c:v>46044</c:v>
                </c:pt>
                <c:pt idx="37">
                  <c:v>46044</c:v>
                </c:pt>
                <c:pt idx="38">
                  <c:v>46048</c:v>
                </c:pt>
                <c:pt idx="39">
                  <c:v>46048</c:v>
                </c:pt>
                <c:pt idx="40">
                  <c:v>46065</c:v>
                </c:pt>
              </c:numCache>
            </c:numRef>
          </c:cat>
          <c:val>
            <c:numRef>
              <c:f>'17-Hydroxyprogesterone'!$R$14:$R$51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45804</c:v>
                </c:pt>
                <c:pt idx="28">
                  <c:v>45804</c:v>
                </c:pt>
                <c:pt idx="29">
                  <c:v>45825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45860</c:v>
                </c:pt>
                <c:pt idx="34">
                  <c:v>45860</c:v>
                </c:pt>
                <c:pt idx="35">
                  <c:v>45912</c:v>
                </c:pt>
                <c:pt idx="36">
                  <c:v>46044</c:v>
                </c:pt>
                <c:pt idx="37">
                  <c:v>46044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89-461B-9212-784BBC6EE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4825479"/>
        <c:axId val="1664720785"/>
      </c:lineChart>
      <c:scatterChart>
        <c:scatterStyle val="smoothMarker"/>
        <c:varyColors val="1"/>
        <c:ser>
          <c:idx val="3"/>
          <c:order val="1"/>
          <c:tx>
            <c:strRef>
              <c:f>'17-Hydroxyprogesterone'!$AH$10</c:f>
              <c:strCache>
                <c:ptCount val="1"/>
                <c:pt idx="0">
                  <c:v>+3SD UCL</c:v>
                </c:pt>
              </c:strCache>
            </c:strRef>
          </c:tx>
          <c:spPr>
            <a:ln>
              <a:solidFill>
                <a:srgbClr val="C00000"/>
              </a:solidFill>
              <a:prstDash val="solid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C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516-42C9-8401-53AAC1421B21}"/>
              </c:ext>
            </c:extLst>
          </c:dPt>
          <c:xVal>
            <c:numRef>
              <c:f>('17-Hydroxyprogesterone'!$R$4,'17-Hydroxyprogesterone'!$T$4)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41</c:v>
                </c:pt>
              </c:numCache>
            </c:numRef>
          </c:xVal>
          <c:yVal>
            <c:numRef>
              <c:f>('17-Hydroxyprogesterone'!$AH$11,'17-Hydroxyprogesterone'!$AH$11)</c:f>
              <c:numCache>
                <c:formatCode>0.00</c:formatCode>
                <c:ptCount val="2"/>
                <c:pt idx="0">
                  <c:v>1.8762663475775971</c:v>
                </c:pt>
                <c:pt idx="1">
                  <c:v>1.8762663475775971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489-461B-9212-784BBC6EE543}"/>
            </c:ext>
          </c:extLst>
        </c:ser>
        <c:ser>
          <c:idx val="1"/>
          <c:order val="2"/>
          <c:tx>
            <c:strRef>
              <c:f>'17-Hydroxyprogesterone'!$AG$10</c:f>
              <c:strCache>
                <c:ptCount val="1"/>
                <c:pt idx="0">
                  <c:v>+2SD UCL</c:v>
                </c:pt>
              </c:strCache>
            </c:strRef>
          </c:tx>
          <c:spPr>
            <a:ln w="25400">
              <a:solidFill>
                <a:srgbClr val="FF0000"/>
              </a:solidFill>
              <a:prstDash val="dash"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2-9516-42C9-8401-53AAC1421B21}"/>
              </c:ext>
            </c:extLst>
          </c:dPt>
          <c:xVal>
            <c:numRef>
              <c:f>('17-Hydroxyprogesterone'!$R$4,'17-Hydroxyprogesterone'!$T$4)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41</c:v>
                </c:pt>
              </c:numCache>
            </c:numRef>
          </c:xVal>
          <c:yVal>
            <c:numRef>
              <c:f>('17-Hydroxyprogesterone'!$AG$11,'17-Hydroxyprogesterone'!$AG$11)</c:f>
              <c:numCache>
                <c:formatCode>0.00</c:formatCode>
                <c:ptCount val="2"/>
                <c:pt idx="0">
                  <c:v>1.7146206544826257</c:v>
                </c:pt>
                <c:pt idx="1">
                  <c:v>1.7146206544826257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489-461B-9212-784BBC6EE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scatterChart>
        <c:scatterStyle val="lineMarker"/>
        <c:varyColors val="1"/>
        <c:ser>
          <c:idx val="0"/>
          <c:order val="0"/>
          <c:tx>
            <c:v>LQC</c:v>
          </c:tx>
          <c:marker>
            <c:symbol val="circle"/>
            <c:size val="10"/>
            <c:spPr>
              <a:solidFill>
                <a:schemeClr val="tx1">
                  <a:lumMod val="50000"/>
                  <a:lumOff val="50000"/>
                </a:schemeClr>
              </a:solidFill>
              <a:ln cmpd="sng">
                <a:solidFill>
                  <a:schemeClr val="tx1"/>
                </a:solidFill>
              </a:ln>
            </c:spPr>
          </c:marker>
          <c:xVal>
            <c:strRef>
              <c:f>'17-Hydroxyprogesterone'!$P$14:$P$268</c:f>
              <c:strCache>
                <c:ptCount val="4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</c:strCache>
            </c:strRef>
          </c:xVal>
          <c:yVal>
            <c:numRef>
              <c:f>'17-Hydroxyprogesterone'!$AC$14:$AC$268</c:f>
              <c:numCache>
                <c:formatCode>0.000</c:formatCode>
                <c:ptCount val="255"/>
                <c:pt idx="0">
                  <c:v>1.39</c:v>
                </c:pt>
                <c:pt idx="1">
                  <c:v>1.5469999999999999</c:v>
                </c:pt>
                <c:pt idx="2">
                  <c:v>1.65</c:v>
                </c:pt>
                <c:pt idx="3">
                  <c:v>1.4019999999999999</c:v>
                </c:pt>
                <c:pt idx="4">
                  <c:v>1.397</c:v>
                </c:pt>
                <c:pt idx="5">
                  <c:v>1.4059999999999999</c:v>
                </c:pt>
                <c:pt idx="6">
                  <c:v>1.2629999999999999</c:v>
                </c:pt>
                <c:pt idx="7">
                  <c:v>1.246</c:v>
                </c:pt>
                <c:pt idx="8">
                  <c:v>1.393</c:v>
                </c:pt>
                <c:pt idx="9">
                  <c:v>1.2669999999999999</c:v>
                </c:pt>
                <c:pt idx="10">
                  <c:v>1.5209999999999999</c:v>
                </c:pt>
                <c:pt idx="11">
                  <c:v>1.139</c:v>
                </c:pt>
                <c:pt idx="12">
                  <c:v>1.2350000000000001</c:v>
                </c:pt>
                <c:pt idx="13">
                  <c:v>1.5469999999999999</c:v>
                </c:pt>
                <c:pt idx="14">
                  <c:v>1.3440000000000001</c:v>
                </c:pt>
                <c:pt idx="15">
                  <c:v>1.244</c:v>
                </c:pt>
                <c:pt idx="16">
                  <c:v>1.123</c:v>
                </c:pt>
                <c:pt idx="17">
                  <c:v>1.038</c:v>
                </c:pt>
                <c:pt idx="18">
                  <c:v>1.2330000000000001</c:v>
                </c:pt>
                <c:pt idx="19">
                  <c:v>1.363</c:v>
                </c:pt>
                <c:pt idx="20">
                  <c:v>1.429</c:v>
                </c:pt>
                <c:pt idx="21">
                  <c:v>1.4159999999999999</c:v>
                </c:pt>
                <c:pt idx="22">
                  <c:v>1.456</c:v>
                </c:pt>
                <c:pt idx="23">
                  <c:v>1.4630000000000001</c:v>
                </c:pt>
                <c:pt idx="24">
                  <c:v>1.8012999999999999</c:v>
                </c:pt>
                <c:pt idx="25">
                  <c:v>1.5182</c:v>
                </c:pt>
                <c:pt idx="26">
                  <c:v>1.5229999999999999</c:v>
                </c:pt>
                <c:pt idx="27">
                  <c:v>1.5529999999999999</c:v>
                </c:pt>
                <c:pt idx="28">
                  <c:v>1.399</c:v>
                </c:pt>
                <c:pt idx="29">
                  <c:v>1.4790000000000001</c:v>
                </c:pt>
                <c:pt idx="30">
                  <c:v>1.415</c:v>
                </c:pt>
                <c:pt idx="31">
                  <c:v>1.4419999999999999</c:v>
                </c:pt>
                <c:pt idx="32">
                  <c:v>1.512</c:v>
                </c:pt>
                <c:pt idx="33">
                  <c:v>1.145</c:v>
                </c:pt>
                <c:pt idx="34">
                  <c:v>1.534</c:v>
                </c:pt>
                <c:pt idx="35">
                  <c:v>1.4079999999999999</c:v>
                </c:pt>
                <c:pt idx="36">
                  <c:v>1.393</c:v>
                </c:pt>
                <c:pt idx="37">
                  <c:v>1.56</c:v>
                </c:pt>
                <c:pt idx="38">
                  <c:v>1.097</c:v>
                </c:pt>
                <c:pt idx="39">
                  <c:v>1.1950000000000001</c:v>
                </c:pt>
                <c:pt idx="40">
                  <c:v>1.5580000000000001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489-461B-9212-784BBC6EE543}"/>
            </c:ext>
          </c:extLst>
        </c:ser>
        <c:ser>
          <c:idx val="2"/>
          <c:order val="3"/>
          <c:tx>
            <c:v>Mean</c:v>
          </c:tx>
          <c:spPr>
            <a:ln>
              <a:solidFill>
                <a:schemeClr val="accent1"/>
              </a:solidFill>
              <a:prstDash val="sysDash"/>
            </a:ln>
          </c:spPr>
          <c:dPt>
            <c:idx val="0"/>
            <c:marker>
              <c:symbol val="none"/>
            </c:marker>
            <c:bubble3D val="0"/>
            <c:spPr>
              <a:ln w="28575">
                <a:solidFill>
                  <a:schemeClr val="accent1"/>
                </a:solidFill>
                <a:prstDash val="sysDot"/>
              </a:ln>
            </c:spPr>
            <c:extLst>
              <c:ext xmlns:c16="http://schemas.microsoft.com/office/drawing/2014/chart" uri="{C3380CC4-5D6E-409C-BE32-E72D297353CC}">
                <c16:uniqueId val="{00000004-9516-42C9-8401-53AAC1421B21}"/>
              </c:ext>
            </c:extLst>
          </c:dPt>
          <c:xVal>
            <c:numRef>
              <c:f>('17-Hydroxyprogesterone'!$R$4,'17-Hydroxyprogesterone'!$T$4)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41</c:v>
                </c:pt>
              </c:numCache>
            </c:numRef>
          </c:xVal>
          <c:yVal>
            <c:numRef>
              <c:f>('17-Hydroxyprogesterone'!$AC$11,'17-Hydroxyprogesterone'!$AC$11)</c:f>
              <c:numCache>
                <c:formatCode>0.00</c:formatCode>
                <c:ptCount val="2"/>
                <c:pt idx="0">
                  <c:v>1.391329268292683</c:v>
                </c:pt>
                <c:pt idx="1">
                  <c:v>1.391329268292683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E489-461B-9212-784BBC6EE543}"/>
            </c:ext>
          </c:extLst>
        </c:ser>
        <c:ser>
          <c:idx val="6"/>
          <c:order val="4"/>
          <c:tx>
            <c:strRef>
              <c:f>'17-Hydroxyprogesterone'!$AF$10</c:f>
              <c:strCache>
                <c:ptCount val="1"/>
                <c:pt idx="0">
                  <c:v>-2SD LCL</c:v>
                </c:pt>
              </c:strCache>
            </c:strRef>
          </c:tx>
          <c:spPr>
            <a:ln w="25400">
              <a:solidFill>
                <a:schemeClr val="accent6">
                  <a:lumMod val="60000"/>
                  <a:lumOff val="40000"/>
                </a:schemeClr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chemeClr val="accent6">
                    <a:lumMod val="60000"/>
                    <a:lumOff val="40000"/>
                  </a:scheme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6-9516-42C9-8401-53AAC1421B21}"/>
              </c:ext>
            </c:extLst>
          </c:dPt>
          <c:xVal>
            <c:numRef>
              <c:f>('17-Hydroxyprogesterone'!$R$4,'17-Hydroxyprogesterone'!$T$4)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41</c:v>
                </c:pt>
              </c:numCache>
            </c:numRef>
          </c:xVal>
          <c:yVal>
            <c:numRef>
              <c:f>('17-Hydroxyprogesterone'!$AF$11,'17-Hydroxyprogesterone'!$AF$11)</c:f>
              <c:numCache>
                <c:formatCode>0.00</c:formatCode>
                <c:ptCount val="2"/>
                <c:pt idx="0">
                  <c:v>1.0680378821027403</c:v>
                </c:pt>
                <c:pt idx="1">
                  <c:v>1.0680378821027403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E489-461B-9212-784BBC6EE543}"/>
            </c:ext>
          </c:extLst>
        </c:ser>
        <c:ser>
          <c:idx val="5"/>
          <c:order val="5"/>
          <c:tx>
            <c:strRef>
              <c:f>'17-Hydroxyprogesterone'!$AE$10</c:f>
              <c:strCache>
                <c:ptCount val="1"/>
                <c:pt idx="0">
                  <c:v>-3SD LCL</c:v>
                </c:pt>
              </c:strCache>
            </c:strRef>
          </c:tx>
          <c:spPr>
            <a:ln>
              <a:solidFill>
                <a:schemeClr val="accent6"/>
              </a:solidFill>
              <a:prstDash val="solid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chemeClr val="accent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9516-42C9-8401-53AAC1421B21}"/>
              </c:ext>
            </c:extLst>
          </c:dPt>
          <c:xVal>
            <c:numRef>
              <c:f>('17-Hydroxyprogesterone'!$R$4,'17-Hydroxyprogesterone'!$T$4)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41</c:v>
                </c:pt>
              </c:numCache>
            </c:numRef>
          </c:xVal>
          <c:yVal>
            <c:numRef>
              <c:f>('17-Hydroxyprogesterone'!$AE$11,'17-Hydroxyprogesterone'!$AE$11)</c:f>
              <c:numCache>
                <c:formatCode>0.00</c:formatCode>
                <c:ptCount val="2"/>
                <c:pt idx="0">
                  <c:v>0.90639218900776886</c:v>
                </c:pt>
                <c:pt idx="1">
                  <c:v>0.90639218900776886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E489-461B-9212-784BBC6EE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catAx>
        <c:axId val="1414825479"/>
        <c:scaling>
          <c:orientation val="minMax"/>
        </c:scaling>
        <c:delete val="0"/>
        <c:axPos val="b"/>
        <c:numFmt formatCode="[$-409]d/mmm/yy;@" sourceLinked="0"/>
        <c:majorTickMark val="out"/>
        <c:minorTickMark val="out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664720785"/>
        <c:crosses val="autoZero"/>
        <c:auto val="0"/>
        <c:lblAlgn val="ctr"/>
        <c:lblOffset val="100"/>
        <c:noMultiLvlLbl val="1"/>
      </c:catAx>
      <c:valAx>
        <c:axId val="1664720785"/>
        <c:scaling>
          <c:orientation val="minMax"/>
          <c:max val="2.2000000000000002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200">
                    <a:solidFill>
                      <a:schemeClr val="accent6"/>
                    </a:solidFill>
                  </a:rPr>
                  <a:t>LQC [nmol/L]</a:t>
                </a:r>
              </a:p>
            </c:rich>
          </c:tx>
          <c:layout>
            <c:manualLayout>
              <c:xMode val="edge"/>
              <c:yMode val="edge"/>
              <c:x val="1.2907702223661067E-2"/>
              <c:y val="0.40450724699866752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/>
        </c:spPr>
        <c:crossAx val="1414825479"/>
        <c:crosses val="autoZero"/>
        <c:crossBetween val="between"/>
        <c:majorUnit val="0.2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</c:spPr>
      <c:txPr>
        <a:bodyPr anchor="ctr" anchorCtr="1"/>
        <a:lstStyle/>
        <a:p>
          <a:pPr rtl="0">
            <a:defRPr sz="1200"/>
          </a:pPr>
          <a:endParaRPr lang="en-US"/>
        </a:p>
      </c:txPr>
    </c:legend>
    <c:plotVisOnly val="1"/>
    <c:dispBlanksAs val="span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noFill/>
    </a:ln>
  </c:spPr>
  <c:txPr>
    <a:bodyPr/>
    <a:lstStyle/>
    <a:p>
      <a:pPr>
        <a:defRPr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SG">
                <a:solidFill>
                  <a:sysClr val="windowText" lastClr="000000"/>
                </a:solidFill>
              </a:rPr>
              <a:t>ACCURACY</a:t>
            </a:r>
          </a:p>
        </c:rich>
      </c:tx>
      <c:overlay val="0"/>
      <c:spPr>
        <a:noFill/>
      </c:spPr>
    </c:title>
    <c:autoTitleDeleted val="0"/>
    <c:plotArea>
      <c:layout>
        <c:manualLayout>
          <c:layoutTarget val="inner"/>
          <c:xMode val="edge"/>
          <c:yMode val="edge"/>
          <c:x val="9.7388134921387773E-2"/>
          <c:y val="0.12595373243973218"/>
          <c:w val="0.85499174011352508"/>
          <c:h val="0.6503580352696221"/>
        </c:manualLayout>
      </c:layout>
      <c:lineChart>
        <c:grouping val="standard"/>
        <c:varyColors val="1"/>
        <c:ser>
          <c:idx val="4"/>
          <c:order val="4"/>
          <c:tx>
            <c:v>date</c:v>
          </c:tx>
          <c:marker>
            <c:symbol val="none"/>
          </c:marker>
          <c:cat>
            <c:numRef>
              <c:f>'17-Hydroxyprogesterone'!$R$14:$R$51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45804</c:v>
                </c:pt>
                <c:pt idx="28">
                  <c:v>45804</c:v>
                </c:pt>
                <c:pt idx="29">
                  <c:v>45825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45860</c:v>
                </c:pt>
                <c:pt idx="34">
                  <c:v>45860</c:v>
                </c:pt>
                <c:pt idx="35">
                  <c:v>45912</c:v>
                </c:pt>
                <c:pt idx="36">
                  <c:v>46044</c:v>
                </c:pt>
                <c:pt idx="37">
                  <c:v>46044</c:v>
                </c:pt>
              </c:numCache>
            </c:numRef>
          </c:cat>
          <c:val>
            <c:numRef>
              <c:f>'17-Hydroxyprogesterone'!$R$14:$R$51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45804</c:v>
                </c:pt>
                <c:pt idx="28">
                  <c:v>45804</c:v>
                </c:pt>
                <c:pt idx="29">
                  <c:v>45825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45860</c:v>
                </c:pt>
                <c:pt idx="34">
                  <c:v>45860</c:v>
                </c:pt>
                <c:pt idx="35">
                  <c:v>45912</c:v>
                </c:pt>
                <c:pt idx="36">
                  <c:v>46044</c:v>
                </c:pt>
                <c:pt idx="37">
                  <c:v>46044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67-4530-9723-73E1A66E93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4825479"/>
        <c:axId val="1664720785"/>
      </c:lineChart>
      <c:scatterChart>
        <c:scatterStyle val="lineMarker"/>
        <c:varyColors val="1"/>
        <c:ser>
          <c:idx val="1"/>
          <c:order val="0"/>
          <c:tx>
            <c:v>LQC Acc</c:v>
          </c:tx>
          <c:spPr>
            <a:ln>
              <a:solidFill>
                <a:schemeClr val="accent6">
                  <a:lumMod val="50000"/>
                </a:schemeClr>
              </a:solidFill>
            </a:ln>
          </c:spPr>
          <c:marker>
            <c:symbol val="circle"/>
            <c:size val="10"/>
            <c:spPr>
              <a:solidFill>
                <a:schemeClr val="accent6"/>
              </a:solidFill>
              <a:ln>
                <a:solidFill>
                  <a:schemeClr val="accent6"/>
                </a:solidFill>
              </a:ln>
            </c:spPr>
          </c:marker>
          <c:xVal>
            <c:strRef>
              <c:f>'17-Hydroxyprogesterone'!$P$14:$P$268</c:f>
              <c:strCache>
                <c:ptCount val="4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</c:strCache>
            </c:strRef>
          </c:xVal>
          <c:yVal>
            <c:numRef>
              <c:f>'17-Hydroxyprogesterone'!$AH$14:$AH$268</c:f>
              <c:numCache>
                <c:formatCode>0.0%</c:formatCode>
                <c:ptCount val="255"/>
                <c:pt idx="0">
                  <c:v>0.86712414223331247</c:v>
                </c:pt>
                <c:pt idx="1">
                  <c:v>0.96506550218340603</c:v>
                </c:pt>
                <c:pt idx="2">
                  <c:v>1.0293200249532126</c:v>
                </c:pt>
                <c:pt idx="3">
                  <c:v>0.87461010605115408</c:v>
                </c:pt>
                <c:pt idx="4">
                  <c:v>0.87149095446038682</c:v>
                </c:pt>
                <c:pt idx="5">
                  <c:v>0.87710542732376784</c:v>
                </c:pt>
                <c:pt idx="6">
                  <c:v>0.78789769182782277</c:v>
                </c:pt>
                <c:pt idx="7">
                  <c:v>0.77729257641921401</c:v>
                </c:pt>
                <c:pt idx="8">
                  <c:v>0.86899563318777295</c:v>
                </c:pt>
                <c:pt idx="9">
                  <c:v>0.79039301310043664</c:v>
                </c:pt>
                <c:pt idx="10">
                  <c:v>0.94884591391141604</c:v>
                </c:pt>
                <c:pt idx="11">
                  <c:v>0.71054273237679355</c:v>
                </c:pt>
                <c:pt idx="12">
                  <c:v>0.770430442919526</c:v>
                </c:pt>
                <c:pt idx="13">
                  <c:v>0.96506550218340603</c:v>
                </c:pt>
                <c:pt idx="14">
                  <c:v>0.83842794759825334</c:v>
                </c:pt>
                <c:pt idx="15">
                  <c:v>0.77604491578290702</c:v>
                </c:pt>
                <c:pt idx="16">
                  <c:v>0.70056144728633807</c:v>
                </c:pt>
                <c:pt idx="17">
                  <c:v>0.64753587024329384</c:v>
                </c:pt>
                <c:pt idx="18">
                  <c:v>0.76918278228321901</c:v>
                </c:pt>
                <c:pt idx="19">
                  <c:v>0.85028072364316909</c:v>
                </c:pt>
                <c:pt idx="20">
                  <c:v>1.0063380281690142</c:v>
                </c:pt>
                <c:pt idx="21">
                  <c:v>0.9971830985915493</c:v>
                </c:pt>
                <c:pt idx="22">
                  <c:v>1.0253521126760563</c:v>
                </c:pt>
                <c:pt idx="23">
                  <c:v>1.0302816901408451</c:v>
                </c:pt>
                <c:pt idx="24">
                  <c:v>1.2685211267605634</c:v>
                </c:pt>
                <c:pt idx="25">
                  <c:v>1.0691549295774649</c:v>
                </c:pt>
                <c:pt idx="26">
                  <c:v>1.0725352112676056</c:v>
                </c:pt>
                <c:pt idx="27">
                  <c:v>1.0936619718309859</c:v>
                </c:pt>
                <c:pt idx="28">
                  <c:v>0.98521126760563382</c:v>
                </c:pt>
                <c:pt idx="29">
                  <c:v>1.0415492957746479</c:v>
                </c:pt>
                <c:pt idx="30">
                  <c:v>0.99647887323943674</c:v>
                </c:pt>
                <c:pt idx="31">
                  <c:v>1.0154929577464789</c:v>
                </c:pt>
                <c:pt idx="32">
                  <c:v>1.0647887323943663</c:v>
                </c:pt>
                <c:pt idx="33">
                  <c:v>0.80633802816901412</c:v>
                </c:pt>
                <c:pt idx="34">
                  <c:v>1.0802816901408452</c:v>
                </c:pt>
                <c:pt idx="35">
                  <c:v>0.9915492957746479</c:v>
                </c:pt>
                <c:pt idx="36">
                  <c:v>0.98098591549295777</c:v>
                </c:pt>
                <c:pt idx="37">
                  <c:v>1.0985915492957747</c:v>
                </c:pt>
                <c:pt idx="38">
                  <c:v>0.7725352112676056</c:v>
                </c:pt>
                <c:pt idx="39">
                  <c:v>0.84154929577464799</c:v>
                </c:pt>
                <c:pt idx="40">
                  <c:v>1.0971830985915494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67-4530-9723-73E1A66E93BA}"/>
            </c:ext>
          </c:extLst>
        </c:ser>
        <c:ser>
          <c:idx val="0"/>
          <c:order val="1"/>
          <c:tx>
            <c:v>HQC Acc.</c:v>
          </c:tx>
          <c:spPr>
            <a:ln>
              <a:solidFill>
                <a:schemeClr val="accent2">
                  <a:lumMod val="50000"/>
                </a:schemeClr>
              </a:solidFill>
            </a:ln>
          </c:spPr>
          <c:marker>
            <c:symbol val="circle"/>
            <c:size val="10"/>
            <c:spPr>
              <a:solidFill>
                <a:srgbClr val="FFC000"/>
              </a:solidFill>
              <a:ln cmpd="sng">
                <a:solidFill>
                  <a:schemeClr val="accent2"/>
                </a:solidFill>
              </a:ln>
            </c:spPr>
          </c:marker>
          <c:xVal>
            <c:strRef>
              <c:f>'17-Hydroxyprogesterone'!$P$14:$P$268</c:f>
              <c:strCache>
                <c:ptCount val="4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</c:strCache>
            </c:strRef>
          </c:xVal>
          <c:yVal>
            <c:numRef>
              <c:f>'17-Hydroxyprogesterone'!$Z$14:$Z$268</c:f>
              <c:numCache>
                <c:formatCode>0.0%</c:formatCode>
                <c:ptCount val="255"/>
                <c:pt idx="0">
                  <c:v>0.98184271395528144</c:v>
                </c:pt>
                <c:pt idx="1">
                  <c:v>0.97918272937548179</c:v>
                </c:pt>
                <c:pt idx="2">
                  <c:v>1.083538936006168</c:v>
                </c:pt>
                <c:pt idx="3">
                  <c:v>0.99903623747108705</c:v>
                </c:pt>
                <c:pt idx="4">
                  <c:v>1.2879722436391672</c:v>
                </c:pt>
                <c:pt idx="5">
                  <c:v>1.0804163454124902</c:v>
                </c:pt>
                <c:pt idx="6">
                  <c:v>1.2772166538164995</c:v>
                </c:pt>
                <c:pt idx="7">
                  <c:v>1.1580185042405551</c:v>
                </c:pt>
                <c:pt idx="8">
                  <c:v>1.1863531225905937</c:v>
                </c:pt>
                <c:pt idx="9">
                  <c:v>1.2417116422513492</c:v>
                </c:pt>
                <c:pt idx="10">
                  <c:v>0.84140323824209717</c:v>
                </c:pt>
                <c:pt idx="11">
                  <c:v>0.85412490362374704</c:v>
                </c:pt>
                <c:pt idx="12">
                  <c:v>0.82181958365458752</c:v>
                </c:pt>
                <c:pt idx="13">
                  <c:v>0.74236700077101003</c:v>
                </c:pt>
                <c:pt idx="14">
                  <c:v>0.86634541249036234</c:v>
                </c:pt>
                <c:pt idx="15">
                  <c:v>0.88920585967617571</c:v>
                </c:pt>
                <c:pt idx="16">
                  <c:v>0.87062451811873554</c:v>
                </c:pt>
                <c:pt idx="17">
                  <c:v>0.81364687740940633</c:v>
                </c:pt>
                <c:pt idx="18">
                  <c:v>0.75443330763299921</c:v>
                </c:pt>
                <c:pt idx="19">
                  <c:v>0.86607555898226674</c:v>
                </c:pt>
                <c:pt idx="20">
                  <c:v>0.99641007939247506</c:v>
                </c:pt>
                <c:pt idx="21">
                  <c:v>0.83075595443562311</c:v>
                </c:pt>
                <c:pt idx="22">
                  <c:v>0.72733862616499834</c:v>
                </c:pt>
                <c:pt idx="23">
                  <c:v>0.93224024853296528</c:v>
                </c:pt>
                <c:pt idx="24">
                  <c:v>0.91435968243010013</c:v>
                </c:pt>
                <c:pt idx="25">
                  <c:v>1.2985467725233</c:v>
                </c:pt>
                <c:pt idx="26">
                  <c:v>0.70538488091128748</c:v>
                </c:pt>
                <c:pt idx="27">
                  <c:v>0.77245426303072151</c:v>
                </c:pt>
                <c:pt idx="28">
                  <c:v>0.75329651363479466</c:v>
                </c:pt>
                <c:pt idx="29">
                  <c:v>0.80711080428029003</c:v>
                </c:pt>
                <c:pt idx="30">
                  <c:v>0.82326544701415261</c:v>
                </c:pt>
                <c:pt idx="31">
                  <c:v>0.96734552985847433</c:v>
                </c:pt>
                <c:pt idx="32">
                  <c:v>1.260027614773904</c:v>
                </c:pt>
                <c:pt idx="33">
                  <c:v>1.1637901277183296</c:v>
                </c:pt>
                <c:pt idx="34">
                  <c:v>0.91322057300655857</c:v>
                </c:pt>
                <c:pt idx="35">
                  <c:v>0.66137383500172597</c:v>
                </c:pt>
                <c:pt idx="36">
                  <c:v>0.95333103210217462</c:v>
                </c:pt>
                <c:pt idx="37">
                  <c:v>0.8210907835692095</c:v>
                </c:pt>
                <c:pt idx="38">
                  <c:v>0.91391094235415948</c:v>
                </c:pt>
                <c:pt idx="39">
                  <c:v>0.82550914739385572</c:v>
                </c:pt>
                <c:pt idx="40">
                  <c:v>0.92823610631687947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F67-4530-9723-73E1A66E93BA}"/>
            </c:ext>
          </c:extLst>
        </c:ser>
        <c:ser>
          <c:idx val="5"/>
          <c:order val="2"/>
          <c:tx>
            <c:v>UCL</c:v>
          </c:tx>
          <c:spPr>
            <a:ln>
              <a:prstDash val="dash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C00000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1-015B-410E-9A4E-C5895C14092F}"/>
              </c:ext>
            </c:extLst>
          </c:dPt>
          <c:xVal>
            <c:numRef>
              <c:f>('17-Hydroxyprogesterone'!$R$4,'17-Hydroxyprogesterone'!$T$4)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41</c:v>
                </c:pt>
              </c:numCache>
            </c:numRef>
          </c:xVal>
          <c:yVal>
            <c:numRef>
              <c:f>('17-Hydroxyprogesterone'!$Q$11,'17-Hydroxyprogesterone'!$Q$11)</c:f>
              <c:numCache>
                <c:formatCode>0%</c:formatCode>
                <c:ptCount val="2"/>
                <c:pt idx="0">
                  <c:v>1.1499999999999999</c:v>
                </c:pt>
                <c:pt idx="1">
                  <c:v>1.1499999999999999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F67-4530-9723-73E1A66E93BA}"/>
            </c:ext>
          </c:extLst>
        </c:ser>
        <c:ser>
          <c:idx val="6"/>
          <c:order val="3"/>
          <c:tx>
            <c:v>LCL</c:v>
          </c:tx>
          <c:spPr>
            <a:ln w="25400"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chemeClr val="accent6">
                    <a:lumMod val="75000"/>
                  </a:scheme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3-015B-410E-9A4E-C5895C14092F}"/>
              </c:ext>
            </c:extLst>
          </c:dPt>
          <c:xVal>
            <c:numRef>
              <c:f>('17-Hydroxyprogesterone'!$R$4,'17-Hydroxyprogesterone'!$T$4)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41</c:v>
                </c:pt>
              </c:numCache>
            </c:numRef>
          </c:xVal>
          <c:yVal>
            <c:numRef>
              <c:f>('17-Hydroxyprogesterone'!$R$11,'17-Hydroxyprogesterone'!$R$11)</c:f>
              <c:numCache>
                <c:formatCode>0%</c:formatCode>
                <c:ptCount val="2"/>
                <c:pt idx="0">
                  <c:v>0.8</c:v>
                </c:pt>
                <c:pt idx="1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F67-4530-9723-73E1A66E93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catAx>
        <c:axId val="1414825479"/>
        <c:scaling>
          <c:orientation val="minMax"/>
        </c:scaling>
        <c:delete val="0"/>
        <c:axPos val="b"/>
        <c:numFmt formatCode="[$-409]d/mmm/yy;@" sourceLinked="0"/>
        <c:majorTickMark val="out"/>
        <c:minorTickMark val="out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664720785"/>
        <c:crosses val="autoZero"/>
        <c:auto val="0"/>
        <c:lblAlgn val="ctr"/>
        <c:lblOffset val="100"/>
        <c:noMultiLvlLbl val="1"/>
      </c:catAx>
      <c:valAx>
        <c:axId val="1664720785"/>
        <c:scaling>
          <c:orientation val="minMax"/>
          <c:max val="1.8"/>
          <c:min val="0.4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ACCURACY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/>
            </a:pPr>
            <a:endParaRPr lang="en-US"/>
          </a:p>
        </c:txPr>
        <c:crossAx val="1414825479"/>
        <c:crosses val="autoZero"/>
        <c:crossBetween val="between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</c:spPr>
      <c:txPr>
        <a:bodyPr anchor="ctr" anchorCtr="1"/>
        <a:lstStyle/>
        <a:p>
          <a:pPr rtl="0">
            <a:defRPr sz="1400" b="0"/>
          </a:pPr>
          <a:endParaRPr lang="en-US"/>
        </a:p>
      </c:txPr>
    </c:legend>
    <c:plotVisOnly val="1"/>
    <c:dispBlanksAs val="span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noFill/>
    </a:ln>
  </c:spPr>
  <c:txPr>
    <a:bodyPr/>
    <a:lstStyle/>
    <a:p>
      <a:pPr>
        <a:defRPr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SG">
                <a:solidFill>
                  <a:schemeClr val="accent2"/>
                </a:solidFill>
              </a:rPr>
              <a:t>HQC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041856212537431E-2"/>
          <c:y val="0.13692552474352129"/>
          <c:w val="0.85499174011352508"/>
          <c:h val="0.6503580352696221"/>
        </c:manualLayout>
      </c:layout>
      <c:lineChart>
        <c:grouping val="standard"/>
        <c:varyColors val="1"/>
        <c:ser>
          <c:idx val="4"/>
          <c:order val="6"/>
          <c:tx>
            <c:v>date</c:v>
          </c:tx>
          <c:marker>
            <c:symbol val="none"/>
          </c:marker>
          <c:cat>
            <c:numRef>
              <c:f>'21-Deoxycortisol'!$R$14:$R$55</c:f>
              <c:numCache>
                <c:formatCode>yyyy/mm/dd;@</c:formatCode>
                <c:ptCount val="42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  <c:pt idx="38">
                  <c:v>46044</c:v>
                </c:pt>
                <c:pt idx="39">
                  <c:v>46048</c:v>
                </c:pt>
                <c:pt idx="40">
                  <c:v>46048</c:v>
                </c:pt>
                <c:pt idx="41">
                  <c:v>46065</c:v>
                </c:pt>
              </c:numCache>
            </c:numRef>
          </c:cat>
          <c:val>
            <c:numRef>
              <c:f>'21-Deoxycortisol'!$R$14:$R$51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25-452D-8B7C-D37F338218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4825479"/>
        <c:axId val="1664720785"/>
      </c:lineChart>
      <c:scatterChart>
        <c:scatterStyle val="smoothMarker"/>
        <c:varyColors val="1"/>
        <c:ser>
          <c:idx val="3"/>
          <c:order val="1"/>
          <c:tx>
            <c:strRef>
              <c:f>'21-Deoxycortisol'!$Z$10</c:f>
              <c:strCache>
                <c:ptCount val="1"/>
                <c:pt idx="0">
                  <c:v>+3SD UCL</c:v>
                </c:pt>
              </c:strCache>
            </c:strRef>
          </c:tx>
          <c:spPr>
            <a:ln>
              <a:solidFill>
                <a:srgbClr val="C00000"/>
              </a:solidFill>
              <a:prstDash val="solid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C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C5C-41FA-9856-428D38F87C5C}"/>
              </c:ext>
            </c:extLst>
          </c:dPt>
          <c:xVal>
            <c:numRef>
              <c:f>('21-Deoxycortisol'!$R$4,'21-Deoxycortisol'!$T$4)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('21-Deoxycortisol'!$Z$11,'21-Deoxycortisol'!$Z$11)</c:f>
              <c:numCache>
                <c:formatCode>0.00</c:formatCode>
                <c:ptCount val="2"/>
                <c:pt idx="0">
                  <c:v>34.908830653839047</c:v>
                </c:pt>
                <c:pt idx="1">
                  <c:v>34.908830653839047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725-452D-8B7C-D37F3382187F}"/>
            </c:ext>
          </c:extLst>
        </c:ser>
        <c:ser>
          <c:idx val="1"/>
          <c:order val="5"/>
          <c:tx>
            <c:strRef>
              <c:f>'21-Deoxycortisol'!$W$10</c:f>
              <c:strCache>
                <c:ptCount val="1"/>
                <c:pt idx="0">
                  <c:v>-3SD LCL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00B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AC5C-41FA-9856-428D38F87C5C}"/>
              </c:ext>
            </c:extLst>
          </c:dPt>
          <c:xVal>
            <c:numRef>
              <c:f>('21-Deoxycortisol'!$R$4,'21-Deoxycortisol'!$T$4)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('21-Deoxycortisol'!$W$11,'21-Deoxycortisol'!$W$11)</c:f>
              <c:numCache>
                <c:formatCode>0.00</c:formatCode>
                <c:ptCount val="2"/>
                <c:pt idx="0">
                  <c:v>13.880431250922872</c:v>
                </c:pt>
                <c:pt idx="1">
                  <c:v>13.880431250922872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725-452D-8B7C-D37F338218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scatterChart>
        <c:scatterStyle val="lineMarker"/>
        <c:varyColors val="1"/>
        <c:ser>
          <c:idx val="0"/>
          <c:order val="0"/>
          <c:tx>
            <c:v>HQC</c:v>
          </c:tx>
          <c:marker>
            <c:symbol val="circle"/>
            <c:size val="10"/>
            <c:spPr>
              <a:solidFill>
                <a:schemeClr val="tx1">
                  <a:lumMod val="50000"/>
                  <a:lumOff val="50000"/>
                </a:schemeClr>
              </a:solidFill>
              <a:ln cmpd="sng">
                <a:solidFill>
                  <a:schemeClr val="tx1"/>
                </a:solidFill>
              </a:ln>
            </c:spPr>
          </c:marker>
          <c:xVal>
            <c:strRef>
              <c:f>'21-Deoxycortisol'!$P$14:$P$268</c:f>
              <c:strCach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strCache>
            </c:strRef>
          </c:xVal>
          <c:yVal>
            <c:numRef>
              <c:f>'21-Deoxycortisol'!$U$14:$U$268</c:f>
              <c:numCache>
                <c:formatCode>0.000</c:formatCode>
                <c:ptCount val="255"/>
                <c:pt idx="0">
                  <c:v>24.782</c:v>
                </c:pt>
                <c:pt idx="1">
                  <c:v>29.823</c:v>
                </c:pt>
                <c:pt idx="2">
                  <c:v>20.04</c:v>
                </c:pt>
                <c:pt idx="3">
                  <c:v>26.152999999999999</c:v>
                </c:pt>
                <c:pt idx="4">
                  <c:v>21.821999999999999</c:v>
                </c:pt>
                <c:pt idx="5">
                  <c:v>23.6</c:v>
                </c:pt>
                <c:pt idx="6">
                  <c:v>28.056999999999999</c:v>
                </c:pt>
                <c:pt idx="7">
                  <c:v>28.244</c:v>
                </c:pt>
                <c:pt idx="8">
                  <c:v>24.783999999999999</c:v>
                </c:pt>
                <c:pt idx="9">
                  <c:v>25.059000000000001</c:v>
                </c:pt>
                <c:pt idx="10">
                  <c:v>20.251999999999999</c:v>
                </c:pt>
                <c:pt idx="11">
                  <c:v>22.151</c:v>
                </c:pt>
                <c:pt idx="12">
                  <c:v>24.388999999999999</c:v>
                </c:pt>
                <c:pt idx="13">
                  <c:v>20.108000000000001</c:v>
                </c:pt>
                <c:pt idx="14">
                  <c:v>20.966999999999999</c:v>
                </c:pt>
                <c:pt idx="15">
                  <c:v>20.271000000000001</c:v>
                </c:pt>
                <c:pt idx="16">
                  <c:v>21.579000000000001</c:v>
                </c:pt>
                <c:pt idx="17">
                  <c:v>22.536999999999999</c:v>
                </c:pt>
                <c:pt idx="18">
                  <c:v>23.335999999999999</c:v>
                </c:pt>
                <c:pt idx="19">
                  <c:v>19.843</c:v>
                </c:pt>
                <c:pt idx="20">
                  <c:v>23.071000000000002</c:v>
                </c:pt>
                <c:pt idx="21">
                  <c:v>22.687999999999999</c:v>
                </c:pt>
                <c:pt idx="22">
                  <c:v>21.966000000000001</c:v>
                </c:pt>
                <c:pt idx="23">
                  <c:v>22.050999999999998</c:v>
                </c:pt>
                <c:pt idx="24">
                  <c:v>22.334900000000001</c:v>
                </c:pt>
                <c:pt idx="25">
                  <c:v>32.1706</c:v>
                </c:pt>
                <c:pt idx="26">
                  <c:v>23.899000000000001</c:v>
                </c:pt>
                <c:pt idx="27">
                  <c:v>31.841999999999999</c:v>
                </c:pt>
                <c:pt idx="28">
                  <c:v>21.97</c:v>
                </c:pt>
                <c:pt idx="29">
                  <c:v>26.585000000000001</c:v>
                </c:pt>
                <c:pt idx="30">
                  <c:v>28.28</c:v>
                </c:pt>
                <c:pt idx="31">
                  <c:v>25.277999999999999</c:v>
                </c:pt>
                <c:pt idx="32">
                  <c:v>23.664000000000001</c:v>
                </c:pt>
                <c:pt idx="33">
                  <c:v>33.15</c:v>
                </c:pt>
                <c:pt idx="34">
                  <c:v>31.984000000000002</c:v>
                </c:pt>
                <c:pt idx="35">
                  <c:v>25.213999999999999</c:v>
                </c:pt>
                <c:pt idx="36">
                  <c:v>23.23</c:v>
                </c:pt>
                <c:pt idx="37">
                  <c:v>23.684000000000001</c:v>
                </c:pt>
                <c:pt idx="38">
                  <c:v>24.684000000000001</c:v>
                </c:pt>
                <c:pt idx="39">
                  <c:v>21.638999999999999</c:v>
                </c:pt>
                <c:pt idx="40">
                  <c:v>25.167000000000002</c:v>
                </c:pt>
                <c:pt idx="41">
                  <c:v>22.225999999999999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725-452D-8B7C-D37F3382187F}"/>
            </c:ext>
          </c:extLst>
        </c:ser>
        <c:ser>
          <c:idx val="5"/>
          <c:order val="2"/>
          <c:tx>
            <c:strRef>
              <c:f>'21-Deoxycortisol'!$Y$10</c:f>
              <c:strCache>
                <c:ptCount val="1"/>
                <c:pt idx="0">
                  <c:v>+2SD UCL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FF0000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5-AC5C-41FA-9856-428D38F87C5C}"/>
              </c:ext>
            </c:extLst>
          </c:dPt>
          <c:xVal>
            <c:numRef>
              <c:f>('21-Deoxycortisol'!$R$4,'21-Deoxycortisol'!$T$4)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('21-Deoxycortisol'!$Y$11,'21-Deoxycortisol'!$Y$11)</c:f>
              <c:numCache>
                <c:formatCode>0.00</c:formatCode>
                <c:ptCount val="2"/>
                <c:pt idx="0">
                  <c:v>31.404097420019681</c:v>
                </c:pt>
                <c:pt idx="1">
                  <c:v>31.404097420019681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725-452D-8B7C-D37F3382187F}"/>
            </c:ext>
          </c:extLst>
        </c:ser>
        <c:ser>
          <c:idx val="2"/>
          <c:order val="3"/>
          <c:tx>
            <c:v>Mean</c:v>
          </c:tx>
          <c:spPr>
            <a:ln>
              <a:solidFill>
                <a:schemeClr val="accent1"/>
              </a:solidFill>
              <a:prstDash val="sysDash"/>
            </a:ln>
          </c:spPr>
          <c:dPt>
            <c:idx val="0"/>
            <c:marker>
              <c:symbol val="none"/>
            </c:marker>
            <c:bubble3D val="0"/>
            <c:spPr>
              <a:ln w="28575">
                <a:solidFill>
                  <a:schemeClr val="accent1"/>
                </a:solidFill>
                <a:prstDash val="sysDot"/>
              </a:ln>
            </c:spPr>
            <c:extLst>
              <c:ext xmlns:c16="http://schemas.microsoft.com/office/drawing/2014/chart" uri="{C3380CC4-5D6E-409C-BE32-E72D297353CC}">
                <c16:uniqueId val="{00000007-AC5C-41FA-9856-428D38F87C5C}"/>
              </c:ext>
            </c:extLst>
          </c:dPt>
          <c:xVal>
            <c:numRef>
              <c:f>('21-Deoxycortisol'!$R$4,'21-Deoxycortisol'!$T$4)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('21-Deoxycortisol'!$U$11,'21-Deoxycortisol'!$U$11)</c:f>
              <c:numCache>
                <c:formatCode>0.00</c:formatCode>
                <c:ptCount val="2"/>
                <c:pt idx="0">
                  <c:v>24.394630952380957</c:v>
                </c:pt>
                <c:pt idx="1">
                  <c:v>24.394630952380957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725-452D-8B7C-D37F3382187F}"/>
            </c:ext>
          </c:extLst>
        </c:ser>
        <c:ser>
          <c:idx val="6"/>
          <c:order val="4"/>
          <c:tx>
            <c:strRef>
              <c:f>'21-Deoxycortisol'!$X$10</c:f>
              <c:strCache>
                <c:ptCount val="1"/>
                <c:pt idx="0">
                  <c:v>-2SD LCL</c:v>
                </c:pt>
              </c:strCache>
            </c:strRef>
          </c:tx>
          <c:spPr>
            <a:ln w="25400">
              <a:solidFill>
                <a:schemeClr val="accent6">
                  <a:lumMod val="60000"/>
                  <a:lumOff val="40000"/>
                </a:schemeClr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chemeClr val="accent6">
                    <a:lumMod val="60000"/>
                    <a:lumOff val="40000"/>
                  </a:scheme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9-AC5C-41FA-9856-428D38F87C5C}"/>
              </c:ext>
            </c:extLst>
          </c:dPt>
          <c:xVal>
            <c:numRef>
              <c:f>('21-Deoxycortisol'!$R$4,'21-Deoxycortisol'!$T$4)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('21-Deoxycortisol'!$X$11,'21-Deoxycortisol'!$X$11)</c:f>
              <c:numCache>
                <c:formatCode>0.00</c:formatCode>
                <c:ptCount val="2"/>
                <c:pt idx="0">
                  <c:v>17.385164484742234</c:v>
                </c:pt>
                <c:pt idx="1">
                  <c:v>17.385164484742234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725-452D-8B7C-D37F338218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catAx>
        <c:axId val="1414825479"/>
        <c:scaling>
          <c:orientation val="minMax"/>
        </c:scaling>
        <c:delete val="0"/>
        <c:axPos val="b"/>
        <c:numFmt formatCode="[$-409]d/mmm/yy;@" sourceLinked="0"/>
        <c:majorTickMark val="out"/>
        <c:minorTickMark val="out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664720785"/>
        <c:crosses val="autoZero"/>
        <c:auto val="0"/>
        <c:lblAlgn val="ctr"/>
        <c:lblOffset val="100"/>
        <c:noMultiLvlLbl val="1"/>
      </c:catAx>
      <c:valAx>
        <c:axId val="1664720785"/>
        <c:scaling>
          <c:orientation val="minMax"/>
          <c:max val="45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HQC [nmol/L]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/>
        </c:spPr>
        <c:crossAx val="1414825479"/>
        <c:crosses val="autoZero"/>
        <c:crossBetween val="between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</c:spPr>
      <c:txPr>
        <a:bodyPr anchor="ctr" anchorCtr="1"/>
        <a:lstStyle/>
        <a:p>
          <a:pPr rtl="0">
            <a:defRPr sz="1200"/>
          </a:pPr>
          <a:endParaRPr lang="en-US"/>
        </a:p>
      </c:txPr>
    </c:legend>
    <c:plotVisOnly val="1"/>
    <c:dispBlanksAs val="span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noFill/>
    </a:ln>
  </c:spPr>
  <c:txPr>
    <a:bodyPr/>
    <a:lstStyle/>
    <a:p>
      <a:pPr>
        <a:defRPr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SG">
                <a:solidFill>
                  <a:schemeClr val="accent6"/>
                </a:solidFill>
              </a:rPr>
              <a:t>LQC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041856212537431E-2"/>
          <c:y val="0.13692552474352129"/>
          <c:w val="0.85499174011352508"/>
          <c:h val="0.6503580352696221"/>
        </c:manualLayout>
      </c:layout>
      <c:lineChart>
        <c:grouping val="standard"/>
        <c:varyColors val="1"/>
        <c:ser>
          <c:idx val="4"/>
          <c:order val="6"/>
          <c:tx>
            <c:v>date</c:v>
          </c:tx>
          <c:marker>
            <c:symbol val="none"/>
          </c:marker>
          <c:cat>
            <c:numRef>
              <c:f>'21-Deoxycortisol'!$R$14:$R$55</c:f>
              <c:numCache>
                <c:formatCode>yyyy/mm/dd;@</c:formatCode>
                <c:ptCount val="42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  <c:pt idx="38">
                  <c:v>46044</c:v>
                </c:pt>
                <c:pt idx="39">
                  <c:v>46048</c:v>
                </c:pt>
                <c:pt idx="40">
                  <c:v>46048</c:v>
                </c:pt>
                <c:pt idx="41">
                  <c:v>46065</c:v>
                </c:pt>
              </c:numCache>
            </c:numRef>
          </c:cat>
          <c:val>
            <c:numRef>
              <c:f>'21-Deoxycortisol'!$R$14:$R$51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73-4A77-8672-548266B6E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4825479"/>
        <c:axId val="1664720785"/>
      </c:lineChart>
      <c:scatterChart>
        <c:scatterStyle val="smoothMarker"/>
        <c:varyColors val="1"/>
        <c:ser>
          <c:idx val="3"/>
          <c:order val="1"/>
          <c:tx>
            <c:strRef>
              <c:f>'21-Deoxycortisol'!$AH$10</c:f>
              <c:strCache>
                <c:ptCount val="1"/>
                <c:pt idx="0">
                  <c:v>+3SD UCL</c:v>
                </c:pt>
              </c:strCache>
            </c:strRef>
          </c:tx>
          <c:spPr>
            <a:ln>
              <a:solidFill>
                <a:srgbClr val="C00000"/>
              </a:solidFill>
              <a:prstDash val="solid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C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AE5-4E66-A200-738900D468DE}"/>
              </c:ext>
            </c:extLst>
          </c:dPt>
          <c:xVal>
            <c:numRef>
              <c:f>('21-Deoxycortisol'!$R$4,'21-Deoxycortisol'!$T$4)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('21-Deoxycortisol'!$AH$11,'21-Deoxycortisol'!$AH$11)</c:f>
              <c:numCache>
                <c:formatCode>0.00</c:formatCode>
                <c:ptCount val="2"/>
                <c:pt idx="0">
                  <c:v>1.9839461141459602</c:v>
                </c:pt>
                <c:pt idx="1">
                  <c:v>1.9839461141459602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573-4A77-8672-548266B6EF49}"/>
            </c:ext>
          </c:extLst>
        </c:ser>
        <c:ser>
          <c:idx val="1"/>
          <c:order val="2"/>
          <c:tx>
            <c:strRef>
              <c:f>'21-Deoxycortisol'!$AG$10</c:f>
              <c:strCache>
                <c:ptCount val="1"/>
                <c:pt idx="0">
                  <c:v>+2SD UCL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00B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DAE5-4E66-A200-738900D468DE}"/>
              </c:ext>
            </c:extLst>
          </c:dPt>
          <c:xVal>
            <c:numRef>
              <c:f>('21-Deoxycortisol'!$R$4,'21-Deoxycortisol'!$T$4)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('21-Deoxycortisol'!$AG$11,'21-Deoxycortisol'!$AG$11)</c:f>
              <c:numCache>
                <c:formatCode>0.00</c:formatCode>
                <c:ptCount val="2"/>
                <c:pt idx="0">
                  <c:v>1.7872037586369895</c:v>
                </c:pt>
                <c:pt idx="1">
                  <c:v>1.7872037586369895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573-4A77-8672-548266B6E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scatterChart>
        <c:scatterStyle val="lineMarker"/>
        <c:varyColors val="1"/>
        <c:ser>
          <c:idx val="0"/>
          <c:order val="0"/>
          <c:tx>
            <c:v>LQC</c:v>
          </c:tx>
          <c:marker>
            <c:symbol val="circle"/>
            <c:size val="10"/>
            <c:spPr>
              <a:solidFill>
                <a:schemeClr val="tx1">
                  <a:lumMod val="50000"/>
                  <a:lumOff val="50000"/>
                </a:schemeClr>
              </a:solidFill>
              <a:ln cmpd="sng">
                <a:solidFill>
                  <a:schemeClr val="tx1"/>
                </a:solidFill>
              </a:ln>
            </c:spPr>
          </c:marker>
          <c:xVal>
            <c:strRef>
              <c:f>'21-Deoxycortisol'!$P$14:$P$268</c:f>
              <c:strCach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strCache>
            </c:strRef>
          </c:xVal>
          <c:yVal>
            <c:numRef>
              <c:f>'21-Deoxycortisol'!$AC$14:$AC$268</c:f>
              <c:numCache>
                <c:formatCode>0.000</c:formatCode>
                <c:ptCount val="255"/>
                <c:pt idx="0">
                  <c:v>1.52</c:v>
                </c:pt>
                <c:pt idx="1">
                  <c:v>1.3620000000000001</c:v>
                </c:pt>
                <c:pt idx="2">
                  <c:v>1.726</c:v>
                </c:pt>
                <c:pt idx="3">
                  <c:v>1.667</c:v>
                </c:pt>
                <c:pt idx="4">
                  <c:v>1.4450000000000001</c:v>
                </c:pt>
                <c:pt idx="5">
                  <c:v>1.37</c:v>
                </c:pt>
                <c:pt idx="6">
                  <c:v>1.256</c:v>
                </c:pt>
                <c:pt idx="7">
                  <c:v>1.891</c:v>
                </c:pt>
                <c:pt idx="8">
                  <c:v>1.8129999999999999</c:v>
                </c:pt>
                <c:pt idx="9">
                  <c:v>1.706</c:v>
                </c:pt>
                <c:pt idx="10">
                  <c:v>1.3580000000000001</c:v>
                </c:pt>
                <c:pt idx="11">
                  <c:v>1.085</c:v>
                </c:pt>
                <c:pt idx="12">
                  <c:v>1.252</c:v>
                </c:pt>
                <c:pt idx="13">
                  <c:v>1.3879999999999999</c:v>
                </c:pt>
                <c:pt idx="14">
                  <c:v>1.5940000000000001</c:v>
                </c:pt>
                <c:pt idx="15">
                  <c:v>1.3440000000000001</c:v>
                </c:pt>
                <c:pt idx="16">
                  <c:v>1.39</c:v>
                </c:pt>
                <c:pt idx="17">
                  <c:v>1.32</c:v>
                </c:pt>
                <c:pt idx="18">
                  <c:v>1.302</c:v>
                </c:pt>
                <c:pt idx="19">
                  <c:v>1.272</c:v>
                </c:pt>
                <c:pt idx="20">
                  <c:v>1.365</c:v>
                </c:pt>
                <c:pt idx="21">
                  <c:v>1.161</c:v>
                </c:pt>
                <c:pt idx="22">
                  <c:v>1.272</c:v>
                </c:pt>
                <c:pt idx="23">
                  <c:v>1.4039999999999999</c:v>
                </c:pt>
                <c:pt idx="24">
                  <c:v>1.1005</c:v>
                </c:pt>
                <c:pt idx="25">
                  <c:v>1.2586999999999999</c:v>
                </c:pt>
                <c:pt idx="26">
                  <c:v>1.546</c:v>
                </c:pt>
                <c:pt idx="27">
                  <c:v>1.3859999999999999</c:v>
                </c:pt>
                <c:pt idx="28">
                  <c:v>1.3149999999999999</c:v>
                </c:pt>
                <c:pt idx="29">
                  <c:v>1.3620000000000001</c:v>
                </c:pt>
                <c:pt idx="30">
                  <c:v>1.103</c:v>
                </c:pt>
                <c:pt idx="31">
                  <c:v>1.103</c:v>
                </c:pt>
                <c:pt idx="32">
                  <c:v>1.204</c:v>
                </c:pt>
                <c:pt idx="33">
                  <c:v>1.399</c:v>
                </c:pt>
                <c:pt idx="34">
                  <c:v>1.056</c:v>
                </c:pt>
                <c:pt idx="35">
                  <c:v>1.62</c:v>
                </c:pt>
                <c:pt idx="36">
                  <c:v>1.3560000000000001</c:v>
                </c:pt>
                <c:pt idx="37">
                  <c:v>1.3859999999999999</c:v>
                </c:pt>
                <c:pt idx="38">
                  <c:v>1.3919999999999999</c:v>
                </c:pt>
                <c:pt idx="39">
                  <c:v>1.4750000000000001</c:v>
                </c:pt>
                <c:pt idx="40">
                  <c:v>1.5780000000000001</c:v>
                </c:pt>
                <c:pt idx="41">
                  <c:v>1.633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573-4A77-8672-548266B6EF49}"/>
            </c:ext>
          </c:extLst>
        </c:ser>
        <c:ser>
          <c:idx val="2"/>
          <c:order val="3"/>
          <c:tx>
            <c:v>Mean</c:v>
          </c:tx>
          <c:spPr>
            <a:ln>
              <a:solidFill>
                <a:schemeClr val="accent1"/>
              </a:solidFill>
              <a:prstDash val="sysDash"/>
            </a:ln>
          </c:spPr>
          <c:dPt>
            <c:idx val="0"/>
            <c:marker>
              <c:symbol val="none"/>
            </c:marker>
            <c:bubble3D val="0"/>
            <c:spPr>
              <a:ln w="28575">
                <a:solidFill>
                  <a:schemeClr val="accent1"/>
                </a:solidFill>
                <a:prstDash val="sysDot"/>
              </a:ln>
            </c:spPr>
            <c:extLst>
              <c:ext xmlns:c16="http://schemas.microsoft.com/office/drawing/2014/chart" uri="{C3380CC4-5D6E-409C-BE32-E72D297353CC}">
                <c16:uniqueId val="{00000005-DAE5-4E66-A200-738900D468DE}"/>
              </c:ext>
            </c:extLst>
          </c:dPt>
          <c:xVal>
            <c:numRef>
              <c:f>('21-Deoxycortisol'!$R$4,'21-Deoxycortisol'!$T$4)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('21-Deoxycortisol'!$AC$11,'21-Deoxycortisol'!$AC$11)</c:f>
              <c:numCache>
                <c:formatCode>0.00</c:formatCode>
                <c:ptCount val="2"/>
                <c:pt idx="0">
                  <c:v>1.393719047619048</c:v>
                </c:pt>
                <c:pt idx="1">
                  <c:v>1.393719047619048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573-4A77-8672-548266B6EF49}"/>
            </c:ext>
          </c:extLst>
        </c:ser>
        <c:ser>
          <c:idx val="6"/>
          <c:order val="4"/>
          <c:tx>
            <c:strRef>
              <c:f>'21-Deoxycortisol'!$AF$10</c:f>
              <c:strCache>
                <c:ptCount val="1"/>
                <c:pt idx="0">
                  <c:v>-2SD LCL</c:v>
                </c:pt>
              </c:strCache>
            </c:strRef>
          </c:tx>
          <c:spPr>
            <a:ln w="25400">
              <a:solidFill>
                <a:schemeClr val="accent6">
                  <a:lumMod val="60000"/>
                  <a:lumOff val="40000"/>
                </a:schemeClr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chemeClr val="accent6">
                    <a:lumMod val="60000"/>
                    <a:lumOff val="40000"/>
                  </a:scheme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7-DAE5-4E66-A200-738900D468DE}"/>
              </c:ext>
            </c:extLst>
          </c:dPt>
          <c:xVal>
            <c:numRef>
              <c:f>('21-Deoxycortisol'!$R$4,'21-Deoxycortisol'!$T$4)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('21-Deoxycortisol'!$AF$11,'21-Deoxycortisol'!$AF$11)</c:f>
              <c:numCache>
                <c:formatCode>0.00</c:formatCode>
                <c:ptCount val="2"/>
                <c:pt idx="0">
                  <c:v>1.0002343366011064</c:v>
                </c:pt>
                <c:pt idx="1">
                  <c:v>1.0002343366011064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A573-4A77-8672-548266B6EF49}"/>
            </c:ext>
          </c:extLst>
        </c:ser>
        <c:ser>
          <c:idx val="5"/>
          <c:order val="5"/>
          <c:tx>
            <c:strRef>
              <c:f>'21-Deoxycortisol'!$AE$10</c:f>
              <c:strCache>
                <c:ptCount val="1"/>
                <c:pt idx="0">
                  <c:v>-3SD LCL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FF0000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9-DAE5-4E66-A200-738900D468DE}"/>
              </c:ext>
            </c:extLst>
          </c:dPt>
          <c:xVal>
            <c:numRef>
              <c:f>('21-Deoxycortisol'!$R$4,'21-Deoxycortisol'!$T$4)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('21-Deoxycortisol'!$AE$11,'21-Deoxycortisol'!$AE$11)</c:f>
              <c:numCache>
                <c:formatCode>0.00</c:formatCode>
                <c:ptCount val="2"/>
                <c:pt idx="0">
                  <c:v>0.80349198109213571</c:v>
                </c:pt>
                <c:pt idx="1">
                  <c:v>0.80349198109213571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A573-4A77-8672-548266B6E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catAx>
        <c:axId val="1414825479"/>
        <c:scaling>
          <c:orientation val="minMax"/>
        </c:scaling>
        <c:delete val="0"/>
        <c:axPos val="b"/>
        <c:numFmt formatCode="[$-409]d/mmm/yy;@" sourceLinked="0"/>
        <c:majorTickMark val="out"/>
        <c:minorTickMark val="out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664720785"/>
        <c:crosses val="autoZero"/>
        <c:auto val="0"/>
        <c:lblAlgn val="ctr"/>
        <c:lblOffset val="100"/>
        <c:noMultiLvlLbl val="1"/>
      </c:catAx>
      <c:valAx>
        <c:axId val="1664720785"/>
        <c:scaling>
          <c:orientation val="minMax"/>
          <c:max val="2.5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200">
                    <a:solidFill>
                      <a:schemeClr val="accent6"/>
                    </a:solidFill>
                  </a:rPr>
                  <a:t>LQC [nmol/L]</a:t>
                </a:r>
              </a:p>
            </c:rich>
          </c:tx>
          <c:layout>
            <c:manualLayout>
              <c:xMode val="edge"/>
              <c:yMode val="edge"/>
              <c:x val="1.2907702223661067E-2"/>
              <c:y val="0.40450724699866752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/>
        </c:spPr>
        <c:crossAx val="1414825479"/>
        <c:crosses val="autoZero"/>
        <c:crossBetween val="between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</c:spPr>
      <c:txPr>
        <a:bodyPr anchor="ctr" anchorCtr="1"/>
        <a:lstStyle/>
        <a:p>
          <a:pPr rtl="0">
            <a:defRPr sz="1200"/>
          </a:pPr>
          <a:endParaRPr lang="en-US"/>
        </a:p>
      </c:txPr>
    </c:legend>
    <c:plotVisOnly val="1"/>
    <c:dispBlanksAs val="span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noFill/>
    </a:ln>
  </c:spPr>
  <c:txPr>
    <a:bodyPr/>
    <a:lstStyle/>
    <a:p>
      <a:pPr>
        <a:defRPr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SG">
                <a:solidFill>
                  <a:sysClr val="windowText" lastClr="000000"/>
                </a:solidFill>
              </a:rPr>
              <a:t>ACCURACY</a:t>
            </a:r>
          </a:p>
        </c:rich>
      </c:tx>
      <c:overlay val="0"/>
      <c:spPr>
        <a:noFill/>
      </c:spPr>
    </c:title>
    <c:autoTitleDeleted val="0"/>
    <c:plotArea>
      <c:layout>
        <c:manualLayout>
          <c:layoutTarget val="inner"/>
          <c:xMode val="edge"/>
          <c:yMode val="edge"/>
          <c:x val="9.7388134921387773E-2"/>
          <c:y val="0.12595373243973218"/>
          <c:w val="0.85499174011352508"/>
          <c:h val="0.6503580352696221"/>
        </c:manualLayout>
      </c:layout>
      <c:lineChart>
        <c:grouping val="standard"/>
        <c:varyColors val="1"/>
        <c:ser>
          <c:idx val="4"/>
          <c:order val="4"/>
          <c:tx>
            <c:v>date</c:v>
          </c:tx>
          <c:marker>
            <c:symbol val="none"/>
          </c:marker>
          <c:cat>
            <c:numRef>
              <c:f>'21-Deoxycortisol'!$R$14:$R$51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</c:numCache>
            </c:numRef>
          </c:cat>
          <c:val>
            <c:numRef>
              <c:f>'21-Deoxycortisol'!$R$14:$R$51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9F-48C1-9AC1-3A70FA7D90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4825479"/>
        <c:axId val="1664720785"/>
      </c:lineChart>
      <c:scatterChart>
        <c:scatterStyle val="lineMarker"/>
        <c:varyColors val="1"/>
        <c:ser>
          <c:idx val="1"/>
          <c:order val="0"/>
          <c:tx>
            <c:v>LQC Acc</c:v>
          </c:tx>
          <c:spPr>
            <a:ln>
              <a:solidFill>
                <a:schemeClr val="accent6">
                  <a:lumMod val="50000"/>
                </a:schemeClr>
              </a:solidFill>
            </a:ln>
          </c:spPr>
          <c:marker>
            <c:symbol val="circle"/>
            <c:size val="10"/>
            <c:spPr>
              <a:solidFill>
                <a:schemeClr val="accent6"/>
              </a:solidFill>
              <a:ln>
                <a:solidFill>
                  <a:schemeClr val="accent6"/>
                </a:solidFill>
              </a:ln>
            </c:spPr>
          </c:marker>
          <c:xVal>
            <c:strRef>
              <c:f>'21-Deoxycortisol'!$P$14:$P$268</c:f>
              <c:strCach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strCache>
            </c:strRef>
          </c:xVal>
          <c:yVal>
            <c:numRef>
              <c:f>'21-Deoxycortisol'!$AH$14:$AH$268</c:f>
              <c:numCache>
                <c:formatCode>0.0%</c:formatCode>
                <c:ptCount val="255"/>
                <c:pt idx="0">
                  <c:v>1.0242587601078168</c:v>
                </c:pt>
                <c:pt idx="1">
                  <c:v>0.91778975741239899</c:v>
                </c:pt>
                <c:pt idx="2">
                  <c:v>1.1630727762803235</c:v>
                </c:pt>
                <c:pt idx="3">
                  <c:v>1.1233153638814017</c:v>
                </c:pt>
                <c:pt idx="4">
                  <c:v>0.97371967654986524</c:v>
                </c:pt>
                <c:pt idx="5">
                  <c:v>0.9231805929919138</c:v>
                </c:pt>
                <c:pt idx="6">
                  <c:v>0.84636118598382748</c:v>
                </c:pt>
                <c:pt idx="7">
                  <c:v>1.2742587601078168</c:v>
                </c:pt>
                <c:pt idx="8">
                  <c:v>1.2216981132075471</c:v>
                </c:pt>
                <c:pt idx="9">
                  <c:v>1.1495956873315363</c:v>
                </c:pt>
                <c:pt idx="10">
                  <c:v>0.91509433962264153</c:v>
                </c:pt>
                <c:pt idx="11">
                  <c:v>0.73113207547169812</c:v>
                </c:pt>
                <c:pt idx="12">
                  <c:v>0.84366576819407013</c:v>
                </c:pt>
                <c:pt idx="13">
                  <c:v>0.93530997304582209</c:v>
                </c:pt>
                <c:pt idx="14">
                  <c:v>1.074123989218329</c:v>
                </c:pt>
                <c:pt idx="15">
                  <c:v>0.90566037735849059</c:v>
                </c:pt>
                <c:pt idx="16">
                  <c:v>0.93665768194070076</c:v>
                </c:pt>
                <c:pt idx="17">
                  <c:v>0.88948787061994616</c:v>
                </c:pt>
                <c:pt idx="18">
                  <c:v>0.87735849056603776</c:v>
                </c:pt>
                <c:pt idx="19">
                  <c:v>0.85714285714285721</c:v>
                </c:pt>
                <c:pt idx="20">
                  <c:v>0.9862716763005781</c:v>
                </c:pt>
                <c:pt idx="21">
                  <c:v>0.83887283236994226</c:v>
                </c:pt>
                <c:pt idx="22">
                  <c:v>0.91907514450867056</c:v>
                </c:pt>
                <c:pt idx="23">
                  <c:v>1.0144508670520231</c:v>
                </c:pt>
                <c:pt idx="24">
                  <c:v>0.79515895953757232</c:v>
                </c:pt>
                <c:pt idx="25">
                  <c:v>0.90946531791907514</c:v>
                </c:pt>
                <c:pt idx="26">
                  <c:v>1.1170520231213874</c:v>
                </c:pt>
                <c:pt idx="27">
                  <c:v>1.0014450867052023</c:v>
                </c:pt>
                <c:pt idx="28">
                  <c:v>0.95014450867052025</c:v>
                </c:pt>
                <c:pt idx="29">
                  <c:v>0.9841040462427747</c:v>
                </c:pt>
                <c:pt idx="30">
                  <c:v>0.79696531791907521</c:v>
                </c:pt>
                <c:pt idx="31">
                  <c:v>0.79696531791907521</c:v>
                </c:pt>
                <c:pt idx="32">
                  <c:v>0.86994219653179194</c:v>
                </c:pt>
                <c:pt idx="33">
                  <c:v>1.0108381502890174</c:v>
                </c:pt>
                <c:pt idx="34">
                  <c:v>0.76300578034682087</c:v>
                </c:pt>
                <c:pt idx="35">
                  <c:v>1.1705202312138729</c:v>
                </c:pt>
                <c:pt idx="36">
                  <c:v>0.97976878612716778</c:v>
                </c:pt>
                <c:pt idx="37">
                  <c:v>1.0014450867052023</c:v>
                </c:pt>
                <c:pt idx="38">
                  <c:v>1.0057803468208093</c:v>
                </c:pt>
                <c:pt idx="39">
                  <c:v>1.0657514450867054</c:v>
                </c:pt>
                <c:pt idx="40">
                  <c:v>1.1401734104046244</c:v>
                </c:pt>
                <c:pt idx="41">
                  <c:v>1.179913294797688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9F-48C1-9AC1-3A70FA7D90AE}"/>
            </c:ext>
          </c:extLst>
        </c:ser>
        <c:ser>
          <c:idx val="0"/>
          <c:order val="1"/>
          <c:tx>
            <c:v>HQC Acc.</c:v>
          </c:tx>
          <c:marker>
            <c:symbol val="circle"/>
            <c:size val="10"/>
            <c:spPr>
              <a:solidFill>
                <a:srgbClr val="FFC000"/>
              </a:solidFill>
              <a:ln cmpd="sng">
                <a:solidFill>
                  <a:schemeClr val="accent2"/>
                </a:solidFill>
              </a:ln>
            </c:spPr>
          </c:marker>
          <c:xVal>
            <c:strRef>
              <c:f>'21-Deoxycortisol'!$P$14:$P$268</c:f>
              <c:strCach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strCache>
            </c:strRef>
          </c:xVal>
          <c:yVal>
            <c:numRef>
              <c:f>'21-Deoxycortisol'!$AH$14:$AH$268</c:f>
              <c:numCache>
                <c:formatCode>0.0%</c:formatCode>
                <c:ptCount val="255"/>
                <c:pt idx="0">
                  <c:v>1.0242587601078168</c:v>
                </c:pt>
                <c:pt idx="1">
                  <c:v>0.91778975741239899</c:v>
                </c:pt>
                <c:pt idx="2">
                  <c:v>1.1630727762803235</c:v>
                </c:pt>
                <c:pt idx="3">
                  <c:v>1.1233153638814017</c:v>
                </c:pt>
                <c:pt idx="4">
                  <c:v>0.97371967654986524</c:v>
                </c:pt>
                <c:pt idx="5">
                  <c:v>0.9231805929919138</c:v>
                </c:pt>
                <c:pt idx="6">
                  <c:v>0.84636118598382748</c:v>
                </c:pt>
                <c:pt idx="7">
                  <c:v>1.2742587601078168</c:v>
                </c:pt>
                <c:pt idx="8">
                  <c:v>1.2216981132075471</c:v>
                </c:pt>
                <c:pt idx="9">
                  <c:v>1.1495956873315363</c:v>
                </c:pt>
                <c:pt idx="10">
                  <c:v>0.91509433962264153</c:v>
                </c:pt>
                <c:pt idx="11">
                  <c:v>0.73113207547169812</c:v>
                </c:pt>
                <c:pt idx="12">
                  <c:v>0.84366576819407013</c:v>
                </c:pt>
                <c:pt idx="13">
                  <c:v>0.93530997304582209</c:v>
                </c:pt>
                <c:pt idx="14">
                  <c:v>1.074123989218329</c:v>
                </c:pt>
                <c:pt idx="15">
                  <c:v>0.90566037735849059</c:v>
                </c:pt>
                <c:pt idx="16">
                  <c:v>0.93665768194070076</c:v>
                </c:pt>
                <c:pt idx="17">
                  <c:v>0.88948787061994616</c:v>
                </c:pt>
                <c:pt idx="18">
                  <c:v>0.87735849056603776</c:v>
                </c:pt>
                <c:pt idx="19">
                  <c:v>0.85714285714285721</c:v>
                </c:pt>
                <c:pt idx="20">
                  <c:v>0.9862716763005781</c:v>
                </c:pt>
                <c:pt idx="21">
                  <c:v>0.83887283236994226</c:v>
                </c:pt>
                <c:pt idx="22">
                  <c:v>0.91907514450867056</c:v>
                </c:pt>
                <c:pt idx="23">
                  <c:v>1.0144508670520231</c:v>
                </c:pt>
                <c:pt idx="24">
                  <c:v>0.79515895953757232</c:v>
                </c:pt>
                <c:pt idx="25">
                  <c:v>0.90946531791907514</c:v>
                </c:pt>
                <c:pt idx="26">
                  <c:v>1.1170520231213874</c:v>
                </c:pt>
                <c:pt idx="27">
                  <c:v>1.0014450867052023</c:v>
                </c:pt>
                <c:pt idx="28">
                  <c:v>0.95014450867052025</c:v>
                </c:pt>
                <c:pt idx="29">
                  <c:v>0.9841040462427747</c:v>
                </c:pt>
                <c:pt idx="30">
                  <c:v>0.79696531791907521</c:v>
                </c:pt>
                <c:pt idx="31">
                  <c:v>0.79696531791907521</c:v>
                </c:pt>
                <c:pt idx="32">
                  <c:v>0.86994219653179194</c:v>
                </c:pt>
                <c:pt idx="33">
                  <c:v>1.0108381502890174</c:v>
                </c:pt>
                <c:pt idx="34">
                  <c:v>0.76300578034682087</c:v>
                </c:pt>
                <c:pt idx="35">
                  <c:v>1.1705202312138729</c:v>
                </c:pt>
                <c:pt idx="36">
                  <c:v>0.97976878612716778</c:v>
                </c:pt>
                <c:pt idx="37">
                  <c:v>1.0014450867052023</c:v>
                </c:pt>
                <c:pt idx="38">
                  <c:v>1.0057803468208093</c:v>
                </c:pt>
                <c:pt idx="39">
                  <c:v>1.0657514450867054</c:v>
                </c:pt>
                <c:pt idx="40">
                  <c:v>1.1401734104046244</c:v>
                </c:pt>
                <c:pt idx="41">
                  <c:v>1.179913294797688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59F-48C1-9AC1-3A70FA7D90AE}"/>
            </c:ext>
          </c:extLst>
        </c:ser>
        <c:ser>
          <c:idx val="5"/>
          <c:order val="2"/>
          <c:tx>
            <c:v>UCL</c:v>
          </c:tx>
          <c:spPr>
            <a:ln>
              <a:prstDash val="dash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C00000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1-C302-46C8-AC1A-09BD61829AC6}"/>
              </c:ext>
            </c:extLst>
          </c:dPt>
          <c:xVal>
            <c:numRef>
              <c:f>('21-Deoxycortisol'!$R$4,'21-Deoxycortisol'!$T$4)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('21-Deoxycortisol'!$Q$11,'21-Deoxycortisol'!$Q$11)</c:f>
              <c:numCache>
                <c:formatCode>0%</c:formatCode>
                <c:ptCount val="2"/>
                <c:pt idx="0">
                  <c:v>1.1499999999999999</c:v>
                </c:pt>
                <c:pt idx="1">
                  <c:v>1.1499999999999999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59F-48C1-9AC1-3A70FA7D90AE}"/>
            </c:ext>
          </c:extLst>
        </c:ser>
        <c:ser>
          <c:idx val="6"/>
          <c:order val="3"/>
          <c:tx>
            <c:v>LCL</c:v>
          </c:tx>
          <c:spPr>
            <a:ln w="25400"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chemeClr val="accent6">
                    <a:lumMod val="75000"/>
                  </a:scheme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3-C302-46C8-AC1A-09BD61829AC6}"/>
              </c:ext>
            </c:extLst>
          </c:dPt>
          <c:xVal>
            <c:numRef>
              <c:f>('21-Deoxycortisol'!$R$4,'21-Deoxycortisol'!$T$4)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('21-Deoxycortisol'!$R$11,'21-Deoxycortisol'!$R$11)</c:f>
              <c:numCache>
                <c:formatCode>0%</c:formatCode>
                <c:ptCount val="2"/>
                <c:pt idx="0">
                  <c:v>0.8</c:v>
                </c:pt>
                <c:pt idx="1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59F-48C1-9AC1-3A70FA7D90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catAx>
        <c:axId val="1414825479"/>
        <c:scaling>
          <c:orientation val="minMax"/>
        </c:scaling>
        <c:delete val="0"/>
        <c:axPos val="b"/>
        <c:numFmt formatCode="[$-409]d/mmm/yy;@" sourceLinked="0"/>
        <c:majorTickMark val="out"/>
        <c:minorTickMark val="out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664720785"/>
        <c:crosses val="autoZero"/>
        <c:auto val="0"/>
        <c:lblAlgn val="ctr"/>
        <c:lblOffset val="100"/>
        <c:noMultiLvlLbl val="1"/>
      </c:catAx>
      <c:valAx>
        <c:axId val="1664720785"/>
        <c:scaling>
          <c:orientation val="minMax"/>
          <c:max val="1.8"/>
          <c:min val="0.4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ACCURACY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/>
            </a:pPr>
            <a:endParaRPr lang="en-US"/>
          </a:p>
        </c:txPr>
        <c:crossAx val="1414825479"/>
        <c:crosses val="autoZero"/>
        <c:crossBetween val="between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</c:spPr>
      <c:txPr>
        <a:bodyPr anchor="ctr" anchorCtr="1"/>
        <a:lstStyle/>
        <a:p>
          <a:pPr rtl="0">
            <a:defRPr sz="1400" b="0"/>
          </a:pPr>
          <a:endParaRPr lang="en-US"/>
        </a:p>
      </c:txPr>
    </c:legend>
    <c:plotVisOnly val="1"/>
    <c:dispBlanksAs val="span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noFill/>
    </a:ln>
  </c:spPr>
  <c:txPr>
    <a:bodyPr/>
    <a:lstStyle/>
    <a:p>
      <a:pPr>
        <a:defRPr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SG">
                <a:solidFill>
                  <a:schemeClr val="accent2"/>
                </a:solidFill>
              </a:rPr>
              <a:t>HQC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041856212537431E-2"/>
          <c:y val="0.13692552474352129"/>
          <c:w val="0.85499174011352508"/>
          <c:h val="0.6503580352696221"/>
        </c:manualLayout>
      </c:layout>
      <c:lineChart>
        <c:grouping val="standard"/>
        <c:varyColors val="1"/>
        <c:ser>
          <c:idx val="4"/>
          <c:order val="6"/>
          <c:tx>
            <c:v>date</c:v>
          </c:tx>
          <c:marker>
            <c:symbol val="none"/>
          </c:marker>
          <c:cat>
            <c:numRef>
              <c:f>Aldosterone!$R$14:$R$55</c:f>
              <c:numCache>
                <c:formatCode>yyyy/mm/dd;@</c:formatCode>
                <c:ptCount val="42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  <c:pt idx="38">
                  <c:v>46044</c:v>
                </c:pt>
                <c:pt idx="39">
                  <c:v>46048</c:v>
                </c:pt>
                <c:pt idx="40">
                  <c:v>46048</c:v>
                </c:pt>
                <c:pt idx="41">
                  <c:v>46065</c:v>
                </c:pt>
              </c:numCache>
            </c:numRef>
          </c:cat>
          <c:val>
            <c:numRef>
              <c:f>Aldosterone!$R$14:$R$51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A5-4692-9DDF-5DE68918E8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4825479"/>
        <c:axId val="1664720785"/>
      </c:lineChart>
      <c:scatterChart>
        <c:scatterStyle val="smoothMarker"/>
        <c:varyColors val="1"/>
        <c:ser>
          <c:idx val="3"/>
          <c:order val="1"/>
          <c:tx>
            <c:strRef>
              <c:f>Aldosterone!$Z$10</c:f>
              <c:strCache>
                <c:ptCount val="1"/>
                <c:pt idx="0">
                  <c:v>+3SD UCL</c:v>
                </c:pt>
              </c:strCache>
            </c:strRef>
          </c:tx>
          <c:spPr>
            <a:ln>
              <a:solidFill>
                <a:srgbClr val="C00000"/>
              </a:solidFill>
              <a:prstDash val="solid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C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777-41E8-9A3F-1A3AFB0A3CD9}"/>
              </c:ext>
            </c:extLst>
          </c:dPt>
          <c:xVal>
            <c:numRef>
              <c:f>(Aldosterone!$R$4,Aldosterone!$T$4)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(Aldosterone!$Z$11,Aldosterone!$Z$11)</c:f>
              <c:numCache>
                <c:formatCode>0.00</c:formatCode>
                <c:ptCount val="2"/>
                <c:pt idx="0">
                  <c:v>13.508515562420847</c:v>
                </c:pt>
                <c:pt idx="1">
                  <c:v>13.508515562420847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BA5-4692-9DDF-5DE68918E886}"/>
            </c:ext>
          </c:extLst>
        </c:ser>
        <c:ser>
          <c:idx val="1"/>
          <c:order val="5"/>
          <c:tx>
            <c:strRef>
              <c:f>Aldosterone!$W$10</c:f>
              <c:strCache>
                <c:ptCount val="1"/>
                <c:pt idx="0">
                  <c:v>-3SD LCL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00B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A777-41E8-9A3F-1A3AFB0A3CD9}"/>
              </c:ext>
            </c:extLst>
          </c:dPt>
          <c:xVal>
            <c:numRef>
              <c:f>(Aldosterone!$R$4,Aldosterone!$T$4)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(Aldosterone!$W$11,Aldosterone!$W$11)</c:f>
              <c:numCache>
                <c:formatCode>0.00</c:formatCode>
                <c:ptCount val="2"/>
                <c:pt idx="0">
                  <c:v>5.3655749137696276</c:v>
                </c:pt>
                <c:pt idx="1">
                  <c:v>5.3655749137696276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BA5-4692-9DDF-5DE68918E8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scatterChart>
        <c:scatterStyle val="lineMarker"/>
        <c:varyColors val="1"/>
        <c:ser>
          <c:idx val="0"/>
          <c:order val="0"/>
          <c:tx>
            <c:v>HQC</c:v>
          </c:tx>
          <c:marker>
            <c:symbol val="circle"/>
            <c:size val="10"/>
            <c:spPr>
              <a:solidFill>
                <a:schemeClr val="tx1">
                  <a:lumMod val="50000"/>
                  <a:lumOff val="50000"/>
                </a:schemeClr>
              </a:solidFill>
              <a:ln cmpd="sng">
                <a:solidFill>
                  <a:schemeClr val="tx1"/>
                </a:solidFill>
              </a:ln>
            </c:spPr>
          </c:marker>
          <c:xVal>
            <c:numRef>
              <c:f>Aldosterone!$P$14:$P$51</c:f>
              <c:numCache>
                <c:formatCode>0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xVal>
          <c:yVal>
            <c:numRef>
              <c:f>Aldosterone!$U$14:$U$268</c:f>
              <c:numCache>
                <c:formatCode>0.000</c:formatCode>
                <c:ptCount val="255"/>
                <c:pt idx="0">
                  <c:v>10.006</c:v>
                </c:pt>
                <c:pt idx="1">
                  <c:v>10.16</c:v>
                </c:pt>
                <c:pt idx="2">
                  <c:v>8.6890000000000001</c:v>
                </c:pt>
                <c:pt idx="3">
                  <c:v>10.324</c:v>
                </c:pt>
                <c:pt idx="4">
                  <c:v>9.2910000000000004</c:v>
                </c:pt>
                <c:pt idx="5">
                  <c:v>6.9139999999999997</c:v>
                </c:pt>
                <c:pt idx="6">
                  <c:v>8.6820000000000004</c:v>
                </c:pt>
                <c:pt idx="7">
                  <c:v>8.7449999999999992</c:v>
                </c:pt>
                <c:pt idx="8">
                  <c:v>8.1790000000000003</c:v>
                </c:pt>
                <c:pt idx="9">
                  <c:v>10.351000000000001</c:v>
                </c:pt>
                <c:pt idx="10">
                  <c:v>12.670999999999999</c:v>
                </c:pt>
                <c:pt idx="11">
                  <c:v>8.9359999999999999</c:v>
                </c:pt>
                <c:pt idx="12">
                  <c:v>9.5649999999999995</c:v>
                </c:pt>
                <c:pt idx="13">
                  <c:v>10.772</c:v>
                </c:pt>
                <c:pt idx="14">
                  <c:v>9.6829999999999998</c:v>
                </c:pt>
                <c:pt idx="15">
                  <c:v>9.75</c:v>
                </c:pt>
                <c:pt idx="16">
                  <c:v>9.1999999999999993</c:v>
                </c:pt>
                <c:pt idx="17">
                  <c:v>13.263</c:v>
                </c:pt>
                <c:pt idx="18">
                  <c:v>9.75</c:v>
                </c:pt>
                <c:pt idx="19">
                  <c:v>10.103</c:v>
                </c:pt>
                <c:pt idx="20">
                  <c:v>10.802</c:v>
                </c:pt>
                <c:pt idx="21">
                  <c:v>10.388</c:v>
                </c:pt>
                <c:pt idx="22">
                  <c:v>8</c:v>
                </c:pt>
                <c:pt idx="23">
                  <c:v>6.4809999999999999</c:v>
                </c:pt>
                <c:pt idx="24">
                  <c:v>8.7253000000000007</c:v>
                </c:pt>
                <c:pt idx="25">
                  <c:v>8.5915999999999997</c:v>
                </c:pt>
                <c:pt idx="26">
                  <c:v>8.0259999999999998</c:v>
                </c:pt>
                <c:pt idx="27">
                  <c:v>9.7040000000000006</c:v>
                </c:pt>
                <c:pt idx="28">
                  <c:v>8.0109999999999992</c:v>
                </c:pt>
                <c:pt idx="29">
                  <c:v>8.14</c:v>
                </c:pt>
                <c:pt idx="30">
                  <c:v>8.1029999999999998</c:v>
                </c:pt>
                <c:pt idx="31">
                  <c:v>8.0120000000000005</c:v>
                </c:pt>
                <c:pt idx="32">
                  <c:v>7.8410000000000002</c:v>
                </c:pt>
                <c:pt idx="33">
                  <c:v>10.765000000000001</c:v>
                </c:pt>
                <c:pt idx="34">
                  <c:v>9.109</c:v>
                </c:pt>
                <c:pt idx="35">
                  <c:v>10.529</c:v>
                </c:pt>
                <c:pt idx="36">
                  <c:v>9.51</c:v>
                </c:pt>
                <c:pt idx="37">
                  <c:v>8.782</c:v>
                </c:pt>
                <c:pt idx="38">
                  <c:v>10.297000000000001</c:v>
                </c:pt>
                <c:pt idx="39">
                  <c:v>11.052</c:v>
                </c:pt>
                <c:pt idx="40">
                  <c:v>10.75</c:v>
                </c:pt>
                <c:pt idx="41">
                  <c:v>9.7029999999999994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BA5-4692-9DDF-5DE68918E886}"/>
            </c:ext>
          </c:extLst>
        </c:ser>
        <c:ser>
          <c:idx val="5"/>
          <c:order val="2"/>
          <c:tx>
            <c:strRef>
              <c:f>Aldosterone!$Y$10</c:f>
              <c:strCache>
                <c:ptCount val="1"/>
                <c:pt idx="0">
                  <c:v>+2SD UCL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FF0000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5-A777-41E8-9A3F-1A3AFB0A3CD9}"/>
              </c:ext>
            </c:extLst>
          </c:dPt>
          <c:xVal>
            <c:numRef>
              <c:f>(Aldosterone!$R$4,Aldosterone!$T$4)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(Aldosterone!$Y$11,Aldosterone!$Y$11)</c:f>
              <c:numCache>
                <c:formatCode>0.00</c:formatCode>
                <c:ptCount val="2"/>
                <c:pt idx="0">
                  <c:v>12.151358787645645</c:v>
                </c:pt>
                <c:pt idx="1">
                  <c:v>12.151358787645645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BA5-4692-9DDF-5DE68918E886}"/>
            </c:ext>
          </c:extLst>
        </c:ser>
        <c:ser>
          <c:idx val="2"/>
          <c:order val="3"/>
          <c:tx>
            <c:v>Mean</c:v>
          </c:tx>
          <c:spPr>
            <a:ln>
              <a:solidFill>
                <a:schemeClr val="accent1"/>
              </a:solidFill>
              <a:prstDash val="sysDash"/>
            </a:ln>
          </c:spPr>
          <c:dPt>
            <c:idx val="0"/>
            <c:marker>
              <c:symbol val="none"/>
            </c:marker>
            <c:bubble3D val="0"/>
            <c:spPr>
              <a:ln w="28575">
                <a:solidFill>
                  <a:schemeClr val="accent1"/>
                </a:solidFill>
                <a:prstDash val="sysDot"/>
              </a:ln>
            </c:spPr>
            <c:extLst>
              <c:ext xmlns:c16="http://schemas.microsoft.com/office/drawing/2014/chart" uri="{C3380CC4-5D6E-409C-BE32-E72D297353CC}">
                <c16:uniqueId val="{00000007-A777-41E8-9A3F-1A3AFB0A3CD9}"/>
              </c:ext>
            </c:extLst>
          </c:dPt>
          <c:xVal>
            <c:numRef>
              <c:f>(Aldosterone!$R$4,Aldosterone!$T$4)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(Aldosterone!$U$11,Aldosterone!$U$11)</c:f>
              <c:numCache>
                <c:formatCode>0.00</c:formatCode>
                <c:ptCount val="2"/>
                <c:pt idx="0">
                  <c:v>9.4370452380952372</c:v>
                </c:pt>
                <c:pt idx="1">
                  <c:v>9.4370452380952372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BBA5-4692-9DDF-5DE68918E886}"/>
            </c:ext>
          </c:extLst>
        </c:ser>
        <c:ser>
          <c:idx val="6"/>
          <c:order val="4"/>
          <c:tx>
            <c:strRef>
              <c:f>Aldosterone!$X$10</c:f>
              <c:strCache>
                <c:ptCount val="1"/>
                <c:pt idx="0">
                  <c:v>-2SD LCL</c:v>
                </c:pt>
              </c:strCache>
            </c:strRef>
          </c:tx>
          <c:spPr>
            <a:ln w="25400">
              <a:solidFill>
                <a:schemeClr val="accent6">
                  <a:lumMod val="60000"/>
                  <a:lumOff val="40000"/>
                </a:schemeClr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chemeClr val="accent6">
                    <a:lumMod val="60000"/>
                    <a:lumOff val="40000"/>
                  </a:scheme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9-A777-41E8-9A3F-1A3AFB0A3CD9}"/>
              </c:ext>
            </c:extLst>
          </c:dPt>
          <c:xVal>
            <c:numRef>
              <c:f>(Aldosterone!$R$4,Aldosterone!$T$4)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(Aldosterone!$X$11,Aldosterone!$X$11)</c:f>
              <c:numCache>
                <c:formatCode>0.00</c:formatCode>
                <c:ptCount val="2"/>
                <c:pt idx="0">
                  <c:v>6.7227316885448305</c:v>
                </c:pt>
                <c:pt idx="1">
                  <c:v>6.7227316885448305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BBA5-4692-9DDF-5DE68918E8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catAx>
        <c:axId val="1414825479"/>
        <c:scaling>
          <c:orientation val="minMax"/>
        </c:scaling>
        <c:delete val="0"/>
        <c:axPos val="b"/>
        <c:numFmt formatCode="[$-409]d/mmm/yy;@" sourceLinked="0"/>
        <c:majorTickMark val="out"/>
        <c:minorTickMark val="out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664720785"/>
        <c:crosses val="autoZero"/>
        <c:auto val="0"/>
        <c:lblAlgn val="ctr"/>
        <c:lblOffset val="100"/>
        <c:noMultiLvlLbl val="1"/>
      </c:catAx>
      <c:valAx>
        <c:axId val="1664720785"/>
        <c:scaling>
          <c:orientation val="minMax"/>
          <c:max val="2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HQC [nmol/L]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/>
        </c:spPr>
        <c:crossAx val="1414825479"/>
        <c:crosses val="autoZero"/>
        <c:crossBetween val="between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</c:spPr>
      <c:txPr>
        <a:bodyPr anchor="ctr" anchorCtr="1"/>
        <a:lstStyle/>
        <a:p>
          <a:pPr rtl="0">
            <a:defRPr sz="1200"/>
          </a:pPr>
          <a:endParaRPr lang="en-US"/>
        </a:p>
      </c:txPr>
    </c:legend>
    <c:plotVisOnly val="1"/>
    <c:dispBlanksAs val="span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noFill/>
    </a:ln>
  </c:spPr>
  <c:txPr>
    <a:bodyPr/>
    <a:lstStyle/>
    <a:p>
      <a:pPr>
        <a:defRPr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SG">
                <a:solidFill>
                  <a:schemeClr val="accent6"/>
                </a:solidFill>
              </a:rPr>
              <a:t>LQC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041856212537431E-2"/>
          <c:y val="0.13692552474352129"/>
          <c:w val="0.85499174011352508"/>
          <c:h val="0.6503580352696221"/>
        </c:manualLayout>
      </c:layout>
      <c:lineChart>
        <c:grouping val="standard"/>
        <c:varyColors val="1"/>
        <c:ser>
          <c:idx val="4"/>
          <c:order val="6"/>
          <c:tx>
            <c:v>date</c:v>
          </c:tx>
          <c:marker>
            <c:symbol val="none"/>
          </c:marker>
          <c:cat>
            <c:numRef>
              <c:f>Aldosterone!$R$14:$R$55</c:f>
              <c:numCache>
                <c:formatCode>yyyy/mm/dd;@</c:formatCode>
                <c:ptCount val="42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  <c:pt idx="38">
                  <c:v>46044</c:v>
                </c:pt>
                <c:pt idx="39">
                  <c:v>46048</c:v>
                </c:pt>
                <c:pt idx="40">
                  <c:v>46048</c:v>
                </c:pt>
                <c:pt idx="41">
                  <c:v>46065</c:v>
                </c:pt>
              </c:numCache>
            </c:numRef>
          </c:cat>
          <c:val>
            <c:numRef>
              <c:f>Aldosterone!$R$14:$R$51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6C-478D-A1C2-E321C9E5A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4825479"/>
        <c:axId val="1664720785"/>
      </c:lineChart>
      <c:scatterChart>
        <c:scatterStyle val="smoothMarker"/>
        <c:varyColors val="1"/>
        <c:ser>
          <c:idx val="3"/>
          <c:order val="1"/>
          <c:tx>
            <c:strRef>
              <c:f>Aldosterone!$AH$10</c:f>
              <c:strCache>
                <c:ptCount val="1"/>
                <c:pt idx="0">
                  <c:v>+3SD UCL</c:v>
                </c:pt>
              </c:strCache>
            </c:strRef>
          </c:tx>
          <c:spPr>
            <a:ln>
              <a:solidFill>
                <a:srgbClr val="C00000"/>
              </a:solidFill>
              <a:prstDash val="solid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C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A86-4C4F-831E-13C0903FA2A6}"/>
              </c:ext>
            </c:extLst>
          </c:dPt>
          <c:xVal>
            <c:numRef>
              <c:f>(Aldosterone!$R$4,Aldosterone!$T$4)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(Aldosterone!$AH$11,Aldosterone!$AH$11)</c:f>
              <c:numCache>
                <c:formatCode>0.00</c:formatCode>
                <c:ptCount val="2"/>
                <c:pt idx="0">
                  <c:v>1.2954897315588423</c:v>
                </c:pt>
                <c:pt idx="1">
                  <c:v>1.2954897315588423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B6C-478D-A1C2-E321C9E5AB0B}"/>
            </c:ext>
          </c:extLst>
        </c:ser>
        <c:ser>
          <c:idx val="1"/>
          <c:order val="2"/>
          <c:tx>
            <c:strRef>
              <c:f>Aldosterone!$AG$10</c:f>
              <c:strCache>
                <c:ptCount val="1"/>
                <c:pt idx="0">
                  <c:v>+2SD UCL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00B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8A86-4C4F-831E-13C0903FA2A6}"/>
              </c:ext>
            </c:extLst>
          </c:dPt>
          <c:xVal>
            <c:numRef>
              <c:f>(Aldosterone!$R$4,Aldosterone!$T$4)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(Aldosterone!$AG$11,Aldosterone!$AG$11)</c:f>
              <c:numCache>
                <c:formatCode>0.00</c:formatCode>
                <c:ptCount val="2"/>
                <c:pt idx="0">
                  <c:v>1.1793518845312916</c:v>
                </c:pt>
                <c:pt idx="1">
                  <c:v>1.1793518845312916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B6C-478D-A1C2-E321C9E5A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scatterChart>
        <c:scatterStyle val="lineMarker"/>
        <c:varyColors val="1"/>
        <c:ser>
          <c:idx val="0"/>
          <c:order val="0"/>
          <c:tx>
            <c:v>LQC</c:v>
          </c:tx>
          <c:marker>
            <c:symbol val="circle"/>
            <c:size val="10"/>
            <c:spPr>
              <a:solidFill>
                <a:schemeClr val="tx1">
                  <a:lumMod val="50000"/>
                  <a:lumOff val="50000"/>
                </a:schemeClr>
              </a:solidFill>
              <a:ln cmpd="sng">
                <a:solidFill>
                  <a:schemeClr val="tx1"/>
                </a:solidFill>
              </a:ln>
            </c:spPr>
          </c:marker>
          <c:xVal>
            <c:strRef>
              <c:f>Aldosterone!$P$14:$P$268</c:f>
              <c:strCach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strCache>
            </c:strRef>
          </c:xVal>
          <c:yVal>
            <c:numRef>
              <c:f>Aldosterone!$AC$14:$AC$268</c:f>
              <c:numCache>
                <c:formatCode>0.000</c:formatCode>
                <c:ptCount val="255"/>
                <c:pt idx="0">
                  <c:v>1.01</c:v>
                </c:pt>
                <c:pt idx="1">
                  <c:v>1.169</c:v>
                </c:pt>
                <c:pt idx="2">
                  <c:v>1.028</c:v>
                </c:pt>
                <c:pt idx="3">
                  <c:v>1.0589999999999999</c:v>
                </c:pt>
                <c:pt idx="4">
                  <c:v>0.81100000000000005</c:v>
                </c:pt>
                <c:pt idx="5">
                  <c:v>0.78100000000000003</c:v>
                </c:pt>
                <c:pt idx="6">
                  <c:v>0.83399999999999996</c:v>
                </c:pt>
                <c:pt idx="7">
                  <c:v>0.80300000000000005</c:v>
                </c:pt>
                <c:pt idx="8">
                  <c:v>1.0109999999999999</c:v>
                </c:pt>
                <c:pt idx="9">
                  <c:v>0.71799999999999997</c:v>
                </c:pt>
                <c:pt idx="10">
                  <c:v>1.103</c:v>
                </c:pt>
                <c:pt idx="11">
                  <c:v>0.88400000000000001</c:v>
                </c:pt>
                <c:pt idx="12">
                  <c:v>1.0449999999999999</c:v>
                </c:pt>
                <c:pt idx="13">
                  <c:v>0.92800000000000005</c:v>
                </c:pt>
                <c:pt idx="14">
                  <c:v>0.86099999999999999</c:v>
                </c:pt>
                <c:pt idx="15">
                  <c:v>0.95799999999999996</c:v>
                </c:pt>
                <c:pt idx="16">
                  <c:v>0.93</c:v>
                </c:pt>
                <c:pt idx="17">
                  <c:v>0.95299999999999996</c:v>
                </c:pt>
                <c:pt idx="18">
                  <c:v>0.86299999999999999</c:v>
                </c:pt>
                <c:pt idx="19">
                  <c:v>1.4370000000000001</c:v>
                </c:pt>
                <c:pt idx="20">
                  <c:v>1</c:v>
                </c:pt>
                <c:pt idx="21">
                  <c:v>1.113</c:v>
                </c:pt>
                <c:pt idx="22">
                  <c:v>0.83699999999999997</c:v>
                </c:pt>
                <c:pt idx="23">
                  <c:v>0.98099999999999998</c:v>
                </c:pt>
                <c:pt idx="24">
                  <c:v>1.0442</c:v>
                </c:pt>
                <c:pt idx="25">
                  <c:v>0.91100000000000003</c:v>
                </c:pt>
                <c:pt idx="26">
                  <c:v>0.89500000000000002</c:v>
                </c:pt>
                <c:pt idx="27">
                  <c:v>0.86099999999999999</c:v>
                </c:pt>
                <c:pt idx="28">
                  <c:v>1.0189999999999999</c:v>
                </c:pt>
                <c:pt idx="29">
                  <c:v>0.92800000000000005</c:v>
                </c:pt>
                <c:pt idx="30">
                  <c:v>0.86099999999999999</c:v>
                </c:pt>
                <c:pt idx="31">
                  <c:v>0.77500000000000002</c:v>
                </c:pt>
                <c:pt idx="32">
                  <c:v>0.81100000000000005</c:v>
                </c:pt>
                <c:pt idx="33">
                  <c:v>0.83699999999999997</c:v>
                </c:pt>
                <c:pt idx="34">
                  <c:v>1.0309999999999999</c:v>
                </c:pt>
                <c:pt idx="35">
                  <c:v>1.109</c:v>
                </c:pt>
                <c:pt idx="36">
                  <c:v>1.1990000000000001</c:v>
                </c:pt>
                <c:pt idx="37">
                  <c:v>0.79800000000000004</c:v>
                </c:pt>
                <c:pt idx="38">
                  <c:v>0.80900000000000005</c:v>
                </c:pt>
                <c:pt idx="39">
                  <c:v>0.91700000000000004</c:v>
                </c:pt>
                <c:pt idx="40">
                  <c:v>0.871</c:v>
                </c:pt>
                <c:pt idx="41">
                  <c:v>0.98399999999999999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B6C-478D-A1C2-E321C9E5AB0B}"/>
            </c:ext>
          </c:extLst>
        </c:ser>
        <c:ser>
          <c:idx val="2"/>
          <c:order val="3"/>
          <c:tx>
            <c:v>Mean</c:v>
          </c:tx>
          <c:spPr>
            <a:ln>
              <a:solidFill>
                <a:schemeClr val="accent1"/>
              </a:solidFill>
              <a:prstDash val="sysDash"/>
            </a:ln>
          </c:spPr>
          <c:dPt>
            <c:idx val="0"/>
            <c:marker>
              <c:symbol val="none"/>
            </c:marker>
            <c:bubble3D val="0"/>
            <c:spPr>
              <a:ln w="28575">
                <a:solidFill>
                  <a:schemeClr val="accent1"/>
                </a:solidFill>
                <a:prstDash val="sysDot"/>
              </a:ln>
            </c:spPr>
            <c:extLst>
              <c:ext xmlns:c16="http://schemas.microsoft.com/office/drawing/2014/chart" uri="{C3380CC4-5D6E-409C-BE32-E72D297353CC}">
                <c16:uniqueId val="{00000005-8A86-4C4F-831E-13C0903FA2A6}"/>
              </c:ext>
            </c:extLst>
          </c:dPt>
          <c:xVal>
            <c:numRef>
              <c:f>(Aldosterone!$R$4,Aldosterone!$T$4)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(Aldosterone!$AC$11,Aldosterone!$AC$11)</c:f>
              <c:numCache>
                <c:formatCode>0.00</c:formatCode>
                <c:ptCount val="2"/>
                <c:pt idx="0">
                  <c:v>0.94707619047619063</c:v>
                </c:pt>
                <c:pt idx="1">
                  <c:v>0.94707619047619063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B6C-478D-A1C2-E321C9E5AB0B}"/>
            </c:ext>
          </c:extLst>
        </c:ser>
        <c:ser>
          <c:idx val="6"/>
          <c:order val="4"/>
          <c:tx>
            <c:strRef>
              <c:f>Aldosterone!$AF$10</c:f>
              <c:strCache>
                <c:ptCount val="1"/>
                <c:pt idx="0">
                  <c:v>-2SD LCL</c:v>
                </c:pt>
              </c:strCache>
            </c:strRef>
          </c:tx>
          <c:spPr>
            <a:ln w="25400">
              <a:solidFill>
                <a:schemeClr val="accent6">
                  <a:lumMod val="60000"/>
                  <a:lumOff val="40000"/>
                </a:schemeClr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chemeClr val="accent6">
                    <a:lumMod val="60000"/>
                    <a:lumOff val="40000"/>
                  </a:scheme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7-8A86-4C4F-831E-13C0903FA2A6}"/>
              </c:ext>
            </c:extLst>
          </c:dPt>
          <c:xVal>
            <c:numRef>
              <c:f>(Aldosterone!$R$4,Aldosterone!$T$4)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(Aldosterone!$AF$11,Aldosterone!$AF$11)</c:f>
              <c:numCache>
                <c:formatCode>0.00</c:formatCode>
                <c:ptCount val="2"/>
                <c:pt idx="0">
                  <c:v>0.71480049642108956</c:v>
                </c:pt>
                <c:pt idx="1">
                  <c:v>0.71480049642108956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0B6C-478D-A1C2-E321C9E5AB0B}"/>
            </c:ext>
          </c:extLst>
        </c:ser>
        <c:ser>
          <c:idx val="5"/>
          <c:order val="5"/>
          <c:tx>
            <c:strRef>
              <c:f>Aldosterone!$AE$10</c:f>
              <c:strCache>
                <c:ptCount val="1"/>
                <c:pt idx="0">
                  <c:v>-3SD LCL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FF0000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9-8A86-4C4F-831E-13C0903FA2A6}"/>
              </c:ext>
            </c:extLst>
          </c:dPt>
          <c:xVal>
            <c:numRef>
              <c:f>(Aldosterone!$R$4,Aldosterone!$T$4)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(Aldosterone!$AE$11,Aldosterone!$AE$11)</c:f>
              <c:numCache>
                <c:formatCode>0.00</c:formatCode>
                <c:ptCount val="2"/>
                <c:pt idx="0">
                  <c:v>0.59866264939353908</c:v>
                </c:pt>
                <c:pt idx="1">
                  <c:v>0.59866264939353908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0B6C-478D-A1C2-E321C9E5A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catAx>
        <c:axId val="1414825479"/>
        <c:scaling>
          <c:orientation val="minMax"/>
        </c:scaling>
        <c:delete val="0"/>
        <c:axPos val="b"/>
        <c:numFmt formatCode="[$-409]d/mmm/yy;@" sourceLinked="0"/>
        <c:majorTickMark val="out"/>
        <c:minorTickMark val="out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664720785"/>
        <c:crosses val="autoZero"/>
        <c:auto val="0"/>
        <c:lblAlgn val="ctr"/>
        <c:lblOffset val="100"/>
        <c:noMultiLvlLbl val="1"/>
      </c:catAx>
      <c:valAx>
        <c:axId val="1664720785"/>
        <c:scaling>
          <c:orientation val="minMax"/>
          <c:max val="2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200">
                    <a:solidFill>
                      <a:schemeClr val="accent6"/>
                    </a:solidFill>
                  </a:rPr>
                  <a:t>LQC [nmol/L]</a:t>
                </a:r>
              </a:p>
            </c:rich>
          </c:tx>
          <c:layout>
            <c:manualLayout>
              <c:xMode val="edge"/>
              <c:yMode val="edge"/>
              <c:x val="1.2907702223661067E-2"/>
              <c:y val="0.40450724699866752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/>
        </c:spPr>
        <c:crossAx val="1414825479"/>
        <c:crosses val="autoZero"/>
        <c:crossBetween val="between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</c:spPr>
      <c:txPr>
        <a:bodyPr anchor="ctr" anchorCtr="1"/>
        <a:lstStyle/>
        <a:p>
          <a:pPr rtl="0">
            <a:defRPr sz="1200"/>
          </a:pPr>
          <a:endParaRPr lang="en-US"/>
        </a:p>
      </c:txPr>
    </c:legend>
    <c:plotVisOnly val="1"/>
    <c:dispBlanksAs val="span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noFill/>
    </a:ln>
  </c:spPr>
  <c:txPr>
    <a:bodyPr/>
    <a:lstStyle/>
    <a:p>
      <a:pPr>
        <a:defRPr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SG">
                <a:solidFill>
                  <a:sysClr val="windowText" lastClr="000000"/>
                </a:solidFill>
              </a:rPr>
              <a:t>ACCURACY</a:t>
            </a:r>
          </a:p>
        </c:rich>
      </c:tx>
      <c:overlay val="0"/>
      <c:spPr>
        <a:noFill/>
      </c:spPr>
    </c:title>
    <c:autoTitleDeleted val="0"/>
    <c:plotArea>
      <c:layout>
        <c:manualLayout>
          <c:layoutTarget val="inner"/>
          <c:xMode val="edge"/>
          <c:yMode val="edge"/>
          <c:x val="9.7388134921387773E-2"/>
          <c:y val="0.12595373243973218"/>
          <c:w val="0.85499174011352508"/>
          <c:h val="0.6503580352696221"/>
        </c:manualLayout>
      </c:layout>
      <c:lineChart>
        <c:grouping val="standard"/>
        <c:varyColors val="1"/>
        <c:ser>
          <c:idx val="4"/>
          <c:order val="4"/>
          <c:tx>
            <c:v>date</c:v>
          </c:tx>
          <c:marker>
            <c:symbol val="none"/>
          </c:marker>
          <c:cat>
            <c:numRef>
              <c:f>Aldosterone!$R$14:$R$51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</c:numCache>
            </c:numRef>
          </c:cat>
          <c:val>
            <c:numRef>
              <c:f>Aldosterone!$R$14:$R$51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AF-4653-B460-6920643C8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4825479"/>
        <c:axId val="1664720785"/>
      </c:lineChart>
      <c:scatterChart>
        <c:scatterStyle val="lineMarker"/>
        <c:varyColors val="1"/>
        <c:ser>
          <c:idx val="1"/>
          <c:order val="0"/>
          <c:tx>
            <c:v>LQC Acc</c:v>
          </c:tx>
          <c:spPr>
            <a:ln>
              <a:solidFill>
                <a:schemeClr val="accent6">
                  <a:lumMod val="50000"/>
                </a:schemeClr>
              </a:solidFill>
            </a:ln>
          </c:spPr>
          <c:marker>
            <c:symbol val="circle"/>
            <c:size val="10"/>
            <c:spPr>
              <a:solidFill>
                <a:schemeClr val="accent6"/>
              </a:solidFill>
              <a:ln>
                <a:solidFill>
                  <a:schemeClr val="accent6"/>
                </a:solidFill>
              </a:ln>
            </c:spPr>
          </c:marker>
          <c:xVal>
            <c:numRef>
              <c:f>Aldosterone!$P$14:$P$51</c:f>
              <c:numCache>
                <c:formatCode>0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xVal>
          <c:yVal>
            <c:numRef>
              <c:f>Aldosterone!$AH$14:$AH$268</c:f>
              <c:numCache>
                <c:formatCode>0.0%</c:formatCode>
                <c:ptCount val="255"/>
                <c:pt idx="0">
                  <c:v>1.1086717892425906</c:v>
                </c:pt>
                <c:pt idx="1">
                  <c:v>1.283205268935236</c:v>
                </c:pt>
                <c:pt idx="2">
                  <c:v>1.1284302963776069</c:v>
                </c:pt>
                <c:pt idx="3">
                  <c:v>1.1624588364434687</c:v>
                </c:pt>
                <c:pt idx="4">
                  <c:v>0.8902305159165752</c:v>
                </c:pt>
                <c:pt idx="5">
                  <c:v>0.85729967069154778</c:v>
                </c:pt>
                <c:pt idx="6">
                  <c:v>0.91547749725576277</c:v>
                </c:pt>
                <c:pt idx="7">
                  <c:v>0.88144895718990124</c:v>
                </c:pt>
                <c:pt idx="8">
                  <c:v>1.1097694840834247</c:v>
                </c:pt>
                <c:pt idx="9">
                  <c:v>0.78814489571899005</c:v>
                </c:pt>
                <c:pt idx="10">
                  <c:v>1.2107574094401756</c:v>
                </c:pt>
                <c:pt idx="11">
                  <c:v>0.97036223929747523</c:v>
                </c:pt>
                <c:pt idx="12">
                  <c:v>1.1470911086717892</c:v>
                </c:pt>
                <c:pt idx="13">
                  <c:v>1.0186608122941823</c:v>
                </c:pt>
                <c:pt idx="14">
                  <c:v>0.94511525795828755</c:v>
                </c:pt>
                <c:pt idx="15">
                  <c:v>1.0515916575192097</c:v>
                </c:pt>
                <c:pt idx="16">
                  <c:v>1.0208562019758507</c:v>
                </c:pt>
                <c:pt idx="17">
                  <c:v>1.0461031833150383</c:v>
                </c:pt>
                <c:pt idx="18">
                  <c:v>0.94731064763995609</c:v>
                </c:pt>
                <c:pt idx="19">
                  <c:v>1.5773874862788144</c:v>
                </c:pt>
                <c:pt idx="20">
                  <c:v>1.0764262648008611</c:v>
                </c:pt>
                <c:pt idx="21">
                  <c:v>1.1980624327233584</c:v>
                </c:pt>
                <c:pt idx="22">
                  <c:v>0.90096878363832067</c:v>
                </c:pt>
                <c:pt idx="23">
                  <c:v>1.0559741657696446</c:v>
                </c:pt>
                <c:pt idx="24">
                  <c:v>1.1240043057050593</c:v>
                </c:pt>
                <c:pt idx="25">
                  <c:v>0.9806243272335845</c:v>
                </c:pt>
                <c:pt idx="26">
                  <c:v>0.96340150699677074</c:v>
                </c:pt>
                <c:pt idx="27">
                  <c:v>0.92680301399354137</c:v>
                </c:pt>
                <c:pt idx="28">
                  <c:v>1.0968783638320774</c:v>
                </c:pt>
                <c:pt idx="29">
                  <c:v>0.99892357373519913</c:v>
                </c:pt>
                <c:pt idx="30">
                  <c:v>0.92680301399354137</c:v>
                </c:pt>
                <c:pt idx="31">
                  <c:v>0.83423035522066735</c:v>
                </c:pt>
                <c:pt idx="32">
                  <c:v>0.87298170075349835</c:v>
                </c:pt>
                <c:pt idx="33">
                  <c:v>0.90096878363832067</c:v>
                </c:pt>
                <c:pt idx="34">
                  <c:v>1.1097954790096878</c:v>
                </c:pt>
                <c:pt idx="35">
                  <c:v>1.193756727664155</c:v>
                </c:pt>
                <c:pt idx="36">
                  <c:v>1.2906350914962326</c:v>
                </c:pt>
                <c:pt idx="37">
                  <c:v>0.85898815931108718</c:v>
                </c:pt>
                <c:pt idx="38">
                  <c:v>0.87082884822389672</c:v>
                </c:pt>
                <c:pt idx="39">
                  <c:v>0.98708288482238971</c:v>
                </c:pt>
                <c:pt idx="40">
                  <c:v>0.93756727664155004</c:v>
                </c:pt>
                <c:pt idx="41">
                  <c:v>1.0592034445640472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8AF-4653-B460-6920643C8966}"/>
            </c:ext>
          </c:extLst>
        </c:ser>
        <c:ser>
          <c:idx val="0"/>
          <c:order val="1"/>
          <c:tx>
            <c:v>HQC Acc.</c:v>
          </c:tx>
          <c:spPr>
            <a:ln>
              <a:solidFill>
                <a:schemeClr val="accent2">
                  <a:lumMod val="50000"/>
                </a:schemeClr>
              </a:solidFill>
            </a:ln>
          </c:spPr>
          <c:marker>
            <c:symbol val="circle"/>
            <c:size val="10"/>
            <c:spPr>
              <a:solidFill>
                <a:srgbClr val="FFC000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Aldosterone!$P$14:$P$51</c:f>
              <c:numCache>
                <c:formatCode>0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xVal>
          <c:yVal>
            <c:numRef>
              <c:f>Aldosterone!$Z$14:$Z$268</c:f>
              <c:numCache>
                <c:formatCode>0.0%</c:formatCode>
                <c:ptCount val="255"/>
                <c:pt idx="0">
                  <c:v>1.0273100616016426</c:v>
                </c:pt>
                <c:pt idx="1">
                  <c:v>1.0431211498973305</c:v>
                </c:pt>
                <c:pt idx="2">
                  <c:v>0.89209445585215608</c:v>
                </c:pt>
                <c:pt idx="3">
                  <c:v>1.059958932238193</c:v>
                </c:pt>
                <c:pt idx="4">
                  <c:v>0.95390143737166322</c:v>
                </c:pt>
                <c:pt idx="5">
                  <c:v>0.70985626283367553</c:v>
                </c:pt>
                <c:pt idx="6">
                  <c:v>0.89137577002053392</c:v>
                </c:pt>
                <c:pt idx="7">
                  <c:v>0.89784394250513333</c:v>
                </c:pt>
                <c:pt idx="8">
                  <c:v>0.83973305954825461</c:v>
                </c:pt>
                <c:pt idx="9">
                  <c:v>1.0627310061601642</c:v>
                </c:pt>
                <c:pt idx="10">
                  <c:v>1.300924024640657</c:v>
                </c:pt>
                <c:pt idx="11">
                  <c:v>0.91745379876796707</c:v>
                </c:pt>
                <c:pt idx="12">
                  <c:v>0.98203285420944553</c:v>
                </c:pt>
                <c:pt idx="13">
                  <c:v>1.1059548254620124</c:v>
                </c:pt>
                <c:pt idx="14">
                  <c:v>0.99414784394250511</c:v>
                </c:pt>
                <c:pt idx="15">
                  <c:v>1.0010266940451744</c:v>
                </c:pt>
                <c:pt idx="16">
                  <c:v>0.94455852156057485</c:v>
                </c:pt>
                <c:pt idx="17">
                  <c:v>1.3617043121149897</c:v>
                </c:pt>
                <c:pt idx="18">
                  <c:v>1.0010266940451744</c:v>
                </c:pt>
                <c:pt idx="19">
                  <c:v>1.0372689938398356</c:v>
                </c:pt>
                <c:pt idx="20">
                  <c:v>1.1627556512378903</c:v>
                </c:pt>
                <c:pt idx="21">
                  <c:v>1.1181916038751347</c:v>
                </c:pt>
                <c:pt idx="22">
                  <c:v>0.86114101184068903</c:v>
                </c:pt>
                <c:pt idx="23">
                  <c:v>0.69763186221743811</c:v>
                </c:pt>
                <c:pt idx="24">
                  <c:v>0.93921420882669548</c:v>
                </c:pt>
                <c:pt idx="25">
                  <c:v>0.92482238966630792</c:v>
                </c:pt>
                <c:pt idx="26">
                  <c:v>0.8639397201291712</c:v>
                </c:pt>
                <c:pt idx="27">
                  <c:v>1.0445640473627558</c:v>
                </c:pt>
                <c:pt idx="28">
                  <c:v>0.8623250807319699</c:v>
                </c:pt>
                <c:pt idx="29">
                  <c:v>0.87621097954790106</c:v>
                </c:pt>
                <c:pt idx="30">
                  <c:v>0.87222820236813781</c:v>
                </c:pt>
                <c:pt idx="31">
                  <c:v>0.86243272335845012</c:v>
                </c:pt>
                <c:pt idx="32">
                  <c:v>0.84402583423035527</c:v>
                </c:pt>
                <c:pt idx="33">
                  <c:v>1.1587728740581271</c:v>
                </c:pt>
                <c:pt idx="34">
                  <c:v>0.98051668460710451</c:v>
                </c:pt>
                <c:pt idx="35">
                  <c:v>1.1333692142088267</c:v>
                </c:pt>
                <c:pt idx="36">
                  <c:v>1.0236813778256191</c:v>
                </c:pt>
                <c:pt idx="37">
                  <c:v>0.94531754574811633</c:v>
                </c:pt>
                <c:pt idx="38">
                  <c:v>1.1083961248654468</c:v>
                </c:pt>
                <c:pt idx="39">
                  <c:v>1.1896663078579117</c:v>
                </c:pt>
                <c:pt idx="40">
                  <c:v>1.1571582346609259</c:v>
                </c:pt>
                <c:pt idx="41">
                  <c:v>1.0444564047362757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8AF-4653-B460-6920643C8966}"/>
            </c:ext>
          </c:extLst>
        </c:ser>
        <c:ser>
          <c:idx val="5"/>
          <c:order val="2"/>
          <c:tx>
            <c:v>UCL</c:v>
          </c:tx>
          <c:spPr>
            <a:ln>
              <a:prstDash val="dash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C00000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1-055C-47C0-8F05-1598FFC93923}"/>
              </c:ext>
            </c:extLst>
          </c:dPt>
          <c:xVal>
            <c:numRef>
              <c:f>(Aldosterone!$R$4,Aldosterone!$T$4)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(Aldosterone!$Q$11,Aldosterone!$Q$11)</c:f>
              <c:numCache>
                <c:formatCode>0%</c:formatCode>
                <c:ptCount val="2"/>
                <c:pt idx="0">
                  <c:v>1.1499999999999999</c:v>
                </c:pt>
                <c:pt idx="1">
                  <c:v>1.1499999999999999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8AF-4653-B460-6920643C8966}"/>
            </c:ext>
          </c:extLst>
        </c:ser>
        <c:ser>
          <c:idx val="6"/>
          <c:order val="3"/>
          <c:tx>
            <c:v>LCL</c:v>
          </c:tx>
          <c:spPr>
            <a:ln w="25400"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chemeClr val="accent6">
                    <a:lumMod val="75000"/>
                  </a:scheme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3-055C-47C0-8F05-1598FFC93923}"/>
              </c:ext>
            </c:extLst>
          </c:dPt>
          <c:xVal>
            <c:numRef>
              <c:f>(Aldosterone!$R$4,Aldosterone!$T$4)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(Aldosterone!$R$11,Aldosterone!$R$11)</c:f>
              <c:numCache>
                <c:formatCode>0%</c:formatCode>
                <c:ptCount val="2"/>
                <c:pt idx="0">
                  <c:v>0.8</c:v>
                </c:pt>
                <c:pt idx="1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8AF-4653-B460-6920643C8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catAx>
        <c:axId val="1414825479"/>
        <c:scaling>
          <c:orientation val="minMax"/>
        </c:scaling>
        <c:delete val="0"/>
        <c:axPos val="b"/>
        <c:numFmt formatCode="[$-409]d/mmm/yy;@" sourceLinked="0"/>
        <c:majorTickMark val="out"/>
        <c:minorTickMark val="out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664720785"/>
        <c:crosses val="autoZero"/>
        <c:auto val="0"/>
        <c:lblAlgn val="ctr"/>
        <c:lblOffset val="100"/>
        <c:noMultiLvlLbl val="1"/>
      </c:catAx>
      <c:valAx>
        <c:axId val="1664720785"/>
        <c:scaling>
          <c:orientation val="minMax"/>
          <c:max val="1.8"/>
          <c:min val="0.4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ACCURACY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/>
            </a:pPr>
            <a:endParaRPr lang="en-US"/>
          </a:p>
        </c:txPr>
        <c:crossAx val="1414825479"/>
        <c:crosses val="autoZero"/>
        <c:crossBetween val="between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</c:spPr>
      <c:txPr>
        <a:bodyPr anchor="ctr" anchorCtr="1"/>
        <a:lstStyle/>
        <a:p>
          <a:pPr rtl="0">
            <a:defRPr sz="1400" b="0"/>
          </a:pPr>
          <a:endParaRPr lang="en-US"/>
        </a:p>
      </c:txPr>
    </c:legend>
    <c:plotVisOnly val="1"/>
    <c:dispBlanksAs val="span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noFill/>
    </a:ln>
  </c:spPr>
  <c:txPr>
    <a:bodyPr/>
    <a:lstStyle/>
    <a:p>
      <a:pPr>
        <a:defRPr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SG">
                <a:solidFill>
                  <a:schemeClr val="accent2"/>
                </a:solidFill>
              </a:rPr>
              <a:t>HQC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041856212537431E-2"/>
          <c:y val="0.13692552474352129"/>
          <c:w val="0.85499174011352508"/>
          <c:h val="0.6503580352696221"/>
        </c:manualLayout>
      </c:layout>
      <c:lineChart>
        <c:grouping val="standard"/>
        <c:varyColors val="1"/>
        <c:ser>
          <c:idx val="4"/>
          <c:order val="6"/>
          <c:tx>
            <c:v>date</c:v>
          </c:tx>
          <c:marker>
            <c:symbol val="none"/>
          </c:marker>
          <c:cat>
            <c:numRef>
              <c:f>Androstenedione!$R$14:$R$55</c:f>
              <c:numCache>
                <c:formatCode>yyyy/mm/dd;@</c:formatCode>
                <c:ptCount val="42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  <c:pt idx="38">
                  <c:v>46044</c:v>
                </c:pt>
                <c:pt idx="39">
                  <c:v>46048</c:v>
                </c:pt>
                <c:pt idx="40">
                  <c:v>46048</c:v>
                </c:pt>
                <c:pt idx="41">
                  <c:v>46065</c:v>
                </c:pt>
              </c:numCache>
            </c:numRef>
          </c:cat>
          <c:val>
            <c:numRef>
              <c:f>Androstenedione!$R$14:$R$51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AE-4FBE-9E7E-F512360B2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4825479"/>
        <c:axId val="1664720785"/>
      </c:lineChart>
      <c:scatterChart>
        <c:scatterStyle val="smoothMarker"/>
        <c:varyColors val="1"/>
        <c:ser>
          <c:idx val="3"/>
          <c:order val="1"/>
          <c:tx>
            <c:strRef>
              <c:f>Androstenedione!$Z$10</c:f>
              <c:strCache>
                <c:ptCount val="1"/>
                <c:pt idx="0">
                  <c:v>+3SD UCL</c:v>
                </c:pt>
              </c:strCache>
            </c:strRef>
          </c:tx>
          <c:spPr>
            <a:ln>
              <a:solidFill>
                <a:srgbClr val="C00000"/>
              </a:solidFill>
              <a:prstDash val="solid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C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835-419D-99F1-1C531A3CD099}"/>
              </c:ext>
            </c:extLst>
          </c:dPt>
          <c:xVal>
            <c:numRef>
              <c:f>(Androstenedione!$R$4,Androstenedione!$T$4)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(Androstenedione!$Z$11,Androstenedione!$Z$11)</c:f>
              <c:numCache>
                <c:formatCode>0.00</c:formatCode>
                <c:ptCount val="2"/>
                <c:pt idx="0">
                  <c:v>37.69753045970905</c:v>
                </c:pt>
                <c:pt idx="1">
                  <c:v>37.69753045970905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9AE-4FBE-9E7E-F512360B2777}"/>
            </c:ext>
          </c:extLst>
        </c:ser>
        <c:ser>
          <c:idx val="1"/>
          <c:order val="5"/>
          <c:tx>
            <c:strRef>
              <c:f>Androstenedione!$W$10</c:f>
              <c:strCache>
                <c:ptCount val="1"/>
                <c:pt idx="0">
                  <c:v>-3SD LCL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00B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B835-419D-99F1-1C531A3CD099}"/>
              </c:ext>
            </c:extLst>
          </c:dPt>
          <c:xVal>
            <c:numRef>
              <c:f>(Androstenedione!$R$4,Androstenedione!$T$4)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(Androstenedione!$W$11,Androstenedione!$W$11)</c:f>
              <c:numCache>
                <c:formatCode>0.00</c:formatCode>
                <c:ptCount val="2"/>
                <c:pt idx="0">
                  <c:v>21.753160016481409</c:v>
                </c:pt>
                <c:pt idx="1">
                  <c:v>21.753160016481409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9AE-4FBE-9E7E-F512360B2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scatterChart>
        <c:scatterStyle val="lineMarker"/>
        <c:varyColors val="1"/>
        <c:ser>
          <c:idx val="0"/>
          <c:order val="0"/>
          <c:tx>
            <c:v>HQC</c:v>
          </c:tx>
          <c:marker>
            <c:symbol val="circle"/>
            <c:size val="10"/>
            <c:spPr>
              <a:solidFill>
                <a:schemeClr val="tx1">
                  <a:lumMod val="50000"/>
                  <a:lumOff val="50000"/>
                </a:schemeClr>
              </a:solidFill>
              <a:ln cmpd="sng">
                <a:solidFill>
                  <a:schemeClr val="tx1"/>
                </a:solidFill>
              </a:ln>
            </c:spPr>
          </c:marker>
          <c:xVal>
            <c:strRef>
              <c:f>Androstenedione!$P$14:$P$268</c:f>
              <c:strCach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strCache>
            </c:strRef>
          </c:xVal>
          <c:yVal>
            <c:numRef>
              <c:f>Androstenedione!$U$14:$U$268</c:f>
              <c:numCache>
                <c:formatCode>0.000</c:formatCode>
                <c:ptCount val="255"/>
                <c:pt idx="0">
                  <c:v>33.875</c:v>
                </c:pt>
                <c:pt idx="1">
                  <c:v>31.97</c:v>
                </c:pt>
                <c:pt idx="2">
                  <c:v>28.501000000000001</c:v>
                </c:pt>
                <c:pt idx="3">
                  <c:v>32.298999999999999</c:v>
                </c:pt>
                <c:pt idx="4">
                  <c:v>34.012999999999998</c:v>
                </c:pt>
                <c:pt idx="5">
                  <c:v>34.796999999999997</c:v>
                </c:pt>
                <c:pt idx="6">
                  <c:v>30.616</c:v>
                </c:pt>
                <c:pt idx="7">
                  <c:v>31.036000000000001</c:v>
                </c:pt>
                <c:pt idx="8">
                  <c:v>29.88</c:v>
                </c:pt>
                <c:pt idx="9">
                  <c:v>29.928000000000001</c:v>
                </c:pt>
                <c:pt idx="10">
                  <c:v>34.712000000000003</c:v>
                </c:pt>
                <c:pt idx="11">
                  <c:v>28.846</c:v>
                </c:pt>
                <c:pt idx="12">
                  <c:v>29.785</c:v>
                </c:pt>
                <c:pt idx="13">
                  <c:v>29.218</c:v>
                </c:pt>
                <c:pt idx="14">
                  <c:v>27.364999999999998</c:v>
                </c:pt>
                <c:pt idx="15">
                  <c:v>29.937999999999999</c:v>
                </c:pt>
                <c:pt idx="16">
                  <c:v>31.989000000000001</c:v>
                </c:pt>
                <c:pt idx="17">
                  <c:v>29.440999999999999</c:v>
                </c:pt>
                <c:pt idx="18">
                  <c:v>30.763000000000002</c:v>
                </c:pt>
                <c:pt idx="19">
                  <c:v>26.911000000000001</c:v>
                </c:pt>
                <c:pt idx="20">
                  <c:v>27.866</c:v>
                </c:pt>
                <c:pt idx="21">
                  <c:v>26.846</c:v>
                </c:pt>
                <c:pt idx="22">
                  <c:v>27.826000000000001</c:v>
                </c:pt>
                <c:pt idx="23">
                  <c:v>29.939</c:v>
                </c:pt>
                <c:pt idx="24">
                  <c:v>24.5867</c:v>
                </c:pt>
                <c:pt idx="25">
                  <c:v>22.447800000000001</c:v>
                </c:pt>
                <c:pt idx="26">
                  <c:v>26.445</c:v>
                </c:pt>
                <c:pt idx="27">
                  <c:v>29.875</c:v>
                </c:pt>
                <c:pt idx="28">
                  <c:v>28.873999999999999</c:v>
                </c:pt>
                <c:pt idx="29">
                  <c:v>31.055</c:v>
                </c:pt>
                <c:pt idx="30">
                  <c:v>29.17</c:v>
                </c:pt>
                <c:pt idx="31">
                  <c:v>28.529</c:v>
                </c:pt>
                <c:pt idx="32">
                  <c:v>29.184000000000001</c:v>
                </c:pt>
                <c:pt idx="33">
                  <c:v>28.079000000000001</c:v>
                </c:pt>
                <c:pt idx="34">
                  <c:v>33.087000000000003</c:v>
                </c:pt>
                <c:pt idx="35">
                  <c:v>30.446999999999999</c:v>
                </c:pt>
                <c:pt idx="36">
                  <c:v>24.87</c:v>
                </c:pt>
                <c:pt idx="37">
                  <c:v>32.877000000000002</c:v>
                </c:pt>
                <c:pt idx="38">
                  <c:v>30.291</c:v>
                </c:pt>
                <c:pt idx="39">
                  <c:v>32.094000000000001</c:v>
                </c:pt>
                <c:pt idx="40">
                  <c:v>30.074000000000002</c:v>
                </c:pt>
                <c:pt idx="41">
                  <c:v>28.119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9AE-4FBE-9E7E-F512360B2777}"/>
            </c:ext>
          </c:extLst>
        </c:ser>
        <c:ser>
          <c:idx val="5"/>
          <c:order val="2"/>
          <c:tx>
            <c:strRef>
              <c:f>Androstenedione!$Y$10</c:f>
              <c:strCache>
                <c:ptCount val="1"/>
                <c:pt idx="0">
                  <c:v>+2SD UCL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FF0000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5-B835-419D-99F1-1C531A3CD099}"/>
              </c:ext>
            </c:extLst>
          </c:dPt>
          <c:xVal>
            <c:numRef>
              <c:f>(Androstenedione!$R$4,Androstenedione!$T$4)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(Androstenedione!$Y$11,Androstenedione!$Y$11)</c:f>
              <c:numCache>
                <c:formatCode>0.00</c:formatCode>
                <c:ptCount val="2"/>
                <c:pt idx="0">
                  <c:v>35.040135385837772</c:v>
                </c:pt>
                <c:pt idx="1">
                  <c:v>35.040135385837772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9AE-4FBE-9E7E-F512360B2777}"/>
            </c:ext>
          </c:extLst>
        </c:ser>
        <c:ser>
          <c:idx val="2"/>
          <c:order val="3"/>
          <c:tx>
            <c:v>Mean</c:v>
          </c:tx>
          <c:spPr>
            <a:ln>
              <a:solidFill>
                <a:schemeClr val="accent1"/>
              </a:solidFill>
              <a:prstDash val="sysDash"/>
            </a:ln>
          </c:spPr>
          <c:dPt>
            <c:idx val="0"/>
            <c:marker>
              <c:symbol val="none"/>
            </c:marker>
            <c:bubble3D val="0"/>
            <c:spPr>
              <a:ln w="28575">
                <a:solidFill>
                  <a:schemeClr val="accent1"/>
                </a:solidFill>
                <a:prstDash val="sysDot"/>
              </a:ln>
            </c:spPr>
            <c:extLst>
              <c:ext xmlns:c16="http://schemas.microsoft.com/office/drawing/2014/chart" uri="{C3380CC4-5D6E-409C-BE32-E72D297353CC}">
                <c16:uniqueId val="{00000007-B835-419D-99F1-1C531A3CD099}"/>
              </c:ext>
            </c:extLst>
          </c:dPt>
          <c:xVal>
            <c:numRef>
              <c:f>(Androstenedione!$R$4,Androstenedione!$T$4)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(Androstenedione!$U$11,Androstenedione!$U$11)</c:f>
              <c:numCache>
                <c:formatCode>0.00</c:formatCode>
                <c:ptCount val="2"/>
                <c:pt idx="0">
                  <c:v>29.72534523809523</c:v>
                </c:pt>
                <c:pt idx="1">
                  <c:v>29.72534523809523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9AE-4FBE-9E7E-F512360B2777}"/>
            </c:ext>
          </c:extLst>
        </c:ser>
        <c:ser>
          <c:idx val="6"/>
          <c:order val="4"/>
          <c:tx>
            <c:strRef>
              <c:f>Androstenedione!$X$10</c:f>
              <c:strCache>
                <c:ptCount val="1"/>
                <c:pt idx="0">
                  <c:v>-2SD LCL</c:v>
                </c:pt>
              </c:strCache>
            </c:strRef>
          </c:tx>
          <c:spPr>
            <a:ln w="25400">
              <a:solidFill>
                <a:schemeClr val="accent6">
                  <a:lumMod val="60000"/>
                  <a:lumOff val="40000"/>
                </a:schemeClr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chemeClr val="accent6">
                    <a:lumMod val="60000"/>
                    <a:lumOff val="40000"/>
                  </a:scheme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9-B835-419D-99F1-1C531A3CD099}"/>
              </c:ext>
            </c:extLst>
          </c:dPt>
          <c:xVal>
            <c:numRef>
              <c:f>(Androstenedione!$R$4,Androstenedione!$T$4)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(Androstenedione!$X$11,Androstenedione!$X$11)</c:f>
              <c:numCache>
                <c:formatCode>0.00</c:formatCode>
                <c:ptCount val="2"/>
                <c:pt idx="0">
                  <c:v>24.410555090352684</c:v>
                </c:pt>
                <c:pt idx="1">
                  <c:v>24.410555090352684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59AE-4FBE-9E7E-F512360B2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catAx>
        <c:axId val="1414825479"/>
        <c:scaling>
          <c:orientation val="minMax"/>
        </c:scaling>
        <c:delete val="0"/>
        <c:axPos val="b"/>
        <c:numFmt formatCode="[$-409]d/mmm/yy;@" sourceLinked="0"/>
        <c:majorTickMark val="out"/>
        <c:minorTickMark val="out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664720785"/>
        <c:crosses val="autoZero"/>
        <c:auto val="0"/>
        <c:lblAlgn val="ctr"/>
        <c:lblOffset val="100"/>
        <c:noMultiLvlLbl val="1"/>
      </c:catAx>
      <c:valAx>
        <c:axId val="1664720785"/>
        <c:scaling>
          <c:orientation val="minMax"/>
          <c:max val="45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HQC [nmol/L]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/>
        </c:spPr>
        <c:crossAx val="1414825479"/>
        <c:crosses val="autoZero"/>
        <c:crossBetween val="between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</c:spPr>
      <c:txPr>
        <a:bodyPr anchor="ctr" anchorCtr="1"/>
        <a:lstStyle/>
        <a:p>
          <a:pPr rtl="0">
            <a:defRPr sz="1200"/>
          </a:pPr>
          <a:endParaRPr lang="en-US"/>
        </a:p>
      </c:txPr>
    </c:legend>
    <c:plotVisOnly val="1"/>
    <c:dispBlanksAs val="span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noFill/>
    </a:ln>
  </c:spPr>
  <c:txPr>
    <a:bodyPr/>
    <a:lstStyle/>
    <a:p>
      <a:pPr>
        <a:defRPr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SG">
                <a:solidFill>
                  <a:schemeClr val="accent6"/>
                </a:solidFill>
              </a:rPr>
              <a:t>LQC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041856212537431E-2"/>
          <c:y val="0.13692552474352129"/>
          <c:w val="0.85499174011352508"/>
          <c:h val="0.6503580352696221"/>
        </c:manualLayout>
      </c:layout>
      <c:lineChart>
        <c:grouping val="standard"/>
        <c:varyColors val="1"/>
        <c:ser>
          <c:idx val="4"/>
          <c:order val="6"/>
          <c:tx>
            <c:v>date</c:v>
          </c:tx>
          <c:marker>
            <c:symbol val="none"/>
          </c:marker>
          <c:cat>
            <c:numRef>
              <c:f>Androstenedione!$R$14:$R$55</c:f>
              <c:numCache>
                <c:formatCode>yyyy/mm/dd;@</c:formatCode>
                <c:ptCount val="42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  <c:pt idx="38">
                  <c:v>46044</c:v>
                </c:pt>
                <c:pt idx="39">
                  <c:v>46048</c:v>
                </c:pt>
                <c:pt idx="40">
                  <c:v>46048</c:v>
                </c:pt>
                <c:pt idx="41">
                  <c:v>46065</c:v>
                </c:pt>
              </c:numCache>
            </c:numRef>
          </c:cat>
          <c:val>
            <c:numRef>
              <c:f>Androstenedione!$R$14:$R$51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D0-4726-96C7-5F9A6C498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4825479"/>
        <c:axId val="1664720785"/>
      </c:lineChart>
      <c:scatterChart>
        <c:scatterStyle val="smoothMarker"/>
        <c:varyColors val="1"/>
        <c:ser>
          <c:idx val="3"/>
          <c:order val="1"/>
          <c:tx>
            <c:strRef>
              <c:f>Androstenedione!$AH$10</c:f>
              <c:strCache>
                <c:ptCount val="1"/>
                <c:pt idx="0">
                  <c:v>+3SD UCL</c:v>
                </c:pt>
              </c:strCache>
            </c:strRef>
          </c:tx>
          <c:spPr>
            <a:ln>
              <a:solidFill>
                <a:srgbClr val="C00000"/>
              </a:solidFill>
              <a:prstDash val="solid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C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702-48EC-8430-E699F2D1E9D6}"/>
              </c:ext>
            </c:extLst>
          </c:dPt>
          <c:xVal>
            <c:numRef>
              <c:f>(Androstenedione!$R$4,Androstenedione!$T$4)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(Androstenedione!$AH$11,Androstenedione!$AH$11)</c:f>
              <c:numCache>
                <c:formatCode>0.00</c:formatCode>
                <c:ptCount val="2"/>
                <c:pt idx="0">
                  <c:v>2.2073966695264864</c:v>
                </c:pt>
                <c:pt idx="1">
                  <c:v>2.2073966695264864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BD0-4726-96C7-5F9A6C498F93}"/>
            </c:ext>
          </c:extLst>
        </c:ser>
        <c:ser>
          <c:idx val="1"/>
          <c:order val="2"/>
          <c:tx>
            <c:strRef>
              <c:f>Androstenedione!$AG$10</c:f>
              <c:strCache>
                <c:ptCount val="1"/>
                <c:pt idx="0">
                  <c:v>+2SD UCL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00B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6702-48EC-8430-E699F2D1E9D6}"/>
              </c:ext>
            </c:extLst>
          </c:dPt>
          <c:xVal>
            <c:numRef>
              <c:f>(Androstenedione!$R$4,Androstenedione!$T$4)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(Androstenedione!$AG$11,Androstenedione!$AG$11)</c:f>
              <c:numCache>
                <c:formatCode>0.00</c:formatCode>
                <c:ptCount val="2"/>
                <c:pt idx="0">
                  <c:v>2.0238461923827371</c:v>
                </c:pt>
                <c:pt idx="1">
                  <c:v>2.0238461923827371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BD0-4726-96C7-5F9A6C498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scatterChart>
        <c:scatterStyle val="lineMarker"/>
        <c:varyColors val="1"/>
        <c:ser>
          <c:idx val="0"/>
          <c:order val="0"/>
          <c:tx>
            <c:v>LQC</c:v>
          </c:tx>
          <c:marker>
            <c:symbol val="circle"/>
            <c:size val="10"/>
            <c:spPr>
              <a:solidFill>
                <a:schemeClr val="tx1">
                  <a:lumMod val="50000"/>
                  <a:lumOff val="50000"/>
                </a:schemeClr>
              </a:solidFill>
              <a:ln cmpd="sng">
                <a:solidFill>
                  <a:schemeClr val="tx1"/>
                </a:solidFill>
              </a:ln>
            </c:spPr>
          </c:marker>
          <c:xVal>
            <c:numRef>
              <c:f>Androstenedione!$P$14:$P$51</c:f>
              <c:numCache>
                <c:formatCode>0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xVal>
          <c:yVal>
            <c:numRef>
              <c:f>Androstenedione!$AC$14:$AC$268</c:f>
              <c:numCache>
                <c:formatCode>0.000</c:formatCode>
                <c:ptCount val="255"/>
                <c:pt idx="0">
                  <c:v>1.9039999999999999</c:v>
                </c:pt>
                <c:pt idx="1">
                  <c:v>1.6359999999999999</c:v>
                </c:pt>
                <c:pt idx="2">
                  <c:v>1.7270000000000001</c:v>
                </c:pt>
                <c:pt idx="3">
                  <c:v>2.012</c:v>
                </c:pt>
                <c:pt idx="4">
                  <c:v>1.754</c:v>
                </c:pt>
                <c:pt idx="5">
                  <c:v>1.4079999999999999</c:v>
                </c:pt>
                <c:pt idx="6">
                  <c:v>1.3220000000000001</c:v>
                </c:pt>
                <c:pt idx="7">
                  <c:v>1.5449999999999999</c:v>
                </c:pt>
                <c:pt idx="8">
                  <c:v>1.573</c:v>
                </c:pt>
                <c:pt idx="9">
                  <c:v>1.5720000000000001</c:v>
                </c:pt>
                <c:pt idx="10">
                  <c:v>1.7729999999999999</c:v>
                </c:pt>
                <c:pt idx="11">
                  <c:v>1.8240000000000001</c:v>
                </c:pt>
                <c:pt idx="12">
                  <c:v>1.847</c:v>
                </c:pt>
                <c:pt idx="13">
                  <c:v>2.0299999999999998</c:v>
                </c:pt>
                <c:pt idx="14">
                  <c:v>1.712</c:v>
                </c:pt>
                <c:pt idx="15">
                  <c:v>1.6779999999999999</c:v>
                </c:pt>
                <c:pt idx="16">
                  <c:v>1.6220000000000001</c:v>
                </c:pt>
                <c:pt idx="17">
                  <c:v>1.7829999999999999</c:v>
                </c:pt>
                <c:pt idx="18">
                  <c:v>1.49</c:v>
                </c:pt>
                <c:pt idx="19">
                  <c:v>1.617</c:v>
                </c:pt>
                <c:pt idx="20">
                  <c:v>1.5544</c:v>
                </c:pt>
                <c:pt idx="21">
                  <c:v>1.4413</c:v>
                </c:pt>
                <c:pt idx="22">
                  <c:v>1.5780000000000001</c:v>
                </c:pt>
                <c:pt idx="23">
                  <c:v>1.4690000000000001</c:v>
                </c:pt>
                <c:pt idx="24">
                  <c:v>1.651</c:v>
                </c:pt>
                <c:pt idx="25">
                  <c:v>1.4725999999999999</c:v>
                </c:pt>
                <c:pt idx="26">
                  <c:v>1.716</c:v>
                </c:pt>
                <c:pt idx="27">
                  <c:v>1.9019999999999999</c:v>
                </c:pt>
                <c:pt idx="28">
                  <c:v>1.58</c:v>
                </c:pt>
                <c:pt idx="29">
                  <c:v>1.607</c:v>
                </c:pt>
                <c:pt idx="30">
                  <c:v>1.84</c:v>
                </c:pt>
                <c:pt idx="31">
                  <c:v>1.62</c:v>
                </c:pt>
                <c:pt idx="32">
                  <c:v>1.6739999999999999</c:v>
                </c:pt>
                <c:pt idx="33">
                  <c:v>1.498</c:v>
                </c:pt>
                <c:pt idx="34">
                  <c:v>1.7350000000000001</c:v>
                </c:pt>
                <c:pt idx="35">
                  <c:v>1.571</c:v>
                </c:pt>
                <c:pt idx="36">
                  <c:v>1.98</c:v>
                </c:pt>
                <c:pt idx="37">
                  <c:v>1.5349999999999999</c:v>
                </c:pt>
                <c:pt idx="38">
                  <c:v>1.1659999999999999</c:v>
                </c:pt>
                <c:pt idx="39">
                  <c:v>1.792</c:v>
                </c:pt>
                <c:pt idx="40">
                  <c:v>1.5229999999999999</c:v>
                </c:pt>
                <c:pt idx="41">
                  <c:v>1.849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BD0-4726-96C7-5F9A6C498F93}"/>
            </c:ext>
          </c:extLst>
        </c:ser>
        <c:ser>
          <c:idx val="2"/>
          <c:order val="3"/>
          <c:tx>
            <c:v>Mean</c:v>
          </c:tx>
          <c:spPr>
            <a:ln>
              <a:solidFill>
                <a:schemeClr val="accent1"/>
              </a:solidFill>
              <a:prstDash val="sysDash"/>
            </a:ln>
          </c:spPr>
          <c:dPt>
            <c:idx val="0"/>
            <c:marker>
              <c:symbol val="none"/>
            </c:marker>
            <c:bubble3D val="0"/>
            <c:spPr>
              <a:ln w="28575">
                <a:solidFill>
                  <a:schemeClr val="accent1"/>
                </a:solidFill>
                <a:prstDash val="sysDot"/>
              </a:ln>
            </c:spPr>
            <c:extLst>
              <c:ext xmlns:c16="http://schemas.microsoft.com/office/drawing/2014/chart" uri="{C3380CC4-5D6E-409C-BE32-E72D297353CC}">
                <c16:uniqueId val="{00000005-6702-48EC-8430-E699F2D1E9D6}"/>
              </c:ext>
            </c:extLst>
          </c:dPt>
          <c:xVal>
            <c:numRef>
              <c:f>(Androstenedione!$R$4,Androstenedione!$T$4)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(Androstenedione!$AC$11,Androstenedione!$AC$11)</c:f>
              <c:numCache>
                <c:formatCode>0.00</c:formatCode>
                <c:ptCount val="2"/>
                <c:pt idx="0">
                  <c:v>1.6567452380952379</c:v>
                </c:pt>
                <c:pt idx="1">
                  <c:v>1.6567452380952379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BD0-4726-96C7-5F9A6C498F93}"/>
            </c:ext>
          </c:extLst>
        </c:ser>
        <c:ser>
          <c:idx val="6"/>
          <c:order val="4"/>
          <c:tx>
            <c:strRef>
              <c:f>Androstenedione!$AF$10</c:f>
              <c:strCache>
                <c:ptCount val="1"/>
                <c:pt idx="0">
                  <c:v>-2SD LCL</c:v>
                </c:pt>
              </c:strCache>
            </c:strRef>
          </c:tx>
          <c:spPr>
            <a:ln w="25400">
              <a:solidFill>
                <a:schemeClr val="accent6">
                  <a:lumMod val="60000"/>
                  <a:lumOff val="40000"/>
                </a:schemeClr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chemeClr val="accent6">
                    <a:lumMod val="60000"/>
                    <a:lumOff val="40000"/>
                  </a:scheme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7-6702-48EC-8430-E699F2D1E9D6}"/>
              </c:ext>
            </c:extLst>
          </c:dPt>
          <c:xVal>
            <c:numRef>
              <c:f>(Androstenedione!$R$4,Androstenedione!$T$4)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(Androstenedione!$AF$11,Androstenedione!$AF$11)</c:f>
              <c:numCache>
                <c:formatCode>0.00</c:formatCode>
                <c:ptCount val="2"/>
                <c:pt idx="0">
                  <c:v>1.2896442838077389</c:v>
                </c:pt>
                <c:pt idx="1">
                  <c:v>1.2896442838077389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BD0-4726-96C7-5F9A6C498F93}"/>
            </c:ext>
          </c:extLst>
        </c:ser>
        <c:ser>
          <c:idx val="5"/>
          <c:order val="5"/>
          <c:tx>
            <c:strRef>
              <c:f>Androstenedione!$AE$10</c:f>
              <c:strCache>
                <c:ptCount val="1"/>
                <c:pt idx="0">
                  <c:v>-3SD LCL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FF0000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9-6702-48EC-8430-E699F2D1E9D6}"/>
              </c:ext>
            </c:extLst>
          </c:dPt>
          <c:xVal>
            <c:numRef>
              <c:f>(Androstenedione!$R$4,Androstenedione!$T$4)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(Androstenedione!$AE$11,Androstenedione!$AE$11)</c:f>
              <c:numCache>
                <c:formatCode>0.00</c:formatCode>
                <c:ptCount val="2"/>
                <c:pt idx="0">
                  <c:v>1.1060938066639894</c:v>
                </c:pt>
                <c:pt idx="1">
                  <c:v>1.1060938066639894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5BD0-4726-96C7-5F9A6C498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catAx>
        <c:axId val="1414825479"/>
        <c:scaling>
          <c:orientation val="minMax"/>
        </c:scaling>
        <c:delete val="0"/>
        <c:axPos val="b"/>
        <c:numFmt formatCode="[$-409]d/mmm/yy;@" sourceLinked="0"/>
        <c:majorTickMark val="out"/>
        <c:minorTickMark val="out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664720785"/>
        <c:crosses val="autoZero"/>
        <c:auto val="0"/>
        <c:lblAlgn val="ctr"/>
        <c:lblOffset val="100"/>
        <c:noMultiLvlLbl val="1"/>
      </c:catAx>
      <c:valAx>
        <c:axId val="1664720785"/>
        <c:scaling>
          <c:orientation val="minMax"/>
          <c:max val="3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200">
                    <a:solidFill>
                      <a:schemeClr val="accent6"/>
                    </a:solidFill>
                  </a:rPr>
                  <a:t>LQC [nmol/L]</a:t>
                </a:r>
              </a:p>
            </c:rich>
          </c:tx>
          <c:layout>
            <c:manualLayout>
              <c:xMode val="edge"/>
              <c:yMode val="edge"/>
              <c:x val="1.2907702223661067E-2"/>
              <c:y val="0.40450724699866752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/>
        </c:spPr>
        <c:crossAx val="1414825479"/>
        <c:crosses val="autoZero"/>
        <c:crossBetween val="between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</c:spPr>
      <c:txPr>
        <a:bodyPr anchor="ctr" anchorCtr="1"/>
        <a:lstStyle/>
        <a:p>
          <a:pPr rtl="0">
            <a:defRPr sz="1200"/>
          </a:pPr>
          <a:endParaRPr lang="en-US"/>
        </a:p>
      </c:txPr>
    </c:legend>
    <c:plotVisOnly val="1"/>
    <c:dispBlanksAs val="span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noFill/>
    </a:ln>
  </c:spPr>
  <c:txPr>
    <a:bodyPr/>
    <a:lstStyle/>
    <a:p>
      <a:pPr>
        <a:defRPr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SG">
                <a:solidFill>
                  <a:sysClr val="windowText" lastClr="000000"/>
                </a:solidFill>
              </a:rPr>
              <a:t>ACCURACY</a:t>
            </a:r>
          </a:p>
        </c:rich>
      </c:tx>
      <c:overlay val="0"/>
      <c:spPr>
        <a:noFill/>
      </c:spPr>
    </c:title>
    <c:autoTitleDeleted val="0"/>
    <c:plotArea>
      <c:layout>
        <c:manualLayout>
          <c:layoutTarget val="inner"/>
          <c:xMode val="edge"/>
          <c:yMode val="edge"/>
          <c:x val="9.7388134921387773E-2"/>
          <c:y val="0.12595373243973218"/>
          <c:w val="0.85499174011352508"/>
          <c:h val="0.6503580352696221"/>
        </c:manualLayout>
      </c:layout>
      <c:lineChart>
        <c:grouping val="standard"/>
        <c:varyColors val="1"/>
        <c:ser>
          <c:idx val="4"/>
          <c:order val="4"/>
          <c:tx>
            <c:v>date</c:v>
          </c:tx>
          <c:marker>
            <c:symbol val="none"/>
          </c:marker>
          <c:cat>
            <c:numRef>
              <c:f>Androstenedione!$R$14:$R$51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</c:numCache>
            </c:numRef>
          </c:cat>
          <c:val>
            <c:numRef>
              <c:f>Androstenedione!$R$14:$R$51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3D-4412-9F88-08A93A5A1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4825479"/>
        <c:axId val="1664720785"/>
      </c:lineChart>
      <c:scatterChart>
        <c:scatterStyle val="lineMarker"/>
        <c:varyColors val="1"/>
        <c:ser>
          <c:idx val="1"/>
          <c:order val="0"/>
          <c:tx>
            <c:v>LQC Acc</c:v>
          </c:tx>
          <c:spPr>
            <a:ln>
              <a:solidFill>
                <a:schemeClr val="accent6">
                  <a:lumMod val="50000"/>
                </a:schemeClr>
              </a:solidFill>
            </a:ln>
          </c:spPr>
          <c:marker>
            <c:symbol val="circle"/>
            <c:size val="10"/>
            <c:spPr>
              <a:solidFill>
                <a:schemeClr val="accent6"/>
              </a:solidFill>
              <a:ln>
                <a:solidFill>
                  <a:schemeClr val="accent6"/>
                </a:solidFill>
              </a:ln>
            </c:spPr>
          </c:marker>
          <c:xVal>
            <c:numRef>
              <c:f>Androstenedione!$P$14:$P$51</c:f>
              <c:numCache>
                <c:formatCode>0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xVal>
          <c:yVal>
            <c:numRef>
              <c:f>Androstenedione!$AH$14:$AH$268</c:f>
              <c:numCache>
                <c:formatCode>0.0%</c:formatCode>
                <c:ptCount val="255"/>
                <c:pt idx="0">
                  <c:v>1.1476793248945147</c:v>
                </c:pt>
                <c:pt idx="1">
                  <c:v>0.98613622664255562</c:v>
                </c:pt>
                <c:pt idx="2">
                  <c:v>1.0409885473176612</c:v>
                </c:pt>
                <c:pt idx="3">
                  <c:v>1.2127787823990355</c:v>
                </c:pt>
                <c:pt idx="4">
                  <c:v>1.0572634116937913</c:v>
                </c:pt>
                <c:pt idx="5">
                  <c:v>0.84870403857745624</c:v>
                </c:pt>
                <c:pt idx="6">
                  <c:v>0.79686558167570831</c:v>
                </c:pt>
                <c:pt idx="7">
                  <c:v>0.93128390596745025</c:v>
                </c:pt>
                <c:pt idx="8">
                  <c:v>0.94816154309825196</c:v>
                </c:pt>
                <c:pt idx="9">
                  <c:v>0.94755877034358049</c:v>
                </c:pt>
                <c:pt idx="10">
                  <c:v>1.0687160940325497</c:v>
                </c:pt>
                <c:pt idx="11">
                  <c:v>1.0994575045207957</c:v>
                </c:pt>
                <c:pt idx="12">
                  <c:v>1.11332127787824</c:v>
                </c:pt>
                <c:pt idx="13">
                  <c:v>1.2236286919831223</c:v>
                </c:pt>
                <c:pt idx="14">
                  <c:v>1.0319469559975889</c:v>
                </c:pt>
                <c:pt idx="15">
                  <c:v>1.0114526823387582</c:v>
                </c:pt>
                <c:pt idx="16">
                  <c:v>0.97769740807715499</c:v>
                </c:pt>
                <c:pt idx="17">
                  <c:v>1.0747438215792646</c:v>
                </c:pt>
                <c:pt idx="18">
                  <c:v>0.89813140446051831</c:v>
                </c:pt>
                <c:pt idx="19">
                  <c:v>0.97468354430379744</c:v>
                </c:pt>
                <c:pt idx="20">
                  <c:v>0.93582179409993982</c:v>
                </c:pt>
                <c:pt idx="21">
                  <c:v>0.867730282962071</c:v>
                </c:pt>
                <c:pt idx="22">
                  <c:v>0.95003010234798313</c:v>
                </c:pt>
                <c:pt idx="23">
                  <c:v>0.88440698374473214</c:v>
                </c:pt>
                <c:pt idx="24">
                  <c:v>0.9939795304033715</c:v>
                </c:pt>
                <c:pt idx="25">
                  <c:v>0.88657435279951824</c:v>
                </c:pt>
                <c:pt idx="26">
                  <c:v>1.0331125827814569</c:v>
                </c:pt>
                <c:pt idx="27">
                  <c:v>1.1450933172787476</c:v>
                </c:pt>
                <c:pt idx="28">
                  <c:v>0.95123419626730887</c:v>
                </c:pt>
                <c:pt idx="29">
                  <c:v>0.96748946417820592</c:v>
                </c:pt>
                <c:pt idx="30">
                  <c:v>1.1077664057796508</c:v>
                </c:pt>
                <c:pt idx="31">
                  <c:v>0.97531607465382308</c:v>
                </c:pt>
                <c:pt idx="32">
                  <c:v>1.0078266104756171</c:v>
                </c:pt>
                <c:pt idx="33">
                  <c:v>0.90186634557495482</c:v>
                </c:pt>
                <c:pt idx="34">
                  <c:v>1.0445514750150513</c:v>
                </c:pt>
                <c:pt idx="35">
                  <c:v>0.94581577363034308</c:v>
                </c:pt>
                <c:pt idx="36">
                  <c:v>1.1920529801324502</c:v>
                </c:pt>
                <c:pt idx="37">
                  <c:v>0.92414208308248036</c:v>
                </c:pt>
                <c:pt idx="38">
                  <c:v>0.70198675496688734</c:v>
                </c:pt>
                <c:pt idx="39">
                  <c:v>1.0788681517158338</c:v>
                </c:pt>
                <c:pt idx="40">
                  <c:v>0.91691751956652612</c:v>
                </c:pt>
                <c:pt idx="41">
                  <c:v>1.1131848284166164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3D-4412-9F88-08A93A5A19A9}"/>
            </c:ext>
          </c:extLst>
        </c:ser>
        <c:ser>
          <c:idx val="0"/>
          <c:order val="1"/>
          <c:tx>
            <c:v>HQC Acc.</c:v>
          </c:tx>
          <c:spPr>
            <a:ln>
              <a:solidFill>
                <a:schemeClr val="accent2">
                  <a:lumMod val="50000"/>
                </a:schemeClr>
              </a:solidFill>
            </a:ln>
          </c:spPr>
          <c:marker>
            <c:symbol val="circle"/>
            <c:size val="10"/>
            <c:spPr>
              <a:solidFill>
                <a:srgbClr val="FFC000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Androstenedione!$P$14:$P$51</c:f>
              <c:numCache>
                <c:formatCode>0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xVal>
          <c:yVal>
            <c:numRef>
              <c:f>Androstenedione!$Z$14:$Z$268</c:f>
              <c:numCache>
                <c:formatCode>0.0%</c:formatCode>
                <c:ptCount val="255"/>
                <c:pt idx="0">
                  <c:v>1.1428812415654521</c:v>
                </c:pt>
                <c:pt idx="1">
                  <c:v>1.0786099865047234</c:v>
                </c:pt>
                <c:pt idx="2">
                  <c:v>0.96157219973009445</c:v>
                </c:pt>
                <c:pt idx="3">
                  <c:v>1.0897098515519568</c:v>
                </c:pt>
                <c:pt idx="4">
                  <c:v>1.1475371120107962</c:v>
                </c:pt>
                <c:pt idx="5">
                  <c:v>1.173987854251012</c:v>
                </c:pt>
                <c:pt idx="6">
                  <c:v>1.0329284750337382</c:v>
                </c:pt>
                <c:pt idx="7">
                  <c:v>1.0470985155195682</c:v>
                </c:pt>
                <c:pt idx="8">
                  <c:v>1.0080971659919027</c:v>
                </c:pt>
                <c:pt idx="9">
                  <c:v>1.0097165991902834</c:v>
                </c:pt>
                <c:pt idx="10">
                  <c:v>1.1711201079622133</c:v>
                </c:pt>
                <c:pt idx="11">
                  <c:v>0.97321187584345481</c:v>
                </c:pt>
                <c:pt idx="12">
                  <c:v>1.0048920377867747</c:v>
                </c:pt>
                <c:pt idx="13">
                  <c:v>0.9857624831309042</c:v>
                </c:pt>
                <c:pt idx="14">
                  <c:v>0.92324561403508765</c:v>
                </c:pt>
                <c:pt idx="15">
                  <c:v>1.0100539811066127</c:v>
                </c:pt>
                <c:pt idx="16">
                  <c:v>1.079251012145749</c:v>
                </c:pt>
                <c:pt idx="17">
                  <c:v>0.99328609986504723</c:v>
                </c:pt>
                <c:pt idx="18">
                  <c:v>1.0378879892037787</c:v>
                </c:pt>
                <c:pt idx="19">
                  <c:v>0.90792847503373819</c:v>
                </c:pt>
                <c:pt idx="20">
                  <c:v>0.96824183460736613</c:v>
                </c:pt>
                <c:pt idx="21">
                  <c:v>0.93280055594162614</c:v>
                </c:pt>
                <c:pt idx="22">
                  <c:v>0.96685198054204302</c:v>
                </c:pt>
                <c:pt idx="23">
                  <c:v>1.040271021542738</c:v>
                </c:pt>
                <c:pt idx="24">
                  <c:v>0.85429812369701175</c:v>
                </c:pt>
                <c:pt idx="25">
                  <c:v>0.77997915218902014</c:v>
                </c:pt>
                <c:pt idx="26">
                  <c:v>0.91886726893676163</c:v>
                </c:pt>
                <c:pt idx="27">
                  <c:v>1.0380472550382209</c:v>
                </c:pt>
                <c:pt idx="28">
                  <c:v>1.0032661570535093</c:v>
                </c:pt>
                <c:pt idx="29">
                  <c:v>1.0790479499652537</c:v>
                </c:pt>
                <c:pt idx="30">
                  <c:v>1.0135510771369007</c:v>
                </c:pt>
                <c:pt idx="31">
                  <c:v>0.99127866574009726</c:v>
                </c:pt>
                <c:pt idx="32">
                  <c:v>1.0140375260597638</c:v>
                </c:pt>
                <c:pt idx="33">
                  <c:v>0.97564280750521193</c:v>
                </c:pt>
                <c:pt idx="34">
                  <c:v>1.1496525364836694</c:v>
                </c:pt>
                <c:pt idx="35">
                  <c:v>1.0579221681723419</c:v>
                </c:pt>
                <c:pt idx="36">
                  <c:v>0.86414176511466301</c:v>
                </c:pt>
                <c:pt idx="37">
                  <c:v>1.1423558026407228</c:v>
                </c:pt>
                <c:pt idx="38">
                  <c:v>1.0525017373175816</c:v>
                </c:pt>
                <c:pt idx="39">
                  <c:v>1.1151494093120222</c:v>
                </c:pt>
                <c:pt idx="40">
                  <c:v>1.0449617790132035</c:v>
                </c:pt>
                <c:pt idx="41">
                  <c:v>0.97703266157053503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3D-4412-9F88-08A93A5A19A9}"/>
            </c:ext>
          </c:extLst>
        </c:ser>
        <c:ser>
          <c:idx val="5"/>
          <c:order val="2"/>
          <c:tx>
            <c:v>UCL</c:v>
          </c:tx>
          <c:spPr>
            <a:ln>
              <a:prstDash val="dash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C00000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1-E05F-4C5B-AF94-BF3E8D2F3A6D}"/>
              </c:ext>
            </c:extLst>
          </c:dPt>
          <c:xVal>
            <c:numRef>
              <c:f>(Androstenedione!$R$4,Androstenedione!$T$4)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(Androstenedione!$Q$11,Androstenedione!$Q$11)</c:f>
              <c:numCache>
                <c:formatCode>0%</c:formatCode>
                <c:ptCount val="2"/>
                <c:pt idx="0">
                  <c:v>1.1499999999999999</c:v>
                </c:pt>
                <c:pt idx="1">
                  <c:v>1.1499999999999999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43D-4412-9F88-08A93A5A19A9}"/>
            </c:ext>
          </c:extLst>
        </c:ser>
        <c:ser>
          <c:idx val="6"/>
          <c:order val="3"/>
          <c:tx>
            <c:v>LCL</c:v>
          </c:tx>
          <c:spPr>
            <a:ln w="25400"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chemeClr val="accent6">
                    <a:lumMod val="75000"/>
                  </a:scheme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3-E05F-4C5B-AF94-BF3E8D2F3A6D}"/>
              </c:ext>
            </c:extLst>
          </c:dPt>
          <c:xVal>
            <c:numRef>
              <c:f>(Androstenedione!$R$4,Androstenedione!$T$4)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(Androstenedione!$R$11,Androstenedione!$R$11)</c:f>
              <c:numCache>
                <c:formatCode>0%</c:formatCode>
                <c:ptCount val="2"/>
                <c:pt idx="0">
                  <c:v>0.8</c:v>
                </c:pt>
                <c:pt idx="1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43D-4412-9F88-08A93A5A1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catAx>
        <c:axId val="1414825479"/>
        <c:scaling>
          <c:orientation val="minMax"/>
        </c:scaling>
        <c:delete val="0"/>
        <c:axPos val="b"/>
        <c:numFmt formatCode="[$-409]d/mmm/yy;@" sourceLinked="0"/>
        <c:majorTickMark val="out"/>
        <c:minorTickMark val="out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664720785"/>
        <c:crosses val="autoZero"/>
        <c:auto val="0"/>
        <c:lblAlgn val="ctr"/>
        <c:lblOffset val="100"/>
        <c:noMultiLvlLbl val="1"/>
      </c:catAx>
      <c:valAx>
        <c:axId val="1664720785"/>
        <c:scaling>
          <c:orientation val="minMax"/>
          <c:max val="1.8"/>
          <c:min val="0.4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ACCURACY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/>
            </a:pPr>
            <a:endParaRPr lang="en-US"/>
          </a:p>
        </c:txPr>
        <c:crossAx val="1414825479"/>
        <c:crosses val="autoZero"/>
        <c:crossBetween val="between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</c:spPr>
      <c:txPr>
        <a:bodyPr anchor="ctr" anchorCtr="1"/>
        <a:lstStyle/>
        <a:p>
          <a:pPr rtl="0">
            <a:defRPr sz="1400" b="0"/>
          </a:pPr>
          <a:endParaRPr lang="en-US"/>
        </a:p>
      </c:txPr>
    </c:legend>
    <c:plotVisOnly val="1"/>
    <c:dispBlanksAs val="span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noFill/>
    </a:ln>
  </c:spPr>
  <c:txPr>
    <a:bodyPr/>
    <a:lstStyle/>
    <a:p>
      <a:pPr>
        <a:defRPr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SG">
                <a:solidFill>
                  <a:schemeClr val="accent2"/>
                </a:solidFill>
              </a:rPr>
              <a:t>HQC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041856212537431E-2"/>
          <c:y val="0.13692552474352129"/>
          <c:w val="0.85499174011352508"/>
          <c:h val="0.6503580352696221"/>
        </c:manualLayout>
      </c:layout>
      <c:lineChart>
        <c:grouping val="standard"/>
        <c:varyColors val="1"/>
        <c:ser>
          <c:idx val="4"/>
          <c:order val="6"/>
          <c:tx>
            <c:v>date</c:v>
          </c:tx>
          <c:marker>
            <c:symbol val="none"/>
          </c:marker>
          <c:cat>
            <c:numRef>
              <c:f>Corticosterone!$R$14:$R$55</c:f>
              <c:numCache>
                <c:formatCode>yyyy/mm/dd;@</c:formatCode>
                <c:ptCount val="42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  <c:pt idx="38">
                  <c:v>46044</c:v>
                </c:pt>
                <c:pt idx="39">
                  <c:v>46048</c:v>
                </c:pt>
                <c:pt idx="40">
                  <c:v>46048</c:v>
                </c:pt>
                <c:pt idx="41">
                  <c:v>46065</c:v>
                </c:pt>
              </c:numCache>
            </c:numRef>
          </c:cat>
          <c:val>
            <c:numRef>
              <c:f>Corticosterone!$R$14:$R$51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D1-4DF5-8FAC-777B00943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4825479"/>
        <c:axId val="1664720785"/>
      </c:lineChart>
      <c:scatterChart>
        <c:scatterStyle val="smoothMarker"/>
        <c:varyColors val="1"/>
        <c:ser>
          <c:idx val="3"/>
          <c:order val="1"/>
          <c:tx>
            <c:strRef>
              <c:f>Corticosterone!$Z$10</c:f>
              <c:strCache>
                <c:ptCount val="1"/>
                <c:pt idx="0">
                  <c:v>+3SD UCL</c:v>
                </c:pt>
              </c:strCache>
            </c:strRef>
          </c:tx>
          <c:spPr>
            <a:ln>
              <a:solidFill>
                <a:srgbClr val="C00000"/>
              </a:solidFill>
              <a:prstDash val="solid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C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B57-47A3-9797-A067ED5F522D}"/>
              </c:ext>
            </c:extLst>
          </c:dPt>
          <c:xVal>
            <c:numRef>
              <c:f>(Corticosterone!$R$4,Corticosterone!$T$4)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(Corticosterone!$Z$11,Corticosterone!$Z$11)</c:f>
              <c:numCache>
                <c:formatCode>0.00</c:formatCode>
                <c:ptCount val="2"/>
                <c:pt idx="0">
                  <c:v>103.23489254048897</c:v>
                </c:pt>
                <c:pt idx="1">
                  <c:v>103.23489254048897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DD1-4DF5-8FAC-777B009430F4}"/>
            </c:ext>
          </c:extLst>
        </c:ser>
        <c:ser>
          <c:idx val="1"/>
          <c:order val="5"/>
          <c:tx>
            <c:strRef>
              <c:f>Corticosterone!$W$10</c:f>
              <c:strCache>
                <c:ptCount val="1"/>
                <c:pt idx="0">
                  <c:v>-3SD LCL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00B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5B57-47A3-9797-A067ED5F522D}"/>
              </c:ext>
            </c:extLst>
          </c:dPt>
          <c:xVal>
            <c:numRef>
              <c:f>(Corticosterone!$R$4,Corticosterone!$T$4)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(Corticosterone!$W$11,Corticosterone!$W$11)</c:f>
              <c:numCache>
                <c:formatCode>0.00</c:formatCode>
                <c:ptCount val="2"/>
                <c:pt idx="0">
                  <c:v>51.913988411891999</c:v>
                </c:pt>
                <c:pt idx="1">
                  <c:v>51.913988411891999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DD1-4DF5-8FAC-777B00943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scatterChart>
        <c:scatterStyle val="lineMarker"/>
        <c:varyColors val="1"/>
        <c:ser>
          <c:idx val="0"/>
          <c:order val="0"/>
          <c:tx>
            <c:v>HQC</c:v>
          </c:tx>
          <c:marker>
            <c:symbol val="circle"/>
            <c:size val="10"/>
            <c:spPr>
              <a:solidFill>
                <a:schemeClr val="tx1">
                  <a:lumMod val="50000"/>
                  <a:lumOff val="50000"/>
                </a:schemeClr>
              </a:solidFill>
              <a:ln cmpd="sng">
                <a:solidFill>
                  <a:schemeClr val="tx1"/>
                </a:solidFill>
              </a:ln>
            </c:spPr>
          </c:marker>
          <c:xVal>
            <c:strRef>
              <c:f>Corticosterone!$P$14:$P$268</c:f>
              <c:strCach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strCache>
            </c:strRef>
          </c:xVal>
          <c:yVal>
            <c:numRef>
              <c:f>Corticosterone!$U$14:$U$268</c:f>
              <c:numCache>
                <c:formatCode>0.000</c:formatCode>
                <c:ptCount val="255"/>
                <c:pt idx="0">
                  <c:v>67.978999999999999</c:v>
                </c:pt>
                <c:pt idx="1">
                  <c:v>67.108999999999995</c:v>
                </c:pt>
                <c:pt idx="2">
                  <c:v>65.004000000000005</c:v>
                </c:pt>
                <c:pt idx="3">
                  <c:v>80.521000000000001</c:v>
                </c:pt>
                <c:pt idx="4">
                  <c:v>70.67</c:v>
                </c:pt>
                <c:pt idx="5">
                  <c:v>69.665999999999997</c:v>
                </c:pt>
                <c:pt idx="6">
                  <c:v>79.846000000000004</c:v>
                </c:pt>
                <c:pt idx="7">
                  <c:v>64.337999999999994</c:v>
                </c:pt>
                <c:pt idx="8">
                  <c:v>70.763999999999996</c:v>
                </c:pt>
                <c:pt idx="9">
                  <c:v>77.158000000000001</c:v>
                </c:pt>
                <c:pt idx="10">
                  <c:v>95.944999999999993</c:v>
                </c:pt>
                <c:pt idx="11">
                  <c:v>71.128</c:v>
                </c:pt>
                <c:pt idx="12">
                  <c:v>86.948999999999998</c:v>
                </c:pt>
                <c:pt idx="13">
                  <c:v>70.932000000000002</c:v>
                </c:pt>
                <c:pt idx="14">
                  <c:v>64.430999999999997</c:v>
                </c:pt>
                <c:pt idx="15">
                  <c:v>95.957999999999998</c:v>
                </c:pt>
                <c:pt idx="16">
                  <c:v>89.893000000000001</c:v>
                </c:pt>
                <c:pt idx="17">
                  <c:v>86.727999999999994</c:v>
                </c:pt>
                <c:pt idx="18">
                  <c:v>80.290000000000006</c:v>
                </c:pt>
                <c:pt idx="19">
                  <c:v>86.932000000000002</c:v>
                </c:pt>
                <c:pt idx="20">
                  <c:v>84.900999999999996</c:v>
                </c:pt>
                <c:pt idx="21">
                  <c:v>70.731999999999999</c:v>
                </c:pt>
                <c:pt idx="22">
                  <c:v>86.025000000000006</c:v>
                </c:pt>
                <c:pt idx="23">
                  <c:v>65.864000000000004</c:v>
                </c:pt>
                <c:pt idx="24">
                  <c:v>68.337999999999994</c:v>
                </c:pt>
                <c:pt idx="25">
                  <c:v>69.189499999999995</c:v>
                </c:pt>
                <c:pt idx="26">
                  <c:v>81.706999999999994</c:v>
                </c:pt>
                <c:pt idx="27">
                  <c:v>85.882999999999996</c:v>
                </c:pt>
                <c:pt idx="28">
                  <c:v>69.021000000000001</c:v>
                </c:pt>
                <c:pt idx="29">
                  <c:v>82.872</c:v>
                </c:pt>
                <c:pt idx="30">
                  <c:v>76.507999999999996</c:v>
                </c:pt>
                <c:pt idx="31">
                  <c:v>77.006</c:v>
                </c:pt>
                <c:pt idx="32">
                  <c:v>84.783000000000001</c:v>
                </c:pt>
                <c:pt idx="33">
                  <c:v>77.346000000000004</c:v>
                </c:pt>
                <c:pt idx="34">
                  <c:v>78.897000000000006</c:v>
                </c:pt>
                <c:pt idx="35">
                  <c:v>70.052000000000007</c:v>
                </c:pt>
                <c:pt idx="36">
                  <c:v>84.765000000000001</c:v>
                </c:pt>
                <c:pt idx="37">
                  <c:v>78.930999999999997</c:v>
                </c:pt>
                <c:pt idx="38">
                  <c:v>73.668000000000006</c:v>
                </c:pt>
                <c:pt idx="39">
                  <c:v>83.406999999999996</c:v>
                </c:pt>
                <c:pt idx="40">
                  <c:v>85.876000000000005</c:v>
                </c:pt>
                <c:pt idx="41">
                  <c:v>80.114000000000004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DD1-4DF5-8FAC-777B009430F4}"/>
            </c:ext>
          </c:extLst>
        </c:ser>
        <c:ser>
          <c:idx val="5"/>
          <c:order val="2"/>
          <c:tx>
            <c:strRef>
              <c:f>Corticosterone!$Y$10</c:f>
              <c:strCache>
                <c:ptCount val="1"/>
                <c:pt idx="0">
                  <c:v>+2SD UCL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FF0000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5-5B57-47A3-9797-A067ED5F522D}"/>
              </c:ext>
            </c:extLst>
          </c:dPt>
          <c:xVal>
            <c:numRef>
              <c:f>(Corticosterone!$R$4,Corticosterone!$T$4)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(Corticosterone!$Y$11,Corticosterone!$Y$11)</c:f>
              <c:numCache>
                <c:formatCode>0.00</c:formatCode>
                <c:ptCount val="2"/>
                <c:pt idx="0">
                  <c:v>94.681408519056149</c:v>
                </c:pt>
                <c:pt idx="1">
                  <c:v>94.681408519056149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DD1-4DF5-8FAC-777B009430F4}"/>
            </c:ext>
          </c:extLst>
        </c:ser>
        <c:ser>
          <c:idx val="2"/>
          <c:order val="3"/>
          <c:tx>
            <c:v>Mean</c:v>
          </c:tx>
          <c:spPr>
            <a:ln>
              <a:solidFill>
                <a:schemeClr val="accent1"/>
              </a:solidFill>
              <a:prstDash val="sysDash"/>
            </a:ln>
          </c:spPr>
          <c:dPt>
            <c:idx val="0"/>
            <c:marker>
              <c:symbol val="none"/>
            </c:marker>
            <c:bubble3D val="0"/>
            <c:spPr>
              <a:ln w="28575">
                <a:solidFill>
                  <a:schemeClr val="accent1"/>
                </a:solidFill>
                <a:prstDash val="sysDot"/>
              </a:ln>
            </c:spPr>
            <c:extLst>
              <c:ext xmlns:c16="http://schemas.microsoft.com/office/drawing/2014/chart" uri="{C3380CC4-5D6E-409C-BE32-E72D297353CC}">
                <c16:uniqueId val="{00000007-5B57-47A3-9797-A067ED5F522D}"/>
              </c:ext>
            </c:extLst>
          </c:dPt>
          <c:xVal>
            <c:numRef>
              <c:f>(Corticosterone!$R$4,Corticosterone!$T$4)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(Corticosterone!$U$11,Corticosterone!$U$11)</c:f>
              <c:numCache>
                <c:formatCode>0.00</c:formatCode>
                <c:ptCount val="2"/>
                <c:pt idx="0">
                  <c:v>77.574440476190489</c:v>
                </c:pt>
                <c:pt idx="1">
                  <c:v>77.574440476190489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8DD1-4DF5-8FAC-777B009430F4}"/>
            </c:ext>
          </c:extLst>
        </c:ser>
        <c:ser>
          <c:idx val="6"/>
          <c:order val="4"/>
          <c:tx>
            <c:strRef>
              <c:f>Corticosterone!$X$10</c:f>
              <c:strCache>
                <c:ptCount val="1"/>
                <c:pt idx="0">
                  <c:v>-2SD LCL</c:v>
                </c:pt>
              </c:strCache>
            </c:strRef>
          </c:tx>
          <c:spPr>
            <a:ln w="25400">
              <a:solidFill>
                <a:schemeClr val="accent6">
                  <a:lumMod val="60000"/>
                  <a:lumOff val="40000"/>
                </a:schemeClr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chemeClr val="accent6">
                    <a:lumMod val="60000"/>
                    <a:lumOff val="40000"/>
                  </a:scheme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9-5B57-47A3-9797-A067ED5F522D}"/>
              </c:ext>
            </c:extLst>
          </c:dPt>
          <c:xVal>
            <c:numRef>
              <c:f>(Corticosterone!$R$4,Corticosterone!$T$4)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(Corticosterone!$X$11,Corticosterone!$X$11)</c:f>
              <c:numCache>
                <c:formatCode>0.00</c:formatCode>
                <c:ptCount val="2"/>
                <c:pt idx="0">
                  <c:v>60.467472433324829</c:v>
                </c:pt>
                <c:pt idx="1">
                  <c:v>60.467472433324829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8DD1-4DF5-8FAC-777B00943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catAx>
        <c:axId val="1414825479"/>
        <c:scaling>
          <c:orientation val="minMax"/>
        </c:scaling>
        <c:delete val="0"/>
        <c:axPos val="b"/>
        <c:numFmt formatCode="[$-409]d/mmm/yy;@" sourceLinked="0"/>
        <c:majorTickMark val="out"/>
        <c:minorTickMark val="out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664720785"/>
        <c:crosses val="autoZero"/>
        <c:auto val="0"/>
        <c:lblAlgn val="ctr"/>
        <c:lblOffset val="100"/>
        <c:noMultiLvlLbl val="1"/>
      </c:catAx>
      <c:valAx>
        <c:axId val="1664720785"/>
        <c:scaling>
          <c:orientation val="minMax"/>
          <c:max val="12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HQC [nmol/L]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/>
        </c:spPr>
        <c:crossAx val="1414825479"/>
        <c:crosses val="autoZero"/>
        <c:crossBetween val="between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</c:spPr>
      <c:txPr>
        <a:bodyPr anchor="ctr" anchorCtr="1"/>
        <a:lstStyle/>
        <a:p>
          <a:pPr rtl="0">
            <a:defRPr sz="1200"/>
          </a:pPr>
          <a:endParaRPr lang="en-US"/>
        </a:p>
      </c:txPr>
    </c:legend>
    <c:plotVisOnly val="1"/>
    <c:dispBlanksAs val="span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noFill/>
    </a:ln>
  </c:spPr>
  <c:txPr>
    <a:bodyPr/>
    <a:lstStyle/>
    <a:p>
      <a:pPr>
        <a:defRPr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SG">
                <a:solidFill>
                  <a:schemeClr val="accent6"/>
                </a:solidFill>
              </a:rPr>
              <a:t>LQC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041856212537431E-2"/>
          <c:y val="0.13692552474352129"/>
          <c:w val="0.85499174011352508"/>
          <c:h val="0.6503580352696221"/>
        </c:manualLayout>
      </c:layout>
      <c:lineChart>
        <c:grouping val="standard"/>
        <c:varyColors val="1"/>
        <c:ser>
          <c:idx val="4"/>
          <c:order val="6"/>
          <c:tx>
            <c:v>date</c:v>
          </c:tx>
          <c:marker>
            <c:symbol val="none"/>
          </c:marker>
          <c:cat>
            <c:numRef>
              <c:f>Corticosterone!$R$14:$R$55</c:f>
              <c:numCache>
                <c:formatCode>yyyy/mm/dd;@</c:formatCode>
                <c:ptCount val="42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  <c:pt idx="38">
                  <c:v>46044</c:v>
                </c:pt>
                <c:pt idx="39">
                  <c:v>46048</c:v>
                </c:pt>
                <c:pt idx="40">
                  <c:v>46048</c:v>
                </c:pt>
                <c:pt idx="41">
                  <c:v>46065</c:v>
                </c:pt>
              </c:numCache>
            </c:numRef>
          </c:cat>
          <c:val>
            <c:numRef>
              <c:f>Corticosterone!$R$14:$R$51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3-4B2C-9DCE-9E2741104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4825479"/>
        <c:axId val="1664720785"/>
      </c:lineChart>
      <c:scatterChart>
        <c:scatterStyle val="smoothMarker"/>
        <c:varyColors val="1"/>
        <c:ser>
          <c:idx val="3"/>
          <c:order val="1"/>
          <c:tx>
            <c:strRef>
              <c:f>Corticosterone!$AH$10</c:f>
              <c:strCache>
                <c:ptCount val="1"/>
                <c:pt idx="0">
                  <c:v>+3SD UCL</c:v>
                </c:pt>
              </c:strCache>
            </c:strRef>
          </c:tx>
          <c:spPr>
            <a:ln>
              <a:solidFill>
                <a:srgbClr val="C00000"/>
              </a:solidFill>
              <a:prstDash val="solid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C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C8F-4418-ADC7-0ECE37050206}"/>
              </c:ext>
            </c:extLst>
          </c:dPt>
          <c:xVal>
            <c:numRef>
              <c:f>(Corticosterone!$R$4,Corticosterone!$T$4)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(Corticosterone!$AH$11,Corticosterone!$AH$11)</c:f>
              <c:numCache>
                <c:formatCode>0.00</c:formatCode>
                <c:ptCount val="2"/>
                <c:pt idx="0">
                  <c:v>5.2789718139611441</c:v>
                </c:pt>
                <c:pt idx="1">
                  <c:v>5.2789718139611441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8E3-4B2C-9DCE-9E274110479A}"/>
            </c:ext>
          </c:extLst>
        </c:ser>
        <c:ser>
          <c:idx val="1"/>
          <c:order val="2"/>
          <c:tx>
            <c:strRef>
              <c:f>Corticosterone!$AG$10</c:f>
              <c:strCache>
                <c:ptCount val="1"/>
                <c:pt idx="0">
                  <c:v>+2SD UCL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00B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8C8F-4418-ADC7-0ECE37050206}"/>
              </c:ext>
            </c:extLst>
          </c:dPt>
          <c:xVal>
            <c:numRef>
              <c:f>(Corticosterone!$R$4,Corticosterone!$T$4)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(Corticosterone!$AG$11,Corticosterone!$AG$11)</c:f>
              <c:numCache>
                <c:formatCode>0.00</c:formatCode>
                <c:ptCount val="2"/>
                <c:pt idx="0">
                  <c:v>4.8782597807360002</c:v>
                </c:pt>
                <c:pt idx="1">
                  <c:v>4.8782597807360002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8E3-4B2C-9DCE-9E2741104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scatterChart>
        <c:scatterStyle val="lineMarker"/>
        <c:varyColors val="1"/>
        <c:ser>
          <c:idx val="0"/>
          <c:order val="0"/>
          <c:tx>
            <c:v>LQC</c:v>
          </c:tx>
          <c:marker>
            <c:symbol val="circle"/>
            <c:size val="10"/>
            <c:spPr>
              <a:solidFill>
                <a:schemeClr val="tx1">
                  <a:lumMod val="50000"/>
                  <a:lumOff val="50000"/>
                </a:schemeClr>
              </a:solidFill>
              <a:ln cmpd="sng">
                <a:solidFill>
                  <a:schemeClr val="tx1"/>
                </a:solidFill>
              </a:ln>
            </c:spPr>
          </c:marker>
          <c:xVal>
            <c:numRef>
              <c:f>Corticosterone!$P$14:$P$55</c:f>
              <c:numCache>
                <c:formatCode>0</c:formatCod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numCache>
            </c:numRef>
          </c:xVal>
          <c:yVal>
            <c:numRef>
              <c:f>Corticosterone!$AC$14:$AC$268</c:f>
              <c:numCache>
                <c:formatCode>0.000</c:formatCode>
                <c:ptCount val="255"/>
                <c:pt idx="0">
                  <c:v>4.4960000000000004</c:v>
                </c:pt>
                <c:pt idx="1">
                  <c:v>4.5069999999999997</c:v>
                </c:pt>
                <c:pt idx="2">
                  <c:v>4.6790000000000003</c:v>
                </c:pt>
                <c:pt idx="3">
                  <c:v>4.4139999999999997</c:v>
                </c:pt>
                <c:pt idx="4">
                  <c:v>3.63</c:v>
                </c:pt>
                <c:pt idx="5">
                  <c:v>4.1079999999999997</c:v>
                </c:pt>
                <c:pt idx="6">
                  <c:v>3.7949999999999999</c:v>
                </c:pt>
                <c:pt idx="7">
                  <c:v>3.5960000000000001</c:v>
                </c:pt>
                <c:pt idx="8">
                  <c:v>4.0279999999999996</c:v>
                </c:pt>
                <c:pt idx="9">
                  <c:v>4.1829999999999998</c:v>
                </c:pt>
                <c:pt idx="10">
                  <c:v>3.97</c:v>
                </c:pt>
                <c:pt idx="11">
                  <c:v>4.117</c:v>
                </c:pt>
                <c:pt idx="12">
                  <c:v>4.2300000000000004</c:v>
                </c:pt>
                <c:pt idx="13">
                  <c:v>4.5250000000000004</c:v>
                </c:pt>
                <c:pt idx="14">
                  <c:v>4.4749999999999996</c:v>
                </c:pt>
                <c:pt idx="15">
                  <c:v>4.5270000000000001</c:v>
                </c:pt>
                <c:pt idx="16">
                  <c:v>3.669</c:v>
                </c:pt>
                <c:pt idx="17">
                  <c:v>3.3580000000000001</c:v>
                </c:pt>
                <c:pt idx="18">
                  <c:v>4.6879999999999997</c:v>
                </c:pt>
                <c:pt idx="19">
                  <c:v>4.0860000000000003</c:v>
                </c:pt>
                <c:pt idx="20">
                  <c:v>3.9369999999999998</c:v>
                </c:pt>
                <c:pt idx="21">
                  <c:v>3.5739999999999998</c:v>
                </c:pt>
                <c:pt idx="22">
                  <c:v>4.694</c:v>
                </c:pt>
                <c:pt idx="23">
                  <c:v>3.589</c:v>
                </c:pt>
                <c:pt idx="24">
                  <c:v>4.3860000000000001</c:v>
                </c:pt>
                <c:pt idx="25">
                  <c:v>3.4051</c:v>
                </c:pt>
                <c:pt idx="26">
                  <c:v>3.8530000000000002</c:v>
                </c:pt>
                <c:pt idx="27">
                  <c:v>3.7709999999999999</c:v>
                </c:pt>
                <c:pt idx="28">
                  <c:v>3.4260000000000002</c:v>
                </c:pt>
                <c:pt idx="29">
                  <c:v>4.7910000000000004</c:v>
                </c:pt>
                <c:pt idx="30">
                  <c:v>3.9249999999999998</c:v>
                </c:pt>
                <c:pt idx="31">
                  <c:v>4.2130000000000001</c:v>
                </c:pt>
                <c:pt idx="32">
                  <c:v>3.4969999999999999</c:v>
                </c:pt>
                <c:pt idx="33">
                  <c:v>3.819</c:v>
                </c:pt>
                <c:pt idx="34">
                  <c:v>3.8969999999999998</c:v>
                </c:pt>
                <c:pt idx="35">
                  <c:v>4.4269999999999996</c:v>
                </c:pt>
                <c:pt idx="36">
                  <c:v>3.9980000000000002</c:v>
                </c:pt>
                <c:pt idx="37">
                  <c:v>4.101</c:v>
                </c:pt>
                <c:pt idx="38">
                  <c:v>4.3879999999999999</c:v>
                </c:pt>
                <c:pt idx="39">
                  <c:v>4.4790000000000001</c:v>
                </c:pt>
                <c:pt idx="40">
                  <c:v>4.28</c:v>
                </c:pt>
                <c:pt idx="41">
                  <c:v>3.6960000000000002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8E3-4B2C-9DCE-9E274110479A}"/>
            </c:ext>
          </c:extLst>
        </c:ser>
        <c:ser>
          <c:idx val="2"/>
          <c:order val="3"/>
          <c:tx>
            <c:v>Mean</c:v>
          </c:tx>
          <c:spPr>
            <a:ln>
              <a:solidFill>
                <a:schemeClr val="accent1"/>
              </a:solidFill>
              <a:prstDash val="sysDash"/>
            </a:ln>
          </c:spPr>
          <c:dPt>
            <c:idx val="0"/>
            <c:marker>
              <c:symbol val="none"/>
            </c:marker>
            <c:bubble3D val="0"/>
            <c:spPr>
              <a:ln w="28575">
                <a:solidFill>
                  <a:schemeClr val="accent1"/>
                </a:solidFill>
                <a:prstDash val="sysDot"/>
              </a:ln>
            </c:spPr>
            <c:extLst>
              <c:ext xmlns:c16="http://schemas.microsoft.com/office/drawing/2014/chart" uri="{C3380CC4-5D6E-409C-BE32-E72D297353CC}">
                <c16:uniqueId val="{00000005-8C8F-4418-ADC7-0ECE37050206}"/>
              </c:ext>
            </c:extLst>
          </c:dPt>
          <c:xVal>
            <c:numRef>
              <c:f>(Corticosterone!$R$4,Corticosterone!$T$4)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(Corticosterone!$AC$11,Corticosterone!$AC$11)</c:f>
              <c:numCache>
                <c:formatCode>0.00</c:formatCode>
                <c:ptCount val="2"/>
                <c:pt idx="0">
                  <c:v>4.0768357142857132</c:v>
                </c:pt>
                <c:pt idx="1">
                  <c:v>4.0768357142857132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8E3-4B2C-9DCE-9E274110479A}"/>
            </c:ext>
          </c:extLst>
        </c:ser>
        <c:ser>
          <c:idx val="6"/>
          <c:order val="4"/>
          <c:tx>
            <c:strRef>
              <c:f>Corticosterone!$AF$10</c:f>
              <c:strCache>
                <c:ptCount val="1"/>
                <c:pt idx="0">
                  <c:v>-2SD LCL</c:v>
                </c:pt>
              </c:strCache>
            </c:strRef>
          </c:tx>
          <c:spPr>
            <a:ln w="25400">
              <a:solidFill>
                <a:schemeClr val="accent6">
                  <a:lumMod val="60000"/>
                  <a:lumOff val="40000"/>
                </a:schemeClr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chemeClr val="accent6">
                    <a:lumMod val="60000"/>
                    <a:lumOff val="40000"/>
                  </a:scheme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7-8C8F-4418-ADC7-0ECE37050206}"/>
              </c:ext>
            </c:extLst>
          </c:dPt>
          <c:xVal>
            <c:numRef>
              <c:f>(Corticosterone!$R$4,Corticosterone!$T$4)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(Corticosterone!$AF$11,Corticosterone!$AF$11)</c:f>
              <c:numCache>
                <c:formatCode>0.00</c:formatCode>
                <c:ptCount val="2"/>
                <c:pt idx="0">
                  <c:v>3.2754116478354263</c:v>
                </c:pt>
                <c:pt idx="1">
                  <c:v>3.2754116478354263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8E3-4B2C-9DCE-9E274110479A}"/>
            </c:ext>
          </c:extLst>
        </c:ser>
        <c:ser>
          <c:idx val="5"/>
          <c:order val="5"/>
          <c:tx>
            <c:strRef>
              <c:f>Corticosterone!$AE$10</c:f>
              <c:strCache>
                <c:ptCount val="1"/>
                <c:pt idx="0">
                  <c:v>-3SD LCL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FF0000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9-8C8F-4418-ADC7-0ECE37050206}"/>
              </c:ext>
            </c:extLst>
          </c:dPt>
          <c:xVal>
            <c:numRef>
              <c:f>(Corticosterone!$R$4,Corticosterone!$T$4)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(Corticosterone!$AE$11,Corticosterone!$AE$11)</c:f>
              <c:numCache>
                <c:formatCode>0.00</c:formatCode>
                <c:ptCount val="2"/>
                <c:pt idx="0">
                  <c:v>2.8746996146102823</c:v>
                </c:pt>
                <c:pt idx="1">
                  <c:v>2.8746996146102823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58E3-4B2C-9DCE-9E2741104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catAx>
        <c:axId val="1414825479"/>
        <c:scaling>
          <c:orientation val="minMax"/>
        </c:scaling>
        <c:delete val="0"/>
        <c:axPos val="b"/>
        <c:numFmt formatCode="[$-409]d/mmm/yy;@" sourceLinked="0"/>
        <c:majorTickMark val="out"/>
        <c:minorTickMark val="out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664720785"/>
        <c:crosses val="autoZero"/>
        <c:auto val="0"/>
        <c:lblAlgn val="ctr"/>
        <c:lblOffset val="100"/>
        <c:noMultiLvlLbl val="1"/>
      </c:catAx>
      <c:valAx>
        <c:axId val="1664720785"/>
        <c:scaling>
          <c:orientation val="minMax"/>
          <c:max val="6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200">
                    <a:solidFill>
                      <a:schemeClr val="accent6"/>
                    </a:solidFill>
                  </a:rPr>
                  <a:t>LQC [nmol/L]</a:t>
                </a:r>
              </a:p>
            </c:rich>
          </c:tx>
          <c:layout>
            <c:manualLayout>
              <c:xMode val="edge"/>
              <c:yMode val="edge"/>
              <c:x val="1.2907702223661067E-2"/>
              <c:y val="0.40450724699866752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/>
        </c:spPr>
        <c:crossAx val="1414825479"/>
        <c:crosses val="autoZero"/>
        <c:crossBetween val="between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</c:spPr>
      <c:txPr>
        <a:bodyPr anchor="ctr" anchorCtr="1"/>
        <a:lstStyle/>
        <a:p>
          <a:pPr rtl="0">
            <a:defRPr sz="1200"/>
          </a:pPr>
          <a:endParaRPr lang="en-US"/>
        </a:p>
      </c:txPr>
    </c:legend>
    <c:plotVisOnly val="1"/>
    <c:dispBlanksAs val="span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noFill/>
    </a:ln>
  </c:spPr>
  <c:txPr>
    <a:bodyPr/>
    <a:lstStyle/>
    <a:p>
      <a:pPr>
        <a:defRPr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SG">
                <a:solidFill>
                  <a:sysClr val="windowText" lastClr="000000"/>
                </a:solidFill>
              </a:rPr>
              <a:t>ACCURACY</a:t>
            </a:r>
          </a:p>
        </c:rich>
      </c:tx>
      <c:overlay val="0"/>
      <c:spPr>
        <a:noFill/>
      </c:spPr>
    </c:title>
    <c:autoTitleDeleted val="0"/>
    <c:plotArea>
      <c:layout>
        <c:manualLayout>
          <c:layoutTarget val="inner"/>
          <c:xMode val="edge"/>
          <c:yMode val="edge"/>
          <c:x val="9.7388134921387773E-2"/>
          <c:y val="0.12595373243973218"/>
          <c:w val="0.85499174011352508"/>
          <c:h val="0.6503580352696221"/>
        </c:manualLayout>
      </c:layout>
      <c:lineChart>
        <c:grouping val="standard"/>
        <c:varyColors val="1"/>
        <c:ser>
          <c:idx val="4"/>
          <c:order val="4"/>
          <c:tx>
            <c:v>date</c:v>
          </c:tx>
          <c:marker>
            <c:symbol val="none"/>
          </c:marker>
          <c:cat>
            <c:numRef>
              <c:f>Corticosterone!$R$14:$R$55</c:f>
              <c:numCache>
                <c:formatCode>yyyy/mm/dd;@</c:formatCode>
                <c:ptCount val="42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  <c:pt idx="38">
                  <c:v>46044</c:v>
                </c:pt>
                <c:pt idx="39">
                  <c:v>46048</c:v>
                </c:pt>
                <c:pt idx="40">
                  <c:v>46048</c:v>
                </c:pt>
                <c:pt idx="41">
                  <c:v>46065</c:v>
                </c:pt>
              </c:numCache>
            </c:numRef>
          </c:cat>
          <c:val>
            <c:numRef>
              <c:f>Corticosterone!$R$14:$R$51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39-46C4-9B0B-71F4CC3284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4825479"/>
        <c:axId val="1664720785"/>
      </c:lineChart>
      <c:scatterChart>
        <c:scatterStyle val="lineMarker"/>
        <c:varyColors val="1"/>
        <c:ser>
          <c:idx val="1"/>
          <c:order val="0"/>
          <c:tx>
            <c:v>LQC Acc</c:v>
          </c:tx>
          <c:spPr>
            <a:ln>
              <a:solidFill>
                <a:schemeClr val="accent6">
                  <a:lumMod val="50000"/>
                </a:schemeClr>
              </a:solidFill>
            </a:ln>
          </c:spPr>
          <c:marker>
            <c:symbol val="circle"/>
            <c:size val="10"/>
            <c:spPr>
              <a:solidFill>
                <a:schemeClr val="accent6"/>
              </a:solidFill>
              <a:ln>
                <a:solidFill>
                  <a:schemeClr val="accent6"/>
                </a:solidFill>
              </a:ln>
            </c:spPr>
          </c:marker>
          <c:xVal>
            <c:numRef>
              <c:f>Corticosterone!$P$14:$P$51</c:f>
              <c:numCache>
                <c:formatCode>0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xVal>
          <c:yVal>
            <c:numRef>
              <c:f>Corticosterone!$AH$14:$AH$268</c:f>
              <c:numCache>
                <c:formatCode>0.0%</c:formatCode>
                <c:ptCount val="255"/>
                <c:pt idx="0">
                  <c:v>1.0939172749391728</c:v>
                </c:pt>
                <c:pt idx="1">
                  <c:v>1.0965936739659365</c:v>
                </c:pt>
                <c:pt idx="2">
                  <c:v>1.1384428223844283</c:v>
                </c:pt>
                <c:pt idx="3">
                  <c:v>1.0739659367396592</c:v>
                </c:pt>
                <c:pt idx="4">
                  <c:v>0.88321167883211671</c:v>
                </c:pt>
                <c:pt idx="5">
                  <c:v>0.99951338199513362</c:v>
                </c:pt>
                <c:pt idx="6">
                  <c:v>0.92335766423357657</c:v>
                </c:pt>
                <c:pt idx="7">
                  <c:v>0.8749391727493917</c:v>
                </c:pt>
                <c:pt idx="8">
                  <c:v>0.98004866180048644</c:v>
                </c:pt>
                <c:pt idx="9">
                  <c:v>1.0177615571776155</c:v>
                </c:pt>
                <c:pt idx="10">
                  <c:v>0.96593673965936733</c:v>
                </c:pt>
                <c:pt idx="11">
                  <c:v>1.0017031630170317</c:v>
                </c:pt>
                <c:pt idx="12">
                  <c:v>1.0291970802919708</c:v>
                </c:pt>
                <c:pt idx="13">
                  <c:v>1.1009732360097324</c:v>
                </c:pt>
                <c:pt idx="14">
                  <c:v>1.0888077858880776</c:v>
                </c:pt>
                <c:pt idx="15">
                  <c:v>1.1014598540145986</c:v>
                </c:pt>
                <c:pt idx="16">
                  <c:v>0.89270072992700722</c:v>
                </c:pt>
                <c:pt idx="17">
                  <c:v>0.81703163017031621</c:v>
                </c:pt>
                <c:pt idx="18">
                  <c:v>1.1406326034063259</c:v>
                </c:pt>
                <c:pt idx="19">
                  <c:v>0.99416058394160578</c:v>
                </c:pt>
                <c:pt idx="20">
                  <c:v>0.96259168704156484</c:v>
                </c:pt>
                <c:pt idx="21">
                  <c:v>0.87383863080684598</c:v>
                </c:pt>
                <c:pt idx="22">
                  <c:v>1.1476772616136919</c:v>
                </c:pt>
                <c:pt idx="23">
                  <c:v>0.87750611246943766</c:v>
                </c:pt>
                <c:pt idx="24">
                  <c:v>1.0723716381418094</c:v>
                </c:pt>
                <c:pt idx="25">
                  <c:v>0.83254278728606357</c:v>
                </c:pt>
                <c:pt idx="26">
                  <c:v>0.94205378973105147</c:v>
                </c:pt>
                <c:pt idx="27">
                  <c:v>0.92200488997555008</c:v>
                </c:pt>
                <c:pt idx="28">
                  <c:v>0.83765281173594142</c:v>
                </c:pt>
                <c:pt idx="29">
                  <c:v>1.1713936430317851</c:v>
                </c:pt>
                <c:pt idx="30">
                  <c:v>0.95965770171149145</c:v>
                </c:pt>
                <c:pt idx="31">
                  <c:v>1.0300733496332519</c:v>
                </c:pt>
                <c:pt idx="32">
                  <c:v>0.8550122249388753</c:v>
                </c:pt>
                <c:pt idx="33">
                  <c:v>0.93374083129584351</c:v>
                </c:pt>
                <c:pt idx="34">
                  <c:v>0.95281173594132029</c:v>
                </c:pt>
                <c:pt idx="35">
                  <c:v>1.0823960880195598</c:v>
                </c:pt>
                <c:pt idx="36">
                  <c:v>0.97750611246943775</c:v>
                </c:pt>
                <c:pt idx="37">
                  <c:v>1.0026894865525673</c:v>
                </c:pt>
                <c:pt idx="38">
                  <c:v>1.0728606356968216</c:v>
                </c:pt>
                <c:pt idx="39">
                  <c:v>1.0951100244498777</c:v>
                </c:pt>
                <c:pt idx="40">
                  <c:v>1.0464547677261615</c:v>
                </c:pt>
                <c:pt idx="41">
                  <c:v>0.90366748166259181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39-46C4-9B0B-71F4CC3284D7}"/>
            </c:ext>
          </c:extLst>
        </c:ser>
        <c:ser>
          <c:idx val="0"/>
          <c:order val="1"/>
          <c:tx>
            <c:v>HQC Acc.</c:v>
          </c:tx>
          <c:spPr>
            <a:ln>
              <a:solidFill>
                <a:schemeClr val="accent2">
                  <a:lumMod val="50000"/>
                </a:schemeClr>
              </a:solidFill>
            </a:ln>
          </c:spPr>
          <c:marker>
            <c:symbol val="circle"/>
            <c:size val="10"/>
            <c:spPr>
              <a:solidFill>
                <a:srgbClr val="FFC000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Corticosterone!$P$14:$P$55</c:f>
              <c:numCache>
                <c:formatCode>0</c:formatCod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numCache>
            </c:numRef>
          </c:xVal>
          <c:yVal>
            <c:numRef>
              <c:f>Corticosterone!$Z$14:$Z$268</c:f>
              <c:numCache>
                <c:formatCode>0.0%</c:formatCode>
                <c:ptCount val="255"/>
                <c:pt idx="0">
                  <c:v>0.87714838709677423</c:v>
                </c:pt>
                <c:pt idx="1">
                  <c:v>0.86592258064516126</c:v>
                </c:pt>
                <c:pt idx="2">
                  <c:v>0.83876129032258073</c:v>
                </c:pt>
                <c:pt idx="3">
                  <c:v>1.0389806451612904</c:v>
                </c:pt>
                <c:pt idx="4">
                  <c:v>0.91187096774193555</c:v>
                </c:pt>
                <c:pt idx="5">
                  <c:v>0.89891612903225804</c:v>
                </c:pt>
                <c:pt idx="6">
                  <c:v>1.0302709677419355</c:v>
                </c:pt>
                <c:pt idx="7">
                  <c:v>0.83016774193548382</c:v>
                </c:pt>
                <c:pt idx="8">
                  <c:v>0.91308387096774191</c:v>
                </c:pt>
                <c:pt idx="9">
                  <c:v>0.99558709677419355</c:v>
                </c:pt>
                <c:pt idx="10">
                  <c:v>1.238</c:v>
                </c:pt>
                <c:pt idx="11">
                  <c:v>0.91778064516129032</c:v>
                </c:pt>
                <c:pt idx="12">
                  <c:v>1.1219225806451614</c:v>
                </c:pt>
                <c:pt idx="13">
                  <c:v>0.91525161290322588</c:v>
                </c:pt>
                <c:pt idx="14">
                  <c:v>0.83136774193548379</c:v>
                </c:pt>
                <c:pt idx="15">
                  <c:v>1.238167741935484</c:v>
                </c:pt>
                <c:pt idx="16">
                  <c:v>1.1599096774193549</c:v>
                </c:pt>
                <c:pt idx="17">
                  <c:v>1.1190709677419355</c:v>
                </c:pt>
                <c:pt idx="18">
                  <c:v>1.036</c:v>
                </c:pt>
                <c:pt idx="19">
                  <c:v>1.1217032258064517</c:v>
                </c:pt>
                <c:pt idx="20">
                  <c:v>1.085690537084399</c:v>
                </c:pt>
                <c:pt idx="21">
                  <c:v>0.90450127877237851</c:v>
                </c:pt>
                <c:pt idx="22">
                  <c:v>1.1000639386189259</c:v>
                </c:pt>
                <c:pt idx="23">
                  <c:v>0.84225063938618927</c:v>
                </c:pt>
                <c:pt idx="24">
                  <c:v>0.8738874680306904</c:v>
                </c:pt>
                <c:pt idx="25">
                  <c:v>0.88477621483375946</c:v>
                </c:pt>
                <c:pt idx="26">
                  <c:v>1.0448465473145778</c:v>
                </c:pt>
                <c:pt idx="27">
                  <c:v>1.0982480818414322</c:v>
                </c:pt>
                <c:pt idx="28">
                  <c:v>0.88262148337595903</c:v>
                </c:pt>
                <c:pt idx="29">
                  <c:v>1.0597442455242967</c:v>
                </c:pt>
                <c:pt idx="30">
                  <c:v>0.97836317135549866</c:v>
                </c:pt>
                <c:pt idx="31">
                  <c:v>0.98473145780051152</c:v>
                </c:pt>
                <c:pt idx="32">
                  <c:v>1.0841815856777492</c:v>
                </c:pt>
                <c:pt idx="33">
                  <c:v>0.98907928388746802</c:v>
                </c:pt>
                <c:pt idx="34">
                  <c:v>1.0089130434782609</c:v>
                </c:pt>
                <c:pt idx="35">
                  <c:v>0.89580562659846552</c:v>
                </c:pt>
                <c:pt idx="36">
                  <c:v>1.0839514066496163</c:v>
                </c:pt>
                <c:pt idx="37">
                  <c:v>1.0093478260869564</c:v>
                </c:pt>
                <c:pt idx="38">
                  <c:v>0.94204603580562662</c:v>
                </c:pt>
                <c:pt idx="39">
                  <c:v>1.0665856777493605</c:v>
                </c:pt>
                <c:pt idx="40">
                  <c:v>1.0981585677749361</c:v>
                </c:pt>
                <c:pt idx="41">
                  <c:v>1.0244757033248082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139-46C4-9B0B-71F4CC3284D7}"/>
            </c:ext>
          </c:extLst>
        </c:ser>
        <c:ser>
          <c:idx val="5"/>
          <c:order val="2"/>
          <c:tx>
            <c:v>UCL</c:v>
          </c:tx>
          <c:spPr>
            <a:ln>
              <a:prstDash val="dash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C00000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1-6B4B-4620-918C-4C38E78D727D}"/>
              </c:ext>
            </c:extLst>
          </c:dPt>
          <c:xVal>
            <c:numRef>
              <c:f>(Corticosterone!$R$4,Corticosterone!$T$4)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(Corticosterone!$Q$11,Corticosterone!$Q$11)</c:f>
              <c:numCache>
                <c:formatCode>0%</c:formatCode>
                <c:ptCount val="2"/>
                <c:pt idx="0">
                  <c:v>1.1499999999999999</c:v>
                </c:pt>
                <c:pt idx="1">
                  <c:v>1.1499999999999999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139-46C4-9B0B-71F4CC3284D7}"/>
            </c:ext>
          </c:extLst>
        </c:ser>
        <c:ser>
          <c:idx val="6"/>
          <c:order val="3"/>
          <c:tx>
            <c:v>LCL</c:v>
          </c:tx>
          <c:spPr>
            <a:ln w="25400"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chemeClr val="accent6">
                    <a:lumMod val="75000"/>
                  </a:scheme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3-6B4B-4620-918C-4C38E78D727D}"/>
              </c:ext>
            </c:extLst>
          </c:dPt>
          <c:xVal>
            <c:numRef>
              <c:f>(Corticosterone!$R$4,Corticosterone!$T$4)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(Corticosterone!$R$11,Corticosterone!$R$11)</c:f>
              <c:numCache>
                <c:formatCode>0%</c:formatCode>
                <c:ptCount val="2"/>
                <c:pt idx="0">
                  <c:v>0.8</c:v>
                </c:pt>
                <c:pt idx="1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139-46C4-9B0B-71F4CC3284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catAx>
        <c:axId val="1414825479"/>
        <c:scaling>
          <c:orientation val="minMax"/>
        </c:scaling>
        <c:delete val="0"/>
        <c:axPos val="b"/>
        <c:numFmt formatCode="[$-409]d/mmm/yy;@" sourceLinked="0"/>
        <c:majorTickMark val="out"/>
        <c:minorTickMark val="out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664720785"/>
        <c:crosses val="autoZero"/>
        <c:auto val="0"/>
        <c:lblAlgn val="ctr"/>
        <c:lblOffset val="100"/>
        <c:noMultiLvlLbl val="1"/>
      </c:catAx>
      <c:valAx>
        <c:axId val="1664720785"/>
        <c:scaling>
          <c:orientation val="minMax"/>
          <c:max val="1.8"/>
          <c:min val="0.4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ACCURACY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/>
            </a:pPr>
            <a:endParaRPr lang="en-US"/>
          </a:p>
        </c:txPr>
        <c:crossAx val="1414825479"/>
        <c:crosses val="autoZero"/>
        <c:crossBetween val="between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</c:spPr>
      <c:txPr>
        <a:bodyPr anchor="ctr" anchorCtr="1"/>
        <a:lstStyle/>
        <a:p>
          <a:pPr rtl="0">
            <a:defRPr sz="1400" b="0"/>
          </a:pPr>
          <a:endParaRPr lang="en-US"/>
        </a:p>
      </c:txPr>
    </c:legend>
    <c:plotVisOnly val="1"/>
    <c:dispBlanksAs val="span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noFill/>
    </a:ln>
  </c:spPr>
  <c:txPr>
    <a:bodyPr/>
    <a:lstStyle/>
    <a:p>
      <a:pPr>
        <a:defRPr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SG">
                <a:solidFill>
                  <a:schemeClr val="accent2"/>
                </a:solidFill>
              </a:rPr>
              <a:t>HQC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041856212537431E-2"/>
          <c:y val="0.13692552474352129"/>
          <c:w val="0.85499174011352508"/>
          <c:h val="0.6503580352696221"/>
        </c:manualLayout>
      </c:layout>
      <c:lineChart>
        <c:grouping val="standard"/>
        <c:varyColors val="1"/>
        <c:ser>
          <c:idx val="4"/>
          <c:order val="6"/>
          <c:tx>
            <c:v>date</c:v>
          </c:tx>
          <c:marker>
            <c:symbol val="none"/>
          </c:marker>
          <c:cat>
            <c:numRef>
              <c:f>Cortisol!DATE</c:f>
              <c:numCache>
                <c:formatCode>yyyy/mm/dd;@</c:formatCode>
                <c:ptCount val="42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  <c:pt idx="38">
                  <c:v>46044</c:v>
                </c:pt>
                <c:pt idx="39">
                  <c:v>46048</c:v>
                </c:pt>
                <c:pt idx="40">
                  <c:v>46048</c:v>
                </c:pt>
                <c:pt idx="41">
                  <c:v>46065</c:v>
                </c:pt>
              </c:numCache>
            </c:numRef>
          </c:cat>
          <c:val>
            <c:numRef>
              <c:f>Cortisol!DATE</c:f>
              <c:numCache>
                <c:formatCode>yyyy/mm/dd;@</c:formatCode>
                <c:ptCount val="42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  <c:pt idx="38">
                  <c:v>46044</c:v>
                </c:pt>
                <c:pt idx="39">
                  <c:v>46048</c:v>
                </c:pt>
                <c:pt idx="40">
                  <c:v>46048</c:v>
                </c:pt>
                <c:pt idx="41">
                  <c:v>46065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35-4B67-BE08-87A30B4350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4825479"/>
        <c:axId val="1664720785"/>
      </c:lineChart>
      <c:scatterChart>
        <c:scatterStyle val="smoothMarker"/>
        <c:varyColors val="1"/>
        <c:ser>
          <c:idx val="3"/>
          <c:order val="1"/>
          <c:tx>
            <c:strRef>
              <c:f>Cortisol!$Z$10</c:f>
              <c:strCache>
                <c:ptCount val="1"/>
                <c:pt idx="0">
                  <c:v>+3SD UCL</c:v>
                </c:pt>
              </c:strCache>
            </c:strRef>
          </c:tx>
          <c:spPr>
            <a:ln>
              <a:solidFill>
                <a:srgbClr val="C00000"/>
              </a:solidFill>
              <a:prstDash val="solid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C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559-40FC-B537-4E85FEC865D8}"/>
              </c:ext>
            </c:extLst>
          </c:dPt>
          <c:xVal>
            <c:numRef>
              <c:f>(Cortisol!$R$4,Cortisol!$T$4)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(Cortisol!$Z$11,Cortisol!$Z$11)</c:f>
              <c:numCache>
                <c:formatCode>0.00</c:formatCode>
                <c:ptCount val="2"/>
                <c:pt idx="0">
                  <c:v>666.86859340154979</c:v>
                </c:pt>
                <c:pt idx="1">
                  <c:v>666.86859340154979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A35-4B67-BE08-87A30B4350D1}"/>
            </c:ext>
          </c:extLst>
        </c:ser>
        <c:ser>
          <c:idx val="1"/>
          <c:order val="5"/>
          <c:tx>
            <c:strRef>
              <c:f>Cortisol!$W$10</c:f>
              <c:strCache>
                <c:ptCount val="1"/>
                <c:pt idx="0">
                  <c:v>-3SD LCL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00B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1559-40FC-B537-4E85FEC865D8}"/>
              </c:ext>
            </c:extLst>
          </c:dPt>
          <c:xVal>
            <c:numRef>
              <c:f>(Cortisol!$R$4,Cortisol!$T$4)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(Cortisol!$W$11,Cortisol!$W$11)</c:f>
              <c:numCache>
                <c:formatCode>0.00</c:formatCode>
                <c:ptCount val="2"/>
                <c:pt idx="0">
                  <c:v>334.89577802702166</c:v>
                </c:pt>
                <c:pt idx="1">
                  <c:v>334.89577802702166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A35-4B67-BE08-87A30B4350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scatterChart>
        <c:scatterStyle val="lineMarker"/>
        <c:varyColors val="1"/>
        <c:ser>
          <c:idx val="0"/>
          <c:order val="0"/>
          <c:tx>
            <c:v>HQC</c:v>
          </c:tx>
          <c:marker>
            <c:symbol val="circle"/>
            <c:size val="10"/>
            <c:spPr>
              <a:solidFill>
                <a:schemeClr val="tx1">
                  <a:lumMod val="50000"/>
                  <a:lumOff val="50000"/>
                </a:schemeClr>
              </a:solidFill>
              <a:ln cmpd="sng">
                <a:solidFill>
                  <a:schemeClr val="tx1"/>
                </a:solidFill>
              </a:ln>
            </c:spPr>
          </c:marker>
          <c:xVal>
            <c:strRef>
              <c:f>Cortisol!$P$14:$P$268</c:f>
              <c:strCach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strCache>
            </c:strRef>
          </c:xVal>
          <c:yVal>
            <c:numRef>
              <c:f>Cortisol!$U$14:$U$268</c:f>
              <c:numCache>
                <c:formatCode>0.000</c:formatCode>
                <c:ptCount val="255"/>
                <c:pt idx="0">
                  <c:v>513.73099999999999</c:v>
                </c:pt>
                <c:pt idx="1">
                  <c:v>412.50599999999997</c:v>
                </c:pt>
                <c:pt idx="2">
                  <c:v>507.21499999999997</c:v>
                </c:pt>
                <c:pt idx="3">
                  <c:v>436.60899999999998</c:v>
                </c:pt>
                <c:pt idx="4">
                  <c:v>407.95600000000002</c:v>
                </c:pt>
                <c:pt idx="5">
                  <c:v>559.48099999999999</c:v>
                </c:pt>
                <c:pt idx="6">
                  <c:v>547.86699999999996</c:v>
                </c:pt>
                <c:pt idx="7">
                  <c:v>475.38799999999998</c:v>
                </c:pt>
                <c:pt idx="8">
                  <c:v>493.24099999999999</c:v>
                </c:pt>
                <c:pt idx="9">
                  <c:v>430.83699999999999</c:v>
                </c:pt>
                <c:pt idx="10">
                  <c:v>525.83900000000006</c:v>
                </c:pt>
                <c:pt idx="11">
                  <c:v>542.79</c:v>
                </c:pt>
                <c:pt idx="12">
                  <c:v>574.19299999999998</c:v>
                </c:pt>
                <c:pt idx="13">
                  <c:v>546.64200000000005</c:v>
                </c:pt>
                <c:pt idx="14">
                  <c:v>507.411</c:v>
                </c:pt>
                <c:pt idx="15">
                  <c:v>493.714</c:v>
                </c:pt>
                <c:pt idx="16">
                  <c:v>461.452</c:v>
                </c:pt>
                <c:pt idx="17">
                  <c:v>549.15599999999995</c:v>
                </c:pt>
                <c:pt idx="18">
                  <c:v>554.245</c:v>
                </c:pt>
                <c:pt idx="19">
                  <c:v>496.58199999999999</c:v>
                </c:pt>
                <c:pt idx="20">
                  <c:v>510.50799999999998</c:v>
                </c:pt>
                <c:pt idx="21">
                  <c:v>421.71100000000001</c:v>
                </c:pt>
                <c:pt idx="22">
                  <c:v>396.03199999999998</c:v>
                </c:pt>
                <c:pt idx="23">
                  <c:v>372.01499999999999</c:v>
                </c:pt>
                <c:pt idx="24">
                  <c:v>429.90410000000003</c:v>
                </c:pt>
                <c:pt idx="25">
                  <c:v>483.5557</c:v>
                </c:pt>
                <c:pt idx="26">
                  <c:v>474.36</c:v>
                </c:pt>
                <c:pt idx="27">
                  <c:v>512.90800000000002</c:v>
                </c:pt>
                <c:pt idx="28">
                  <c:v>502.83199999999999</c:v>
                </c:pt>
                <c:pt idx="29">
                  <c:v>574.375</c:v>
                </c:pt>
                <c:pt idx="30">
                  <c:v>509.34899999999999</c:v>
                </c:pt>
                <c:pt idx="31">
                  <c:v>545.87099999999998</c:v>
                </c:pt>
                <c:pt idx="32">
                  <c:v>590.14599999999996</c:v>
                </c:pt>
                <c:pt idx="33">
                  <c:v>532.28499999999997</c:v>
                </c:pt>
                <c:pt idx="34">
                  <c:v>469.35700000000003</c:v>
                </c:pt>
                <c:pt idx="35">
                  <c:v>550.553</c:v>
                </c:pt>
                <c:pt idx="36">
                  <c:v>462.18</c:v>
                </c:pt>
                <c:pt idx="37">
                  <c:v>558.33699999999999</c:v>
                </c:pt>
                <c:pt idx="38">
                  <c:v>507.76499999999999</c:v>
                </c:pt>
                <c:pt idx="39">
                  <c:v>484.14699999999999</c:v>
                </c:pt>
                <c:pt idx="40">
                  <c:v>608.51800000000003</c:v>
                </c:pt>
                <c:pt idx="41">
                  <c:v>503.488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A35-4B67-BE08-87A30B4350D1}"/>
            </c:ext>
          </c:extLst>
        </c:ser>
        <c:ser>
          <c:idx val="5"/>
          <c:order val="2"/>
          <c:tx>
            <c:strRef>
              <c:f>Cortisol!$Y$10</c:f>
              <c:strCache>
                <c:ptCount val="1"/>
                <c:pt idx="0">
                  <c:v>+2SD UCL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FF0000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5-1559-40FC-B537-4E85FEC865D8}"/>
              </c:ext>
            </c:extLst>
          </c:dPt>
          <c:xVal>
            <c:numRef>
              <c:f>(Cortisol!$R$4,Cortisol!$T$4)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(Cortisol!$Y$11,Cortisol!$Y$11)</c:f>
              <c:numCache>
                <c:formatCode>0.00</c:formatCode>
                <c:ptCount val="2"/>
                <c:pt idx="0">
                  <c:v>611.5397908391285</c:v>
                </c:pt>
                <c:pt idx="1">
                  <c:v>611.5397908391285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AA-4BCD-A20E-BC2EB79190F4}"/>
            </c:ext>
          </c:extLst>
        </c:ser>
        <c:ser>
          <c:idx val="2"/>
          <c:order val="3"/>
          <c:tx>
            <c:v>Mean</c:v>
          </c:tx>
          <c:spPr>
            <a:ln>
              <a:solidFill>
                <a:schemeClr val="accent1"/>
              </a:solidFill>
              <a:prstDash val="sysDash"/>
            </a:ln>
          </c:spPr>
          <c:dPt>
            <c:idx val="0"/>
            <c:marker>
              <c:symbol val="none"/>
            </c:marker>
            <c:bubble3D val="0"/>
            <c:spPr>
              <a:ln w="28575">
                <a:solidFill>
                  <a:schemeClr val="accent1"/>
                </a:solidFill>
                <a:prstDash val="sysDot"/>
              </a:ln>
            </c:spPr>
            <c:extLst>
              <c:ext xmlns:c16="http://schemas.microsoft.com/office/drawing/2014/chart" uri="{C3380CC4-5D6E-409C-BE32-E72D297353CC}">
                <c16:uniqueId val="{00000007-1559-40FC-B537-4E85FEC865D8}"/>
              </c:ext>
            </c:extLst>
          </c:dPt>
          <c:xVal>
            <c:numRef>
              <c:f>(Cortisol!$R$4,Cortisol!$T$4)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(Cortisol!$U$11,Cortisol!$U$11)</c:f>
              <c:numCache>
                <c:formatCode>0.00</c:formatCode>
                <c:ptCount val="2"/>
                <c:pt idx="0">
                  <c:v>500.88218571428575</c:v>
                </c:pt>
                <c:pt idx="1">
                  <c:v>500.88218571428575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A35-4B67-BE08-87A30B4350D1}"/>
            </c:ext>
          </c:extLst>
        </c:ser>
        <c:ser>
          <c:idx val="6"/>
          <c:order val="4"/>
          <c:tx>
            <c:strRef>
              <c:f>Cortisol!$X$10</c:f>
              <c:strCache>
                <c:ptCount val="1"/>
                <c:pt idx="0">
                  <c:v>-2SD LCL</c:v>
                </c:pt>
              </c:strCache>
            </c:strRef>
          </c:tx>
          <c:spPr>
            <a:ln w="25400">
              <a:solidFill>
                <a:schemeClr val="accent6">
                  <a:lumMod val="60000"/>
                  <a:lumOff val="40000"/>
                </a:schemeClr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chemeClr val="accent6">
                    <a:lumMod val="60000"/>
                    <a:lumOff val="40000"/>
                  </a:scheme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9-1559-40FC-B537-4E85FEC865D8}"/>
              </c:ext>
            </c:extLst>
          </c:dPt>
          <c:xVal>
            <c:numRef>
              <c:f>(Cortisol!$R$4,Cortisol!$T$4)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(Cortisol!$X$11,Cortisol!$X$11)</c:f>
              <c:numCache>
                <c:formatCode>0.00</c:formatCode>
                <c:ptCount val="2"/>
                <c:pt idx="0">
                  <c:v>390.22458058944301</c:v>
                </c:pt>
                <c:pt idx="1">
                  <c:v>390.22458058944301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AA-4BCD-A20E-BC2EB7919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catAx>
        <c:axId val="1414825479"/>
        <c:scaling>
          <c:orientation val="minMax"/>
        </c:scaling>
        <c:delete val="0"/>
        <c:axPos val="b"/>
        <c:numFmt formatCode="[$-409]d/mmm/yy;@" sourceLinked="0"/>
        <c:majorTickMark val="out"/>
        <c:minorTickMark val="out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664720785"/>
        <c:crosses val="autoZero"/>
        <c:auto val="0"/>
        <c:lblAlgn val="ctr"/>
        <c:lblOffset val="100"/>
        <c:noMultiLvlLbl val="1"/>
      </c:catAx>
      <c:valAx>
        <c:axId val="1664720785"/>
        <c:scaling>
          <c:orientation val="minMax"/>
          <c:max val="90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HQC [nmol/L]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/>
        </c:spPr>
        <c:crossAx val="1414825479"/>
        <c:crosses val="autoZero"/>
        <c:crossBetween val="between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</c:spPr>
      <c:txPr>
        <a:bodyPr anchor="ctr" anchorCtr="1"/>
        <a:lstStyle/>
        <a:p>
          <a:pPr rtl="0">
            <a:defRPr sz="1200"/>
          </a:pPr>
          <a:endParaRPr lang="en-US"/>
        </a:p>
      </c:txPr>
    </c:legend>
    <c:plotVisOnly val="1"/>
    <c:dispBlanksAs val="span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noFill/>
    </a:ln>
  </c:spPr>
  <c:txPr>
    <a:bodyPr/>
    <a:lstStyle/>
    <a:p>
      <a:pPr>
        <a:defRPr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SG">
                <a:solidFill>
                  <a:schemeClr val="accent6"/>
                </a:solidFill>
              </a:rPr>
              <a:t>LQC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041856212537431E-2"/>
          <c:y val="0.13692552474352129"/>
          <c:w val="0.85499174011352508"/>
          <c:h val="0.6503580352696221"/>
        </c:manualLayout>
      </c:layout>
      <c:lineChart>
        <c:grouping val="standard"/>
        <c:varyColors val="1"/>
        <c:ser>
          <c:idx val="4"/>
          <c:order val="6"/>
          <c:tx>
            <c:v>date</c:v>
          </c:tx>
          <c:marker>
            <c:symbol val="none"/>
          </c:marker>
          <c:cat>
            <c:numRef>
              <c:f>Cortisol!DATE</c:f>
              <c:numCache>
                <c:formatCode>yyyy/mm/dd;@</c:formatCode>
                <c:ptCount val="42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  <c:pt idx="38">
                  <c:v>46044</c:v>
                </c:pt>
                <c:pt idx="39">
                  <c:v>46048</c:v>
                </c:pt>
                <c:pt idx="40">
                  <c:v>46048</c:v>
                </c:pt>
                <c:pt idx="41">
                  <c:v>46065</c:v>
                </c:pt>
              </c:numCache>
            </c:numRef>
          </c:cat>
          <c:val>
            <c:numRef>
              <c:f>Cortisol!DATE</c:f>
              <c:numCache>
                <c:formatCode>yyyy/mm/dd;@</c:formatCode>
                <c:ptCount val="42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  <c:pt idx="38">
                  <c:v>46044</c:v>
                </c:pt>
                <c:pt idx="39">
                  <c:v>46048</c:v>
                </c:pt>
                <c:pt idx="40">
                  <c:v>46048</c:v>
                </c:pt>
                <c:pt idx="41">
                  <c:v>46065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68-4514-9A9F-7D86D618F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4825479"/>
        <c:axId val="1664720785"/>
      </c:lineChart>
      <c:scatterChart>
        <c:scatterStyle val="smoothMarker"/>
        <c:varyColors val="1"/>
        <c:ser>
          <c:idx val="3"/>
          <c:order val="1"/>
          <c:tx>
            <c:strRef>
              <c:f>Cortisol!$AH$10</c:f>
              <c:strCache>
                <c:ptCount val="1"/>
                <c:pt idx="0">
                  <c:v>+3SD UCL</c:v>
                </c:pt>
              </c:strCache>
            </c:strRef>
          </c:tx>
          <c:spPr>
            <a:ln>
              <a:solidFill>
                <a:srgbClr val="C00000"/>
              </a:solidFill>
              <a:prstDash val="solid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C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BE7-4263-8955-5B28669136A2}"/>
              </c:ext>
            </c:extLst>
          </c:dPt>
          <c:xVal>
            <c:numRef>
              <c:f>(Cortisol!$R$4,Cortisol!$T$4)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(Cortisol!$AH$11,Cortisol!$AH$11)</c:f>
              <c:numCache>
                <c:formatCode>0.00</c:formatCode>
                <c:ptCount val="2"/>
                <c:pt idx="0">
                  <c:v>33.635146532684644</c:v>
                </c:pt>
                <c:pt idx="1">
                  <c:v>33.635146532684644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168-4514-9A9F-7D86D618FA55}"/>
            </c:ext>
          </c:extLst>
        </c:ser>
        <c:ser>
          <c:idx val="1"/>
          <c:order val="2"/>
          <c:tx>
            <c:strRef>
              <c:f>Cortisol!$AG$10</c:f>
              <c:strCache>
                <c:ptCount val="1"/>
                <c:pt idx="0">
                  <c:v>+2SD UCL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00B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ABE7-4263-8955-5B28669136A2}"/>
              </c:ext>
            </c:extLst>
          </c:dPt>
          <c:xVal>
            <c:numRef>
              <c:f>(Cortisol!$R$4,Cortisol!$T$4)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(Cortisol!$AG$11,Cortisol!$AG$11)</c:f>
              <c:numCache>
                <c:formatCode>0.00</c:formatCode>
                <c:ptCount val="2"/>
                <c:pt idx="0">
                  <c:v>30.871822291631034</c:v>
                </c:pt>
                <c:pt idx="1">
                  <c:v>30.871822291631034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168-4514-9A9F-7D86D618F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scatterChart>
        <c:scatterStyle val="lineMarker"/>
        <c:varyColors val="1"/>
        <c:ser>
          <c:idx val="0"/>
          <c:order val="0"/>
          <c:tx>
            <c:v>LQC</c:v>
          </c:tx>
          <c:marker>
            <c:symbol val="circle"/>
            <c:size val="10"/>
            <c:spPr>
              <a:solidFill>
                <a:schemeClr val="tx1">
                  <a:lumMod val="50000"/>
                  <a:lumOff val="50000"/>
                </a:schemeClr>
              </a:solidFill>
              <a:ln cmpd="sng">
                <a:solidFill>
                  <a:schemeClr val="tx1"/>
                </a:solidFill>
              </a:ln>
            </c:spPr>
          </c:marker>
          <c:xVal>
            <c:strRef>
              <c:f>Cortisol!$P$14:$P$268</c:f>
              <c:strCach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strCache>
            </c:strRef>
          </c:xVal>
          <c:yVal>
            <c:numRef>
              <c:f>Cortisol!$AC$14:$AC$268</c:f>
              <c:numCache>
                <c:formatCode>0.000</c:formatCode>
                <c:ptCount val="255"/>
                <c:pt idx="0">
                  <c:v>30.065999999999999</c:v>
                </c:pt>
                <c:pt idx="1">
                  <c:v>26.606999999999999</c:v>
                </c:pt>
                <c:pt idx="2">
                  <c:v>28.946000000000002</c:v>
                </c:pt>
                <c:pt idx="3">
                  <c:v>29.876999999999999</c:v>
                </c:pt>
                <c:pt idx="4">
                  <c:v>21.498000000000001</c:v>
                </c:pt>
                <c:pt idx="5">
                  <c:v>24.643000000000001</c:v>
                </c:pt>
                <c:pt idx="6">
                  <c:v>24.143999999999998</c:v>
                </c:pt>
                <c:pt idx="7">
                  <c:v>28.670999999999999</c:v>
                </c:pt>
                <c:pt idx="8">
                  <c:v>25.831</c:v>
                </c:pt>
                <c:pt idx="9">
                  <c:v>27.782</c:v>
                </c:pt>
                <c:pt idx="10">
                  <c:v>20.815999999999999</c:v>
                </c:pt>
                <c:pt idx="11">
                  <c:v>29.225999999999999</c:v>
                </c:pt>
                <c:pt idx="12">
                  <c:v>23.456</c:v>
                </c:pt>
                <c:pt idx="13">
                  <c:v>26.31</c:v>
                </c:pt>
                <c:pt idx="14">
                  <c:v>25.084</c:v>
                </c:pt>
                <c:pt idx="15">
                  <c:v>23.061</c:v>
                </c:pt>
                <c:pt idx="16">
                  <c:v>21.887</c:v>
                </c:pt>
                <c:pt idx="17">
                  <c:v>24.291</c:v>
                </c:pt>
                <c:pt idx="18">
                  <c:v>22.736000000000001</c:v>
                </c:pt>
                <c:pt idx="19">
                  <c:v>22.742000000000001</c:v>
                </c:pt>
                <c:pt idx="20">
                  <c:v>27.277999999999999</c:v>
                </c:pt>
                <c:pt idx="21">
                  <c:v>21.945</c:v>
                </c:pt>
                <c:pt idx="22">
                  <c:v>22.166</c:v>
                </c:pt>
                <c:pt idx="23">
                  <c:v>25.042000000000002</c:v>
                </c:pt>
                <c:pt idx="24">
                  <c:v>23.879100000000001</c:v>
                </c:pt>
                <c:pt idx="25">
                  <c:v>27.347200000000001</c:v>
                </c:pt>
                <c:pt idx="26">
                  <c:v>20.827000000000002</c:v>
                </c:pt>
                <c:pt idx="27">
                  <c:v>21.565999999999999</c:v>
                </c:pt>
                <c:pt idx="28">
                  <c:v>26.300999999999998</c:v>
                </c:pt>
                <c:pt idx="29">
                  <c:v>27.86</c:v>
                </c:pt>
                <c:pt idx="30">
                  <c:v>22.231999999999999</c:v>
                </c:pt>
                <c:pt idx="31">
                  <c:v>23.454999999999998</c:v>
                </c:pt>
                <c:pt idx="32">
                  <c:v>24.178000000000001</c:v>
                </c:pt>
                <c:pt idx="33">
                  <c:v>24.477</c:v>
                </c:pt>
                <c:pt idx="34">
                  <c:v>24.617000000000001</c:v>
                </c:pt>
                <c:pt idx="35">
                  <c:v>30.597000000000001</c:v>
                </c:pt>
                <c:pt idx="36">
                  <c:v>27.178000000000001</c:v>
                </c:pt>
                <c:pt idx="37">
                  <c:v>23.922000000000001</c:v>
                </c:pt>
                <c:pt idx="38">
                  <c:v>35.93</c:v>
                </c:pt>
                <c:pt idx="39">
                  <c:v>22.416</c:v>
                </c:pt>
                <c:pt idx="40">
                  <c:v>28.984000000000002</c:v>
                </c:pt>
                <c:pt idx="41">
                  <c:v>24.626000000000001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168-4514-9A9F-7D86D618FA55}"/>
            </c:ext>
          </c:extLst>
        </c:ser>
        <c:ser>
          <c:idx val="2"/>
          <c:order val="3"/>
          <c:tx>
            <c:v>Mean</c:v>
          </c:tx>
          <c:spPr>
            <a:ln>
              <a:solidFill>
                <a:schemeClr val="accent1"/>
              </a:solidFill>
              <a:prstDash val="sysDash"/>
            </a:ln>
          </c:spPr>
          <c:dPt>
            <c:idx val="0"/>
            <c:marker>
              <c:symbol val="none"/>
            </c:marker>
            <c:bubble3D val="0"/>
            <c:spPr>
              <a:ln w="28575">
                <a:solidFill>
                  <a:schemeClr val="accent1"/>
                </a:solidFill>
                <a:prstDash val="sysDot"/>
              </a:ln>
            </c:spPr>
            <c:extLst>
              <c:ext xmlns:c16="http://schemas.microsoft.com/office/drawing/2014/chart" uri="{C3380CC4-5D6E-409C-BE32-E72D297353CC}">
                <c16:uniqueId val="{00000005-ABE7-4263-8955-5B28669136A2}"/>
              </c:ext>
            </c:extLst>
          </c:dPt>
          <c:xVal>
            <c:numRef>
              <c:f>(Cortisol!$R$4,Cortisol!$T$4)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(Cortisol!$AC$11,Cortisol!$AC$11)</c:f>
              <c:numCache>
                <c:formatCode>0.00</c:formatCode>
                <c:ptCount val="2"/>
                <c:pt idx="0">
                  <c:v>25.345173809523814</c:v>
                </c:pt>
                <c:pt idx="1">
                  <c:v>25.345173809523814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1168-4514-9A9F-7D86D618FA55}"/>
            </c:ext>
          </c:extLst>
        </c:ser>
        <c:ser>
          <c:idx val="6"/>
          <c:order val="4"/>
          <c:tx>
            <c:strRef>
              <c:f>Cortisol!$AF$10</c:f>
              <c:strCache>
                <c:ptCount val="1"/>
                <c:pt idx="0">
                  <c:v>-2SD LCL</c:v>
                </c:pt>
              </c:strCache>
            </c:strRef>
          </c:tx>
          <c:spPr>
            <a:ln w="25400">
              <a:solidFill>
                <a:schemeClr val="accent6">
                  <a:lumMod val="60000"/>
                  <a:lumOff val="40000"/>
                </a:schemeClr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chemeClr val="accent6">
                    <a:lumMod val="60000"/>
                    <a:lumOff val="40000"/>
                  </a:scheme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7-ABE7-4263-8955-5B28669136A2}"/>
              </c:ext>
            </c:extLst>
          </c:dPt>
          <c:xVal>
            <c:numRef>
              <c:f>(Cortisol!$R$4,Cortisol!$T$4)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(Cortisol!$AF$11,Cortisol!$AF$11)</c:f>
              <c:numCache>
                <c:formatCode>0.00</c:formatCode>
                <c:ptCount val="2"/>
                <c:pt idx="0">
                  <c:v>19.818525327416594</c:v>
                </c:pt>
                <c:pt idx="1">
                  <c:v>19.818525327416594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1168-4514-9A9F-7D86D618FA55}"/>
            </c:ext>
          </c:extLst>
        </c:ser>
        <c:ser>
          <c:idx val="5"/>
          <c:order val="5"/>
          <c:tx>
            <c:strRef>
              <c:f>Cortisol!$AE$10</c:f>
              <c:strCache>
                <c:ptCount val="1"/>
                <c:pt idx="0">
                  <c:v>-3SD LCL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FF0000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9-ABE7-4263-8955-5B28669136A2}"/>
              </c:ext>
            </c:extLst>
          </c:dPt>
          <c:xVal>
            <c:numRef>
              <c:f>(Cortisol!$R$4,Cortisol!$T$4)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(Cortisol!$AE$11,Cortisol!$AE$11)</c:f>
              <c:numCache>
                <c:formatCode>0.00</c:formatCode>
                <c:ptCount val="2"/>
                <c:pt idx="0">
                  <c:v>17.055201086362985</c:v>
                </c:pt>
                <c:pt idx="1">
                  <c:v>17.055201086362985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1168-4514-9A9F-7D86D618F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catAx>
        <c:axId val="1414825479"/>
        <c:scaling>
          <c:orientation val="minMax"/>
        </c:scaling>
        <c:delete val="0"/>
        <c:axPos val="b"/>
        <c:numFmt formatCode="[$-409]d/mmm/yy;@" sourceLinked="0"/>
        <c:majorTickMark val="out"/>
        <c:minorTickMark val="out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664720785"/>
        <c:crosses val="autoZero"/>
        <c:auto val="0"/>
        <c:lblAlgn val="ctr"/>
        <c:lblOffset val="100"/>
        <c:noMultiLvlLbl val="1"/>
      </c:catAx>
      <c:valAx>
        <c:axId val="1664720785"/>
        <c:scaling>
          <c:orientation val="minMax"/>
          <c:max val="4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200">
                    <a:solidFill>
                      <a:schemeClr val="accent6"/>
                    </a:solidFill>
                  </a:rPr>
                  <a:t>LQC [nmol/L]</a:t>
                </a:r>
              </a:p>
            </c:rich>
          </c:tx>
          <c:layout>
            <c:manualLayout>
              <c:xMode val="edge"/>
              <c:yMode val="edge"/>
              <c:x val="1.2907702223661067E-2"/>
              <c:y val="0.40450724699866752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/>
        </c:spPr>
        <c:crossAx val="1414825479"/>
        <c:crosses val="autoZero"/>
        <c:crossBetween val="between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</c:spPr>
      <c:txPr>
        <a:bodyPr anchor="ctr" anchorCtr="1"/>
        <a:lstStyle/>
        <a:p>
          <a:pPr rtl="0">
            <a:defRPr sz="1200"/>
          </a:pPr>
          <a:endParaRPr lang="en-US"/>
        </a:p>
      </c:txPr>
    </c:legend>
    <c:plotVisOnly val="1"/>
    <c:dispBlanksAs val="span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noFill/>
    </a:ln>
  </c:spPr>
  <c:txPr>
    <a:bodyPr/>
    <a:lstStyle/>
    <a:p>
      <a:pPr>
        <a:defRPr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SG">
                <a:solidFill>
                  <a:sysClr val="windowText" lastClr="000000"/>
                </a:solidFill>
              </a:rPr>
              <a:t>ACCURACY</a:t>
            </a:r>
          </a:p>
        </c:rich>
      </c:tx>
      <c:overlay val="0"/>
      <c:spPr>
        <a:noFill/>
      </c:spPr>
    </c:title>
    <c:autoTitleDeleted val="0"/>
    <c:plotArea>
      <c:layout>
        <c:manualLayout>
          <c:layoutTarget val="inner"/>
          <c:xMode val="edge"/>
          <c:yMode val="edge"/>
          <c:x val="9.7388134921387773E-2"/>
          <c:y val="0.12595373243973218"/>
          <c:w val="0.85499174011352508"/>
          <c:h val="0.6503580352696221"/>
        </c:manualLayout>
      </c:layout>
      <c:lineChart>
        <c:grouping val="standard"/>
        <c:varyColors val="1"/>
        <c:ser>
          <c:idx val="4"/>
          <c:order val="4"/>
          <c:tx>
            <c:v>date</c:v>
          </c:tx>
          <c:marker>
            <c:symbol val="none"/>
          </c:marker>
          <c:cat>
            <c:numRef>
              <c:f>Cortisol!DATE</c:f>
              <c:numCache>
                <c:formatCode>yyyy/mm/dd;@</c:formatCode>
                <c:ptCount val="42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  <c:pt idx="38">
                  <c:v>46044</c:v>
                </c:pt>
                <c:pt idx="39">
                  <c:v>46048</c:v>
                </c:pt>
                <c:pt idx="40">
                  <c:v>46048</c:v>
                </c:pt>
                <c:pt idx="41">
                  <c:v>46065</c:v>
                </c:pt>
              </c:numCache>
            </c:numRef>
          </c:cat>
          <c:val>
            <c:numRef>
              <c:f>Cortisol!DATE</c:f>
              <c:numCache>
                <c:formatCode>yyyy/mm/dd;@</c:formatCode>
                <c:ptCount val="42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  <c:pt idx="38">
                  <c:v>46044</c:v>
                </c:pt>
                <c:pt idx="39">
                  <c:v>46048</c:v>
                </c:pt>
                <c:pt idx="40">
                  <c:v>46048</c:v>
                </c:pt>
                <c:pt idx="41">
                  <c:v>46065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6E-4105-A299-3BBCA3AEE2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4825479"/>
        <c:axId val="1664720785"/>
      </c:lineChart>
      <c:scatterChart>
        <c:scatterStyle val="lineMarker"/>
        <c:varyColors val="1"/>
        <c:ser>
          <c:idx val="1"/>
          <c:order val="0"/>
          <c:tx>
            <c:v>LQC Acc</c:v>
          </c:tx>
          <c:spPr>
            <a:ln>
              <a:solidFill>
                <a:schemeClr val="accent6">
                  <a:lumMod val="50000"/>
                </a:schemeClr>
              </a:solidFill>
            </a:ln>
          </c:spPr>
          <c:marker>
            <c:symbol val="circle"/>
            <c:size val="10"/>
            <c:spPr>
              <a:solidFill>
                <a:schemeClr val="accent6"/>
              </a:solidFill>
              <a:ln>
                <a:solidFill>
                  <a:schemeClr val="accent6"/>
                </a:solidFill>
              </a:ln>
            </c:spPr>
          </c:marker>
          <c:xVal>
            <c:strRef>
              <c:f>Cortisol!$P$14:$P$268</c:f>
              <c:strCach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strCache>
            </c:strRef>
          </c:xVal>
          <c:yVal>
            <c:numRef>
              <c:f>Cortisol!$AH$14:$AH$268</c:f>
              <c:numCache>
                <c:formatCode>0.0%</c:formatCode>
                <c:ptCount val="255"/>
                <c:pt idx="0">
                  <c:v>1.1926219754065845</c:v>
                </c:pt>
                <c:pt idx="1">
                  <c:v>1.0554145180483934</c:v>
                </c:pt>
                <c:pt idx="2">
                  <c:v>1.1481951606505356</c:v>
                </c:pt>
                <c:pt idx="3">
                  <c:v>1.1851249504165013</c:v>
                </c:pt>
                <c:pt idx="4">
                  <c:v>0.85275684252280848</c:v>
                </c:pt>
                <c:pt idx="5">
                  <c:v>0.97750892502975006</c:v>
                </c:pt>
                <c:pt idx="6">
                  <c:v>0.95771519238397451</c:v>
                </c:pt>
                <c:pt idx="7">
                  <c:v>1.1372867909559699</c:v>
                </c:pt>
                <c:pt idx="8">
                  <c:v>1.0246330821102736</c:v>
                </c:pt>
                <c:pt idx="9">
                  <c:v>1.1020230067433558</c:v>
                </c:pt>
                <c:pt idx="10">
                  <c:v>0.82570408568028553</c:v>
                </c:pt>
                <c:pt idx="11">
                  <c:v>1.1593018643395476</c:v>
                </c:pt>
                <c:pt idx="12">
                  <c:v>0.93042443474811576</c:v>
                </c:pt>
                <c:pt idx="13">
                  <c:v>1.0436334787782624</c:v>
                </c:pt>
                <c:pt idx="14">
                  <c:v>0.99500198333994438</c:v>
                </c:pt>
                <c:pt idx="15">
                  <c:v>0.91475604918683062</c:v>
                </c:pt>
                <c:pt idx="16">
                  <c:v>0.86818722729075759</c:v>
                </c:pt>
                <c:pt idx="17">
                  <c:v>0.9635462118207061</c:v>
                </c:pt>
                <c:pt idx="18">
                  <c:v>0.90186433954779854</c:v>
                </c:pt>
                <c:pt idx="19">
                  <c:v>0.90210234034113446</c:v>
                </c:pt>
                <c:pt idx="20">
                  <c:v>1.0544259760340162</c:v>
                </c:pt>
                <c:pt idx="21">
                  <c:v>0.84827986084267493</c:v>
                </c:pt>
                <c:pt idx="22">
                  <c:v>0.85682257441051413</c:v>
                </c:pt>
                <c:pt idx="23">
                  <c:v>0.96799381522999617</c:v>
                </c:pt>
                <c:pt idx="24">
                  <c:v>0.92304213374565136</c:v>
                </c:pt>
                <c:pt idx="25">
                  <c:v>1.0571008890606881</c:v>
                </c:pt>
                <c:pt idx="26">
                  <c:v>0.80506378044066484</c:v>
                </c:pt>
                <c:pt idx="27">
                  <c:v>0.83362968689601846</c:v>
                </c:pt>
                <c:pt idx="28">
                  <c:v>1.0166602241979126</c:v>
                </c:pt>
                <c:pt idx="29">
                  <c:v>1.0769230769230769</c:v>
                </c:pt>
                <c:pt idx="30">
                  <c:v>0.85937379203710851</c:v>
                </c:pt>
                <c:pt idx="31">
                  <c:v>0.90664862775415533</c:v>
                </c:pt>
                <c:pt idx="32">
                  <c:v>0.93459605720912253</c:v>
                </c:pt>
                <c:pt idx="33">
                  <c:v>0.94615384615384612</c:v>
                </c:pt>
                <c:pt idx="34">
                  <c:v>0.95156551990722849</c:v>
                </c:pt>
                <c:pt idx="35">
                  <c:v>1.1827212988017008</c:v>
                </c:pt>
                <c:pt idx="36">
                  <c:v>1.0505604947816003</c:v>
                </c:pt>
                <c:pt idx="37">
                  <c:v>0.92470042520293771</c:v>
                </c:pt>
                <c:pt idx="38">
                  <c:v>1.3888674139930421</c:v>
                </c:pt>
                <c:pt idx="39">
                  <c:v>0.86648627754155394</c:v>
                </c:pt>
                <c:pt idx="40">
                  <c:v>1.1203710862002318</c:v>
                </c:pt>
                <c:pt idx="41">
                  <c:v>0.95191341321994594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036E-4105-A299-3BBCA3AEE2E3}"/>
            </c:ext>
          </c:extLst>
        </c:ser>
        <c:ser>
          <c:idx val="0"/>
          <c:order val="1"/>
          <c:tx>
            <c:v>HQC Acc.</c:v>
          </c:tx>
          <c:spPr>
            <a:ln>
              <a:solidFill>
                <a:schemeClr val="accent2">
                  <a:lumMod val="50000"/>
                </a:schemeClr>
              </a:solidFill>
            </a:ln>
          </c:spPr>
          <c:marker>
            <c:symbol val="circle"/>
            <c:size val="10"/>
            <c:spPr>
              <a:solidFill>
                <a:srgbClr val="FFC000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Cortisol!Run</c:f>
              <c:numCache>
                <c:formatCode>0</c:formatCod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numCache>
            </c:numRef>
          </c:xVal>
          <c:yVal>
            <c:numRef>
              <c:f>Cortisol!$Z$14:$Z$52</c:f>
              <c:numCache>
                <c:formatCode>0.0%</c:formatCode>
                <c:ptCount val="39"/>
                <c:pt idx="0">
                  <c:v>1.0884131355932203</c:v>
                </c:pt>
                <c:pt idx="1">
                  <c:v>0.87395338983050841</c:v>
                </c:pt>
                <c:pt idx="2">
                  <c:v>1.0746080508474576</c:v>
                </c:pt>
                <c:pt idx="3">
                  <c:v>0.92501906779661014</c:v>
                </c:pt>
                <c:pt idx="4">
                  <c:v>0.86431355932203391</c:v>
                </c:pt>
                <c:pt idx="5">
                  <c:v>1.1853411016949151</c:v>
                </c:pt>
                <c:pt idx="6">
                  <c:v>1.1607351694915253</c:v>
                </c:pt>
                <c:pt idx="7">
                  <c:v>1.0071779661016949</c:v>
                </c:pt>
                <c:pt idx="8">
                  <c:v>1.0450021186440677</c:v>
                </c:pt>
                <c:pt idx="9">
                  <c:v>0.9127902542372881</c:v>
                </c:pt>
                <c:pt idx="10">
                  <c:v>1.1140656779661018</c:v>
                </c:pt>
                <c:pt idx="11">
                  <c:v>1.1499788135593219</c:v>
                </c:pt>
                <c:pt idx="12">
                  <c:v>1.2165105932203391</c:v>
                </c:pt>
                <c:pt idx="13">
                  <c:v>1.1581398305084747</c:v>
                </c:pt>
                <c:pt idx="14">
                  <c:v>1.0750233050847458</c:v>
                </c:pt>
                <c:pt idx="15">
                  <c:v>1.0460042372881355</c:v>
                </c:pt>
                <c:pt idx="16">
                  <c:v>0.97765254237288135</c:v>
                </c:pt>
                <c:pt idx="17">
                  <c:v>1.163466101694915</c:v>
                </c:pt>
                <c:pt idx="18">
                  <c:v>1.1742478813559323</c:v>
                </c:pt>
                <c:pt idx="19">
                  <c:v>1.0520805084745763</c:v>
                </c:pt>
                <c:pt idx="20">
                  <c:v>1.0955107296137339</c:v>
                </c:pt>
                <c:pt idx="21">
                  <c:v>0.90495922746781121</c:v>
                </c:pt>
                <c:pt idx="22">
                  <c:v>0.84985407725321882</c:v>
                </c:pt>
                <c:pt idx="23">
                  <c:v>0.79831545064377685</c:v>
                </c:pt>
                <c:pt idx="24">
                  <c:v>0.92254098712446353</c:v>
                </c:pt>
                <c:pt idx="25">
                  <c:v>1.0376731759656652</c:v>
                </c:pt>
                <c:pt idx="26">
                  <c:v>1.0179399141630903</c:v>
                </c:pt>
                <c:pt idx="27">
                  <c:v>1.1006609442060087</c:v>
                </c:pt>
                <c:pt idx="28">
                  <c:v>1.0790386266094421</c:v>
                </c:pt>
                <c:pt idx="29">
                  <c:v>1.2325643776824033</c:v>
                </c:pt>
                <c:pt idx="30">
                  <c:v>1.0930236051502145</c:v>
                </c:pt>
                <c:pt idx="31">
                  <c:v>1.1713969957081545</c:v>
                </c:pt>
                <c:pt idx="32">
                  <c:v>1.2664077253218884</c:v>
                </c:pt>
                <c:pt idx="33">
                  <c:v>1.1422424892703862</c:v>
                </c:pt>
                <c:pt idx="34">
                  <c:v>1.0072038626609443</c:v>
                </c:pt>
                <c:pt idx="35">
                  <c:v>1.1814442060085837</c:v>
                </c:pt>
                <c:pt idx="36">
                  <c:v>0.99180257510729619</c:v>
                </c:pt>
                <c:pt idx="37">
                  <c:v>1.1981480686695278</c:v>
                </c:pt>
                <c:pt idx="38">
                  <c:v>1.0896244635193133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36E-4105-A299-3BBCA3AEE2E3}"/>
            </c:ext>
          </c:extLst>
        </c:ser>
        <c:ser>
          <c:idx val="5"/>
          <c:order val="2"/>
          <c:tx>
            <c:v>UCL</c:v>
          </c:tx>
          <c:spPr>
            <a:ln>
              <a:prstDash val="dash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C00000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1-3524-48E8-A956-A4E47F870585}"/>
              </c:ext>
            </c:extLst>
          </c:dPt>
          <c:xVal>
            <c:numRef>
              <c:f>(Cortisol!$R$4,Cortisol!$T$4)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(Cortisol!$Q$11,Cortisol!$Q$11)</c:f>
              <c:numCache>
                <c:formatCode>0%</c:formatCode>
                <c:ptCount val="2"/>
                <c:pt idx="0">
                  <c:v>1.1499999999999999</c:v>
                </c:pt>
                <c:pt idx="1">
                  <c:v>1.1499999999999999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36E-4105-A299-3BBCA3AEE2E3}"/>
            </c:ext>
          </c:extLst>
        </c:ser>
        <c:ser>
          <c:idx val="6"/>
          <c:order val="3"/>
          <c:tx>
            <c:v>LCL</c:v>
          </c:tx>
          <c:spPr>
            <a:ln w="25400"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chemeClr val="accent6">
                    <a:lumMod val="75000"/>
                  </a:scheme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3-3524-48E8-A956-A4E47F870585}"/>
              </c:ext>
            </c:extLst>
          </c:dPt>
          <c:xVal>
            <c:numRef>
              <c:f>(Cortisol!$R$4,Cortisol!$T$4)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(Cortisol!$R$11,Cortisol!$R$11)</c:f>
              <c:numCache>
                <c:formatCode>0%</c:formatCode>
                <c:ptCount val="2"/>
                <c:pt idx="0">
                  <c:v>0.8</c:v>
                </c:pt>
                <c:pt idx="1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036E-4105-A299-3BBCA3AEE2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catAx>
        <c:axId val="1414825479"/>
        <c:scaling>
          <c:orientation val="minMax"/>
        </c:scaling>
        <c:delete val="0"/>
        <c:axPos val="b"/>
        <c:numFmt formatCode="[$-409]d/mmm/yy;@" sourceLinked="0"/>
        <c:majorTickMark val="out"/>
        <c:minorTickMark val="out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664720785"/>
        <c:crosses val="autoZero"/>
        <c:auto val="0"/>
        <c:lblAlgn val="ctr"/>
        <c:lblOffset val="100"/>
        <c:noMultiLvlLbl val="1"/>
      </c:catAx>
      <c:valAx>
        <c:axId val="1664720785"/>
        <c:scaling>
          <c:orientation val="minMax"/>
          <c:max val="1.8"/>
          <c:min val="0.4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ACCURACY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/>
            </a:pPr>
            <a:endParaRPr lang="en-US"/>
          </a:p>
        </c:txPr>
        <c:crossAx val="1414825479"/>
        <c:crosses val="autoZero"/>
        <c:crossBetween val="between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</c:spPr>
      <c:txPr>
        <a:bodyPr anchor="ctr" anchorCtr="1"/>
        <a:lstStyle/>
        <a:p>
          <a:pPr rtl="0">
            <a:defRPr sz="1400" b="0"/>
          </a:pPr>
          <a:endParaRPr lang="en-US"/>
        </a:p>
      </c:txPr>
    </c:legend>
    <c:plotVisOnly val="1"/>
    <c:dispBlanksAs val="span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noFill/>
    </a:ln>
  </c:spPr>
  <c:txPr>
    <a:bodyPr/>
    <a:lstStyle/>
    <a:p>
      <a:pPr>
        <a:defRPr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SG">
                <a:solidFill>
                  <a:schemeClr val="accent2"/>
                </a:solidFill>
              </a:rPr>
              <a:t>HQC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041856212537431E-2"/>
          <c:y val="0.13692552474352129"/>
          <c:w val="0.85499174011352508"/>
          <c:h val="0.6503580352696221"/>
        </c:manualLayout>
      </c:layout>
      <c:lineChart>
        <c:grouping val="standard"/>
        <c:varyColors val="1"/>
        <c:ser>
          <c:idx val="4"/>
          <c:order val="6"/>
          <c:tx>
            <c:v>date</c:v>
          </c:tx>
          <c:marker>
            <c:symbol val="none"/>
          </c:marker>
          <c:cat>
            <c:numRef>
              <c:f>Cortisone!$R$14:$R$55</c:f>
              <c:numCache>
                <c:formatCode>yyyy/mm/dd;@</c:formatCode>
                <c:ptCount val="42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  <c:pt idx="38">
                  <c:v>46044</c:v>
                </c:pt>
                <c:pt idx="39">
                  <c:v>46048</c:v>
                </c:pt>
                <c:pt idx="40">
                  <c:v>46048</c:v>
                </c:pt>
                <c:pt idx="41">
                  <c:v>46065</c:v>
                </c:pt>
              </c:numCache>
            </c:numRef>
          </c:cat>
          <c:val>
            <c:numRef>
              <c:f>Cortisone!$R$14:$R$51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65-46EC-ADCA-EC1D426B9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4825479"/>
        <c:axId val="1664720785"/>
      </c:lineChart>
      <c:scatterChart>
        <c:scatterStyle val="smoothMarker"/>
        <c:varyColors val="1"/>
        <c:ser>
          <c:idx val="3"/>
          <c:order val="1"/>
          <c:tx>
            <c:strRef>
              <c:f>Cortisone!$Z$10</c:f>
              <c:strCache>
                <c:ptCount val="1"/>
                <c:pt idx="0">
                  <c:v>+3SD UCL</c:v>
                </c:pt>
              </c:strCache>
            </c:strRef>
          </c:tx>
          <c:spPr>
            <a:ln>
              <a:solidFill>
                <a:srgbClr val="C00000"/>
              </a:solidFill>
              <a:prstDash val="solid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C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34B-4944-9984-AC290C890FD3}"/>
              </c:ext>
            </c:extLst>
          </c:dPt>
          <c:xVal>
            <c:numRef>
              <c:f>(Cortisone!$R$4,Cortisone!$T$4)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(Cortisone!$Z$11,Cortisone!$Z$11)</c:f>
              <c:numCache>
                <c:formatCode>0.00</c:formatCode>
                <c:ptCount val="2"/>
                <c:pt idx="0">
                  <c:v>169.90520581059528</c:v>
                </c:pt>
                <c:pt idx="1">
                  <c:v>169.90520581059528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565-46EC-ADCA-EC1D426B972D}"/>
            </c:ext>
          </c:extLst>
        </c:ser>
        <c:ser>
          <c:idx val="1"/>
          <c:order val="5"/>
          <c:tx>
            <c:strRef>
              <c:f>Cortisone!$W$10</c:f>
              <c:strCache>
                <c:ptCount val="1"/>
                <c:pt idx="0">
                  <c:v>-3SD LCL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00B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E34B-4944-9984-AC290C890FD3}"/>
              </c:ext>
            </c:extLst>
          </c:dPt>
          <c:xVal>
            <c:numRef>
              <c:f>(Cortisone!$R$4,Cortisone!$T$4)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(Cortisone!$W$11,Cortisone!$W$11)</c:f>
              <c:numCache>
                <c:formatCode>0.00</c:formatCode>
                <c:ptCount val="2"/>
                <c:pt idx="0">
                  <c:v>86.433135652819345</c:v>
                </c:pt>
                <c:pt idx="1">
                  <c:v>86.433135652819345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565-46EC-ADCA-EC1D426B9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scatterChart>
        <c:scatterStyle val="lineMarker"/>
        <c:varyColors val="1"/>
        <c:ser>
          <c:idx val="0"/>
          <c:order val="0"/>
          <c:tx>
            <c:v>HQC</c:v>
          </c:tx>
          <c:marker>
            <c:symbol val="circle"/>
            <c:size val="10"/>
            <c:spPr>
              <a:solidFill>
                <a:schemeClr val="tx1">
                  <a:lumMod val="50000"/>
                  <a:lumOff val="50000"/>
                </a:schemeClr>
              </a:solidFill>
              <a:ln cmpd="sng">
                <a:solidFill>
                  <a:schemeClr val="tx1"/>
                </a:solidFill>
              </a:ln>
            </c:spPr>
          </c:marker>
          <c:xVal>
            <c:strRef>
              <c:f>Cortisone!$P$14:$P$268</c:f>
              <c:strCach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strCache>
            </c:strRef>
          </c:xVal>
          <c:yVal>
            <c:numRef>
              <c:f>Cortisone!$U$14:$U$268</c:f>
              <c:numCache>
                <c:formatCode>0.000</c:formatCode>
                <c:ptCount val="255"/>
                <c:pt idx="0">
                  <c:v>123.07</c:v>
                </c:pt>
                <c:pt idx="1">
                  <c:v>120.10299999999999</c:v>
                </c:pt>
                <c:pt idx="2">
                  <c:v>135.714</c:v>
                </c:pt>
                <c:pt idx="3">
                  <c:v>125.651</c:v>
                </c:pt>
                <c:pt idx="4">
                  <c:v>138.25299999999999</c:v>
                </c:pt>
                <c:pt idx="5">
                  <c:v>130.99600000000001</c:v>
                </c:pt>
                <c:pt idx="6">
                  <c:v>118.441</c:v>
                </c:pt>
                <c:pt idx="7">
                  <c:v>124.931</c:v>
                </c:pt>
                <c:pt idx="8">
                  <c:v>125.194</c:v>
                </c:pt>
                <c:pt idx="9">
                  <c:v>116.41800000000001</c:v>
                </c:pt>
                <c:pt idx="10">
                  <c:v>150.101</c:v>
                </c:pt>
                <c:pt idx="11">
                  <c:v>167.75399999999999</c:v>
                </c:pt>
                <c:pt idx="12">
                  <c:v>165.22900000000001</c:v>
                </c:pt>
                <c:pt idx="13">
                  <c:v>211</c:v>
                </c:pt>
                <c:pt idx="14">
                  <c:v>140.46299999999999</c:v>
                </c:pt>
                <c:pt idx="15">
                  <c:v>142.66200000000001</c:v>
                </c:pt>
                <c:pt idx="16">
                  <c:v>121.521</c:v>
                </c:pt>
                <c:pt idx="17">
                  <c:v>134.077</c:v>
                </c:pt>
                <c:pt idx="18">
                  <c:v>129.43600000000001</c:v>
                </c:pt>
                <c:pt idx="19">
                  <c:v>121.377</c:v>
                </c:pt>
                <c:pt idx="20">
                  <c:v>132.267</c:v>
                </c:pt>
                <c:pt idx="21">
                  <c:v>127.774</c:v>
                </c:pt>
                <c:pt idx="22">
                  <c:v>130.02799999999999</c:v>
                </c:pt>
                <c:pt idx="23">
                  <c:v>118.113</c:v>
                </c:pt>
                <c:pt idx="24">
                  <c:v>153.07</c:v>
                </c:pt>
                <c:pt idx="25">
                  <c:v>97.323999999999998</c:v>
                </c:pt>
                <c:pt idx="26">
                  <c:v>114.458</c:v>
                </c:pt>
                <c:pt idx="27">
                  <c:v>124.16500000000001</c:v>
                </c:pt>
                <c:pt idx="28">
                  <c:v>125.67</c:v>
                </c:pt>
                <c:pt idx="29">
                  <c:v>130.75399999999999</c:v>
                </c:pt>
                <c:pt idx="30">
                  <c:v>135.01499999999999</c:v>
                </c:pt>
                <c:pt idx="31">
                  <c:v>118.919</c:v>
                </c:pt>
                <c:pt idx="32">
                  <c:v>130.66999999999999</c:v>
                </c:pt>
                <c:pt idx="33">
                  <c:v>131.35</c:v>
                </c:pt>
                <c:pt idx="34">
                  <c:v>119.351</c:v>
                </c:pt>
                <c:pt idx="35">
                  <c:v>107.70699999999999</c:v>
                </c:pt>
                <c:pt idx="36">
                  <c:v>138.851</c:v>
                </c:pt>
                <c:pt idx="37">
                  <c:v>114.74299999999999</c:v>
                </c:pt>
                <c:pt idx="38">
                  <c:v>125.58</c:v>
                </c:pt>
                <c:pt idx="39">
                  <c:v>118.038</c:v>
                </c:pt>
                <c:pt idx="40">
                  <c:v>113.733</c:v>
                </c:pt>
                <c:pt idx="41">
                  <c:v>115.965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565-46EC-ADCA-EC1D426B972D}"/>
            </c:ext>
          </c:extLst>
        </c:ser>
        <c:ser>
          <c:idx val="5"/>
          <c:order val="2"/>
          <c:tx>
            <c:strRef>
              <c:f>Cortisone!$Y$10</c:f>
              <c:strCache>
                <c:ptCount val="1"/>
                <c:pt idx="0">
                  <c:v>+2SD UCL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FF0000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5-E34B-4944-9984-AC290C890FD3}"/>
              </c:ext>
            </c:extLst>
          </c:dPt>
          <c:xVal>
            <c:numRef>
              <c:f>(Cortisone!$R$4,Cortisone!$T$4)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(Cortisone!$Y$11,Cortisone!$Y$11)</c:f>
              <c:numCache>
                <c:formatCode>0.00</c:formatCode>
                <c:ptCount val="2"/>
                <c:pt idx="0">
                  <c:v>155.99319411763261</c:v>
                </c:pt>
                <c:pt idx="1">
                  <c:v>155.99319411763261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565-46EC-ADCA-EC1D426B972D}"/>
            </c:ext>
          </c:extLst>
        </c:ser>
        <c:ser>
          <c:idx val="2"/>
          <c:order val="3"/>
          <c:tx>
            <c:v>Mean</c:v>
          </c:tx>
          <c:spPr>
            <a:ln>
              <a:solidFill>
                <a:schemeClr val="accent1"/>
              </a:solidFill>
              <a:prstDash val="sysDash"/>
            </a:ln>
          </c:spPr>
          <c:dPt>
            <c:idx val="0"/>
            <c:marker>
              <c:symbol val="none"/>
            </c:marker>
            <c:bubble3D val="0"/>
            <c:spPr>
              <a:ln w="28575">
                <a:solidFill>
                  <a:schemeClr val="accent1"/>
                </a:solidFill>
                <a:prstDash val="sysDot"/>
              </a:ln>
            </c:spPr>
            <c:extLst>
              <c:ext xmlns:c16="http://schemas.microsoft.com/office/drawing/2014/chart" uri="{C3380CC4-5D6E-409C-BE32-E72D297353CC}">
                <c16:uniqueId val="{00000007-E34B-4944-9984-AC290C890FD3}"/>
              </c:ext>
            </c:extLst>
          </c:dPt>
          <c:xVal>
            <c:numRef>
              <c:f>(Cortisone!$R$4,Cortisone!$T$4)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(Cortisone!$U$11,Cortisone!$U$11)</c:f>
              <c:numCache>
                <c:formatCode>0.00</c:formatCode>
                <c:ptCount val="2"/>
                <c:pt idx="0">
                  <c:v>128.16917073170731</c:v>
                </c:pt>
                <c:pt idx="1">
                  <c:v>128.16917073170731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8565-46EC-ADCA-EC1D426B972D}"/>
            </c:ext>
          </c:extLst>
        </c:ser>
        <c:ser>
          <c:idx val="6"/>
          <c:order val="4"/>
          <c:tx>
            <c:strRef>
              <c:f>Cortisone!$X$10</c:f>
              <c:strCache>
                <c:ptCount val="1"/>
                <c:pt idx="0">
                  <c:v>-2SD LCL</c:v>
                </c:pt>
              </c:strCache>
            </c:strRef>
          </c:tx>
          <c:spPr>
            <a:ln w="25400">
              <a:solidFill>
                <a:schemeClr val="accent6">
                  <a:lumMod val="60000"/>
                  <a:lumOff val="40000"/>
                </a:schemeClr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chemeClr val="accent6">
                    <a:lumMod val="60000"/>
                    <a:lumOff val="40000"/>
                  </a:scheme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9-E34B-4944-9984-AC290C890FD3}"/>
              </c:ext>
            </c:extLst>
          </c:dPt>
          <c:xVal>
            <c:numRef>
              <c:f>(Cortisone!$R$4,Cortisone!$T$4)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(Cortisone!$X$11,Cortisone!$X$11)</c:f>
              <c:numCache>
                <c:formatCode>0.00</c:formatCode>
                <c:ptCount val="2"/>
                <c:pt idx="0">
                  <c:v>100.34514734578201</c:v>
                </c:pt>
                <c:pt idx="1">
                  <c:v>100.34514734578201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8565-46EC-ADCA-EC1D426B9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catAx>
        <c:axId val="1414825479"/>
        <c:scaling>
          <c:orientation val="minMax"/>
        </c:scaling>
        <c:delete val="0"/>
        <c:axPos val="b"/>
        <c:numFmt formatCode="[$-409]d/mmm/yy;@" sourceLinked="0"/>
        <c:majorTickMark val="out"/>
        <c:minorTickMark val="out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664720785"/>
        <c:crosses val="autoZero"/>
        <c:auto val="0"/>
        <c:lblAlgn val="ctr"/>
        <c:lblOffset val="100"/>
        <c:noMultiLvlLbl val="1"/>
      </c:catAx>
      <c:valAx>
        <c:axId val="1664720785"/>
        <c:scaling>
          <c:orientation val="minMax"/>
          <c:max val="25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HQC [nmol/L]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/>
        </c:spPr>
        <c:crossAx val="1414825479"/>
        <c:crosses val="autoZero"/>
        <c:crossBetween val="between"/>
        <c:majorUnit val="20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</c:spPr>
      <c:txPr>
        <a:bodyPr anchor="ctr" anchorCtr="1"/>
        <a:lstStyle/>
        <a:p>
          <a:pPr rtl="0">
            <a:defRPr sz="1200"/>
          </a:pPr>
          <a:endParaRPr lang="en-US"/>
        </a:p>
      </c:txPr>
    </c:legend>
    <c:plotVisOnly val="1"/>
    <c:dispBlanksAs val="span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noFill/>
    </a:ln>
  </c:spPr>
  <c:txPr>
    <a:bodyPr/>
    <a:lstStyle/>
    <a:p>
      <a:pPr>
        <a:defRPr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SG">
                <a:solidFill>
                  <a:schemeClr val="accent6"/>
                </a:solidFill>
              </a:rPr>
              <a:t>LQC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041856212537431E-2"/>
          <c:y val="0.13692552474352129"/>
          <c:w val="0.85499174011352508"/>
          <c:h val="0.6503580352696221"/>
        </c:manualLayout>
      </c:layout>
      <c:lineChart>
        <c:grouping val="standard"/>
        <c:varyColors val="1"/>
        <c:ser>
          <c:idx val="4"/>
          <c:order val="6"/>
          <c:tx>
            <c:v>date</c:v>
          </c:tx>
          <c:marker>
            <c:symbol val="none"/>
          </c:marker>
          <c:cat>
            <c:numRef>
              <c:f>Cortisone!$R$14:$R$55</c:f>
              <c:numCache>
                <c:formatCode>yyyy/mm/dd;@</c:formatCode>
                <c:ptCount val="42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  <c:pt idx="38">
                  <c:v>46044</c:v>
                </c:pt>
                <c:pt idx="39">
                  <c:v>46048</c:v>
                </c:pt>
                <c:pt idx="40">
                  <c:v>46048</c:v>
                </c:pt>
                <c:pt idx="41">
                  <c:v>46065</c:v>
                </c:pt>
              </c:numCache>
            </c:numRef>
          </c:cat>
          <c:val>
            <c:numRef>
              <c:f>Cortisone!$R$14:$R$51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8B-4089-A28C-75DA5B23E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4825479"/>
        <c:axId val="1664720785"/>
      </c:lineChart>
      <c:scatterChart>
        <c:scatterStyle val="smoothMarker"/>
        <c:varyColors val="1"/>
        <c:ser>
          <c:idx val="3"/>
          <c:order val="1"/>
          <c:tx>
            <c:strRef>
              <c:f>Cortisone!$AH$10</c:f>
              <c:strCache>
                <c:ptCount val="1"/>
                <c:pt idx="0">
                  <c:v>+3SD UCL</c:v>
                </c:pt>
              </c:strCache>
            </c:strRef>
          </c:tx>
          <c:spPr>
            <a:ln>
              <a:solidFill>
                <a:srgbClr val="C00000"/>
              </a:solidFill>
              <a:prstDash val="solid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C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FFE-4398-9D4F-EECDE593A5B5}"/>
              </c:ext>
            </c:extLst>
          </c:dPt>
          <c:xVal>
            <c:numRef>
              <c:f>(Cortisone!$R$4,Cortisone!$T$4)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(Cortisone!$AH$11,Cortisone!$AH$11)</c:f>
              <c:numCache>
                <c:formatCode>0.00</c:formatCode>
                <c:ptCount val="2"/>
                <c:pt idx="0">
                  <c:v>8.6626168009883511</c:v>
                </c:pt>
                <c:pt idx="1">
                  <c:v>8.6626168009883511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E8B-4089-A28C-75DA5B23ED42}"/>
            </c:ext>
          </c:extLst>
        </c:ser>
        <c:ser>
          <c:idx val="1"/>
          <c:order val="2"/>
          <c:tx>
            <c:strRef>
              <c:f>Cortisone!$AG$10</c:f>
              <c:strCache>
                <c:ptCount val="1"/>
                <c:pt idx="0">
                  <c:v>+2SD UCL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00B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1FFE-4398-9D4F-EECDE593A5B5}"/>
              </c:ext>
            </c:extLst>
          </c:dPt>
          <c:xVal>
            <c:numRef>
              <c:f>(Cortisone!$R$4,Cortisone!$T$4)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(Cortisone!$AG$11,Cortisone!$AG$11)</c:f>
              <c:numCache>
                <c:formatCode>0.00</c:formatCode>
                <c:ptCount val="2"/>
                <c:pt idx="0">
                  <c:v>8.0467643752620752</c:v>
                </c:pt>
                <c:pt idx="1">
                  <c:v>8.0467643752620752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E8B-4089-A28C-75DA5B23E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scatterChart>
        <c:scatterStyle val="lineMarker"/>
        <c:varyColors val="1"/>
        <c:ser>
          <c:idx val="0"/>
          <c:order val="0"/>
          <c:tx>
            <c:v>LQC</c:v>
          </c:tx>
          <c:marker>
            <c:symbol val="circle"/>
            <c:size val="10"/>
            <c:spPr>
              <a:solidFill>
                <a:schemeClr val="tx1">
                  <a:lumMod val="50000"/>
                  <a:lumOff val="50000"/>
                </a:schemeClr>
              </a:solidFill>
              <a:ln cmpd="sng">
                <a:solidFill>
                  <a:schemeClr val="tx1"/>
                </a:solidFill>
              </a:ln>
            </c:spPr>
          </c:marker>
          <c:xVal>
            <c:strRef>
              <c:f>Cortisone!$P$14:$P$268</c:f>
              <c:strCach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strCache>
            </c:strRef>
          </c:xVal>
          <c:yVal>
            <c:numRef>
              <c:f>Cortisone!$AC$14:$AC$268</c:f>
              <c:numCache>
                <c:formatCode>0.000</c:formatCode>
                <c:ptCount val="255"/>
                <c:pt idx="0">
                  <c:v>6.9509999999999996</c:v>
                </c:pt>
                <c:pt idx="1">
                  <c:v>6.9329999999999998</c:v>
                </c:pt>
                <c:pt idx="2">
                  <c:v>7.4290000000000003</c:v>
                </c:pt>
                <c:pt idx="3">
                  <c:v>6.7039999999999997</c:v>
                </c:pt>
                <c:pt idx="4">
                  <c:v>6.782</c:v>
                </c:pt>
                <c:pt idx="5">
                  <c:v>8.0399999999999991</c:v>
                </c:pt>
                <c:pt idx="6">
                  <c:v>6.4550000000000001</c:v>
                </c:pt>
                <c:pt idx="7">
                  <c:v>6.69</c:v>
                </c:pt>
                <c:pt idx="8">
                  <c:v>7.19</c:v>
                </c:pt>
                <c:pt idx="9">
                  <c:v>7.2590000000000003</c:v>
                </c:pt>
                <c:pt idx="10">
                  <c:v>7.84</c:v>
                </c:pt>
                <c:pt idx="11">
                  <c:v>6.827</c:v>
                </c:pt>
                <c:pt idx="12">
                  <c:v>6.0220000000000002</c:v>
                </c:pt>
                <c:pt idx="13">
                  <c:v>7.0650000000000004</c:v>
                </c:pt>
                <c:pt idx="14">
                  <c:v>6.6589999999999998</c:v>
                </c:pt>
                <c:pt idx="15">
                  <c:v>5.694</c:v>
                </c:pt>
                <c:pt idx="16">
                  <c:v>6.6689999999999996</c:v>
                </c:pt>
                <c:pt idx="17">
                  <c:v>6.5039999999999996</c:v>
                </c:pt>
                <c:pt idx="18">
                  <c:v>7.2649999999999997</c:v>
                </c:pt>
                <c:pt idx="19">
                  <c:v>6.1230000000000002</c:v>
                </c:pt>
                <c:pt idx="20">
                  <c:v>6.3369999999999997</c:v>
                </c:pt>
                <c:pt idx="21">
                  <c:v>6.6859999999999999</c:v>
                </c:pt>
                <c:pt idx="22">
                  <c:v>7.3769999999999998</c:v>
                </c:pt>
                <c:pt idx="23">
                  <c:v>7.6710000000000003</c:v>
                </c:pt>
                <c:pt idx="24">
                  <c:v>7.0975999999999999</c:v>
                </c:pt>
                <c:pt idx="25">
                  <c:v>5.3449</c:v>
                </c:pt>
                <c:pt idx="26">
                  <c:v>6.6470000000000002</c:v>
                </c:pt>
                <c:pt idx="27">
                  <c:v>7.3070000000000004</c:v>
                </c:pt>
                <c:pt idx="28">
                  <c:v>6.5789999999999997</c:v>
                </c:pt>
                <c:pt idx="29">
                  <c:v>7.7809999999999997</c:v>
                </c:pt>
                <c:pt idx="30">
                  <c:v>6.62</c:v>
                </c:pt>
                <c:pt idx="31">
                  <c:v>7.6449999999999996</c:v>
                </c:pt>
                <c:pt idx="32">
                  <c:v>6.6150000000000002</c:v>
                </c:pt>
                <c:pt idx="33">
                  <c:v>6.766</c:v>
                </c:pt>
                <c:pt idx="34">
                  <c:v>7.04</c:v>
                </c:pt>
                <c:pt idx="35">
                  <c:v>6.6520000000000001</c:v>
                </c:pt>
                <c:pt idx="36">
                  <c:v>5.7759999999999998</c:v>
                </c:pt>
                <c:pt idx="37">
                  <c:v>5.5519999999999996</c:v>
                </c:pt>
                <c:pt idx="38">
                  <c:v>7.0529999999999999</c:v>
                </c:pt>
                <c:pt idx="39">
                  <c:v>7.3470000000000004</c:v>
                </c:pt>
                <c:pt idx="40">
                  <c:v>7.1619999999999999</c:v>
                </c:pt>
                <c:pt idx="41">
                  <c:v>6.0759999999999996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E8B-4089-A28C-75DA5B23ED42}"/>
            </c:ext>
          </c:extLst>
        </c:ser>
        <c:ser>
          <c:idx val="2"/>
          <c:order val="3"/>
          <c:tx>
            <c:v>Mean</c:v>
          </c:tx>
          <c:spPr>
            <a:ln>
              <a:solidFill>
                <a:schemeClr val="accent1"/>
              </a:solidFill>
              <a:prstDash val="sysDash"/>
            </a:ln>
          </c:spPr>
          <c:dPt>
            <c:idx val="0"/>
            <c:marker>
              <c:symbol val="none"/>
            </c:marker>
            <c:bubble3D val="0"/>
            <c:spPr>
              <a:ln w="28575">
                <a:solidFill>
                  <a:schemeClr val="accent1"/>
                </a:solidFill>
                <a:prstDash val="sysDot"/>
              </a:ln>
            </c:spPr>
            <c:extLst>
              <c:ext xmlns:c16="http://schemas.microsoft.com/office/drawing/2014/chart" uri="{C3380CC4-5D6E-409C-BE32-E72D297353CC}">
                <c16:uniqueId val="{00000005-1FFE-4398-9D4F-EECDE593A5B5}"/>
              </c:ext>
            </c:extLst>
          </c:dPt>
          <c:xVal>
            <c:numRef>
              <c:f>(Cortisone!$R$4,Cortisone!$T$4)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(Cortisone!$AC$11,Cortisone!$AC$11)</c:f>
              <c:numCache>
                <c:formatCode>0.00</c:formatCode>
                <c:ptCount val="2"/>
                <c:pt idx="0">
                  <c:v>6.8150595238095226</c:v>
                </c:pt>
                <c:pt idx="1">
                  <c:v>6.8150595238095226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E8B-4089-A28C-75DA5B23ED42}"/>
            </c:ext>
          </c:extLst>
        </c:ser>
        <c:ser>
          <c:idx val="6"/>
          <c:order val="4"/>
          <c:tx>
            <c:strRef>
              <c:f>Cortisone!$AF$10</c:f>
              <c:strCache>
                <c:ptCount val="1"/>
                <c:pt idx="0">
                  <c:v>-2SD LCL</c:v>
                </c:pt>
              </c:strCache>
            </c:strRef>
          </c:tx>
          <c:spPr>
            <a:ln w="25400">
              <a:solidFill>
                <a:schemeClr val="accent6">
                  <a:lumMod val="60000"/>
                  <a:lumOff val="40000"/>
                </a:schemeClr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chemeClr val="accent6">
                    <a:lumMod val="60000"/>
                    <a:lumOff val="40000"/>
                  </a:scheme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7-1FFE-4398-9D4F-EECDE593A5B5}"/>
              </c:ext>
            </c:extLst>
          </c:dPt>
          <c:xVal>
            <c:numRef>
              <c:f>(Cortisone!$R$4,Cortisone!$T$4)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(Cortisone!$AF$11,Cortisone!$AF$11)</c:f>
              <c:numCache>
                <c:formatCode>0.00</c:formatCode>
                <c:ptCount val="2"/>
                <c:pt idx="0">
                  <c:v>5.58335467235697</c:v>
                </c:pt>
                <c:pt idx="1">
                  <c:v>5.58335467235697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E8B-4089-A28C-75DA5B23ED42}"/>
            </c:ext>
          </c:extLst>
        </c:ser>
        <c:ser>
          <c:idx val="5"/>
          <c:order val="5"/>
          <c:tx>
            <c:strRef>
              <c:f>Cortisone!$AE$10</c:f>
              <c:strCache>
                <c:ptCount val="1"/>
                <c:pt idx="0">
                  <c:v>-3SD LCL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FF0000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9-1FFE-4398-9D4F-EECDE593A5B5}"/>
              </c:ext>
            </c:extLst>
          </c:dPt>
          <c:xVal>
            <c:numRef>
              <c:f>(Cortisone!$R$4,Cortisone!$T$4)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(Cortisone!$AE$11,Cortisone!$AE$11)</c:f>
              <c:numCache>
                <c:formatCode>0.00</c:formatCode>
                <c:ptCount val="2"/>
                <c:pt idx="0">
                  <c:v>4.9675022466306942</c:v>
                </c:pt>
                <c:pt idx="1">
                  <c:v>4.9675022466306942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E8B-4089-A28C-75DA5B23E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catAx>
        <c:axId val="1414825479"/>
        <c:scaling>
          <c:orientation val="minMax"/>
        </c:scaling>
        <c:delete val="0"/>
        <c:axPos val="b"/>
        <c:numFmt formatCode="[$-409]d/mmm/yy;@" sourceLinked="0"/>
        <c:majorTickMark val="out"/>
        <c:minorTickMark val="out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664720785"/>
        <c:crosses val="autoZero"/>
        <c:auto val="0"/>
        <c:lblAlgn val="ctr"/>
        <c:lblOffset val="100"/>
        <c:noMultiLvlLbl val="1"/>
      </c:catAx>
      <c:valAx>
        <c:axId val="1664720785"/>
        <c:scaling>
          <c:orientation val="minMax"/>
          <c:max val="1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200">
                    <a:solidFill>
                      <a:schemeClr val="accent6"/>
                    </a:solidFill>
                  </a:rPr>
                  <a:t>LQC [nmol/L]</a:t>
                </a:r>
              </a:p>
            </c:rich>
          </c:tx>
          <c:layout>
            <c:manualLayout>
              <c:xMode val="edge"/>
              <c:yMode val="edge"/>
              <c:x val="1.2907702223661067E-2"/>
              <c:y val="0.40450724699866752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/>
        </c:spPr>
        <c:crossAx val="1414825479"/>
        <c:crosses val="autoZero"/>
        <c:crossBetween val="between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</c:spPr>
      <c:txPr>
        <a:bodyPr anchor="ctr" anchorCtr="1"/>
        <a:lstStyle/>
        <a:p>
          <a:pPr rtl="0">
            <a:defRPr sz="1200"/>
          </a:pPr>
          <a:endParaRPr lang="en-US"/>
        </a:p>
      </c:txPr>
    </c:legend>
    <c:plotVisOnly val="1"/>
    <c:dispBlanksAs val="span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noFill/>
    </a:ln>
  </c:spPr>
  <c:txPr>
    <a:bodyPr/>
    <a:lstStyle/>
    <a:p>
      <a:pPr>
        <a:defRPr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SG">
                <a:solidFill>
                  <a:sysClr val="windowText" lastClr="000000"/>
                </a:solidFill>
              </a:rPr>
              <a:t>ACCURACY</a:t>
            </a:r>
          </a:p>
        </c:rich>
      </c:tx>
      <c:overlay val="0"/>
      <c:spPr>
        <a:noFill/>
      </c:spPr>
    </c:title>
    <c:autoTitleDeleted val="0"/>
    <c:plotArea>
      <c:layout>
        <c:manualLayout>
          <c:layoutTarget val="inner"/>
          <c:xMode val="edge"/>
          <c:yMode val="edge"/>
          <c:x val="9.7388134921387773E-2"/>
          <c:y val="0.12595373243973218"/>
          <c:w val="0.85499174011352508"/>
          <c:h val="0.6503580352696221"/>
        </c:manualLayout>
      </c:layout>
      <c:lineChart>
        <c:grouping val="standard"/>
        <c:varyColors val="1"/>
        <c:ser>
          <c:idx val="4"/>
          <c:order val="4"/>
          <c:tx>
            <c:v>date</c:v>
          </c:tx>
          <c:marker>
            <c:symbol val="none"/>
          </c:marker>
          <c:cat>
            <c:numRef>
              <c:f>Cortisone!$R$14:$R$51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</c:numCache>
            </c:numRef>
          </c:cat>
          <c:val>
            <c:numRef>
              <c:f>Cortisone!$R$14:$R$51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21-43FB-BC1B-37D473A05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4825479"/>
        <c:axId val="1664720785"/>
      </c:lineChart>
      <c:scatterChart>
        <c:scatterStyle val="lineMarker"/>
        <c:varyColors val="1"/>
        <c:ser>
          <c:idx val="1"/>
          <c:order val="0"/>
          <c:tx>
            <c:v>LQC Acc</c:v>
          </c:tx>
          <c:spPr>
            <a:ln>
              <a:solidFill>
                <a:schemeClr val="accent6">
                  <a:lumMod val="50000"/>
                </a:schemeClr>
              </a:solidFill>
            </a:ln>
          </c:spPr>
          <c:marker>
            <c:symbol val="circle"/>
            <c:size val="10"/>
            <c:spPr>
              <a:solidFill>
                <a:schemeClr val="accent6"/>
              </a:solidFill>
              <a:ln>
                <a:solidFill>
                  <a:schemeClr val="accent6"/>
                </a:solidFill>
              </a:ln>
            </c:spPr>
          </c:marker>
          <c:xVal>
            <c:strRef>
              <c:f>Cortisone!$P$14:$P$268</c:f>
              <c:strCach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strCache>
            </c:strRef>
          </c:xVal>
          <c:yVal>
            <c:numRef>
              <c:f>Cortisone!$AH$14:$AH$268</c:f>
              <c:numCache>
                <c:formatCode>0.0%</c:formatCode>
                <c:ptCount val="255"/>
                <c:pt idx="0">
                  <c:v>1.0661042944785277</c:v>
                </c:pt>
                <c:pt idx="1">
                  <c:v>1.0633435582822086</c:v>
                </c:pt>
                <c:pt idx="2">
                  <c:v>1.1394171779141105</c:v>
                </c:pt>
                <c:pt idx="3">
                  <c:v>1.0282208588957056</c:v>
                </c:pt>
                <c:pt idx="4">
                  <c:v>1.0401840490797547</c:v>
                </c:pt>
                <c:pt idx="5">
                  <c:v>1.2331288343558282</c:v>
                </c:pt>
                <c:pt idx="6">
                  <c:v>0.99003067484662588</c:v>
                </c:pt>
                <c:pt idx="7">
                  <c:v>1.026073619631902</c:v>
                </c:pt>
                <c:pt idx="8">
                  <c:v>1.1027607361963192</c:v>
                </c:pt>
                <c:pt idx="9">
                  <c:v>1.1133435582822087</c:v>
                </c:pt>
                <c:pt idx="10">
                  <c:v>1.2024539877300615</c:v>
                </c:pt>
                <c:pt idx="11">
                  <c:v>1.0470858895705522</c:v>
                </c:pt>
                <c:pt idx="12">
                  <c:v>0.9236196319018406</c:v>
                </c:pt>
                <c:pt idx="13">
                  <c:v>1.0835889570552149</c:v>
                </c:pt>
                <c:pt idx="14">
                  <c:v>1.0213190184049079</c:v>
                </c:pt>
                <c:pt idx="15">
                  <c:v>0.87331288343558289</c:v>
                </c:pt>
                <c:pt idx="16">
                  <c:v>1.0228527607361964</c:v>
                </c:pt>
                <c:pt idx="17">
                  <c:v>0.99754601226993866</c:v>
                </c:pt>
                <c:pt idx="18">
                  <c:v>1.1142638036809815</c:v>
                </c:pt>
                <c:pt idx="19">
                  <c:v>0.93911042944785283</c:v>
                </c:pt>
                <c:pt idx="20">
                  <c:v>0.94582089552238802</c:v>
                </c:pt>
                <c:pt idx="21">
                  <c:v>0.99791044776119397</c:v>
                </c:pt>
                <c:pt idx="22">
                  <c:v>1.1010447761194029</c:v>
                </c:pt>
                <c:pt idx="23">
                  <c:v>1.1449253731343283</c:v>
                </c:pt>
                <c:pt idx="24">
                  <c:v>1.0593432835820895</c:v>
                </c:pt>
                <c:pt idx="25">
                  <c:v>0.79774626865671638</c:v>
                </c:pt>
                <c:pt idx="26">
                  <c:v>0.99208955223880602</c:v>
                </c:pt>
                <c:pt idx="27">
                  <c:v>1.0905970149253732</c:v>
                </c:pt>
                <c:pt idx="28">
                  <c:v>0.98194029850746267</c:v>
                </c:pt>
                <c:pt idx="29">
                  <c:v>1.1613432835820894</c:v>
                </c:pt>
                <c:pt idx="30">
                  <c:v>0.9880597014925373</c:v>
                </c:pt>
                <c:pt idx="31">
                  <c:v>1.1410447761194029</c:v>
                </c:pt>
                <c:pt idx="32">
                  <c:v>0.98731343283582085</c:v>
                </c:pt>
                <c:pt idx="33">
                  <c:v>1.0098507462686568</c:v>
                </c:pt>
                <c:pt idx="34">
                  <c:v>1.0507462686567164</c:v>
                </c:pt>
                <c:pt idx="35">
                  <c:v>0.99283582089552236</c:v>
                </c:pt>
                <c:pt idx="36">
                  <c:v>0.8620895522388059</c:v>
                </c:pt>
                <c:pt idx="37">
                  <c:v>0.82865671641791039</c:v>
                </c:pt>
                <c:pt idx="38">
                  <c:v>1.052686567164179</c:v>
                </c:pt>
                <c:pt idx="39">
                  <c:v>1.0965671641791046</c:v>
                </c:pt>
                <c:pt idx="40">
                  <c:v>1.068955223880597</c:v>
                </c:pt>
                <c:pt idx="41">
                  <c:v>0.90686567164179099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21-43FB-BC1B-37D473A05C62}"/>
            </c:ext>
          </c:extLst>
        </c:ser>
        <c:ser>
          <c:idx val="0"/>
          <c:order val="1"/>
          <c:tx>
            <c:v>HQC Acc.</c:v>
          </c:tx>
          <c:spPr>
            <a:ln>
              <a:solidFill>
                <a:schemeClr val="accent2">
                  <a:lumMod val="50000"/>
                </a:schemeClr>
              </a:solidFill>
            </a:ln>
          </c:spPr>
          <c:marker>
            <c:symbol val="circle"/>
            <c:size val="10"/>
            <c:spPr>
              <a:solidFill>
                <a:srgbClr val="FFC000"/>
              </a:solidFill>
              <a:ln cmpd="sng">
                <a:solidFill>
                  <a:schemeClr val="accent2"/>
                </a:solidFill>
              </a:ln>
            </c:spPr>
          </c:marker>
          <c:xVal>
            <c:strRef>
              <c:f>Cortisone!$P$14:$P$268</c:f>
              <c:strCach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strCache>
            </c:strRef>
          </c:xVal>
          <c:yVal>
            <c:numRef>
              <c:f>Cortisone!$Z$14:$Z$268</c:f>
              <c:numCache>
                <c:formatCode>0.0%</c:formatCode>
                <c:ptCount val="255"/>
                <c:pt idx="0">
                  <c:v>1.0368155012636899</c:v>
                </c:pt>
                <c:pt idx="1">
                  <c:v>1.0118197135636056</c:v>
                </c:pt>
                <c:pt idx="2">
                  <c:v>1.1433361415332772</c:v>
                </c:pt>
                <c:pt idx="3">
                  <c:v>1.058559393428812</c:v>
                </c:pt>
                <c:pt idx="4">
                  <c:v>1.1647262005054759</c:v>
                </c:pt>
                <c:pt idx="5">
                  <c:v>1.1035888795282225</c:v>
                </c:pt>
                <c:pt idx="6">
                  <c:v>0.99781802864363944</c:v>
                </c:pt>
                <c:pt idx="7">
                  <c:v>1.0524936815501262</c:v>
                </c:pt>
                <c:pt idx="8">
                  <c:v>1.054709351305813</c:v>
                </c:pt>
                <c:pt idx="9">
                  <c:v>0.98077506318449881</c:v>
                </c:pt>
                <c:pt idx="10">
                  <c:v>1.2645408593091827</c:v>
                </c:pt>
                <c:pt idx="11">
                  <c:v>1.4132603201347935</c:v>
                </c:pt>
                <c:pt idx="12">
                  <c:v>1.3919882055602359</c:v>
                </c:pt>
                <c:pt idx="13">
                  <c:v>1.7775905644481886</c:v>
                </c:pt>
                <c:pt idx="14">
                  <c:v>1.1833445661331086</c:v>
                </c:pt>
                <c:pt idx="15">
                  <c:v>1.2018702611625949</c:v>
                </c:pt>
                <c:pt idx="16">
                  <c:v>1.023765796124684</c:v>
                </c:pt>
                <c:pt idx="17">
                  <c:v>1.1295450716090984</c:v>
                </c:pt>
                <c:pt idx="18">
                  <c:v>1.09044650379107</c:v>
                </c:pt>
                <c:pt idx="19">
                  <c:v>1.0225526537489469</c:v>
                </c:pt>
                <c:pt idx="20">
                  <c:v>1.1124222035323801</c:v>
                </c:pt>
                <c:pt idx="21">
                  <c:v>1.0746341463414635</c:v>
                </c:pt>
                <c:pt idx="22">
                  <c:v>1.0935912531539107</c:v>
                </c:pt>
                <c:pt idx="23">
                  <c:v>0.99338099243061395</c:v>
                </c:pt>
                <c:pt idx="24">
                  <c:v>1.2873843566021865</c:v>
                </c:pt>
                <c:pt idx="25">
                  <c:v>0.81853658536585361</c:v>
                </c:pt>
                <c:pt idx="26">
                  <c:v>0.9626408746846089</c:v>
                </c:pt>
                <c:pt idx="27">
                  <c:v>1.0442809083263247</c:v>
                </c:pt>
                <c:pt idx="28">
                  <c:v>1.0569386038687973</c:v>
                </c:pt>
                <c:pt idx="29">
                  <c:v>1.0996972245584524</c:v>
                </c:pt>
                <c:pt idx="30">
                  <c:v>1.1355340622371739</c:v>
                </c:pt>
                <c:pt idx="31">
                  <c:v>1.0001597981497055</c:v>
                </c:pt>
                <c:pt idx="32">
                  <c:v>1.0989907485281747</c:v>
                </c:pt>
                <c:pt idx="33">
                  <c:v>1.1047098402018503</c:v>
                </c:pt>
                <c:pt idx="34">
                  <c:v>1.0037931034482759</c:v>
                </c:pt>
                <c:pt idx="35">
                  <c:v>0.90586206896551713</c:v>
                </c:pt>
                <c:pt idx="36">
                  <c:v>1.1677964676198485</c:v>
                </c:pt>
                <c:pt idx="37">
                  <c:v>0.96503784693019334</c:v>
                </c:pt>
                <c:pt idx="38">
                  <c:v>1.0561816652649285</c:v>
                </c:pt>
                <c:pt idx="39">
                  <c:v>0.99275021026072319</c:v>
                </c:pt>
                <c:pt idx="40">
                  <c:v>0.95654331370899914</c:v>
                </c:pt>
                <c:pt idx="41">
                  <c:v>0.97531539108494536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21-43FB-BC1B-37D473A05C62}"/>
            </c:ext>
          </c:extLst>
        </c:ser>
        <c:ser>
          <c:idx val="5"/>
          <c:order val="2"/>
          <c:tx>
            <c:v>UCL</c:v>
          </c:tx>
          <c:spPr>
            <a:ln>
              <a:prstDash val="dash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C00000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1-49B8-4B4C-984B-79E27AF94306}"/>
              </c:ext>
            </c:extLst>
          </c:dPt>
          <c:xVal>
            <c:numRef>
              <c:f>(Cortisone!$R$4,Cortisone!$T$4)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(Cortisone!$Q$11,Cortisone!$Q$11)</c:f>
              <c:numCache>
                <c:formatCode>0%</c:formatCode>
                <c:ptCount val="2"/>
                <c:pt idx="0">
                  <c:v>1.1499999999999999</c:v>
                </c:pt>
                <c:pt idx="1">
                  <c:v>1.1499999999999999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521-43FB-BC1B-37D473A05C62}"/>
            </c:ext>
          </c:extLst>
        </c:ser>
        <c:ser>
          <c:idx val="6"/>
          <c:order val="3"/>
          <c:tx>
            <c:v>LCL</c:v>
          </c:tx>
          <c:spPr>
            <a:ln w="25400"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chemeClr val="accent6">
                    <a:lumMod val="75000"/>
                  </a:scheme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3-49B8-4B4C-984B-79E27AF94306}"/>
              </c:ext>
            </c:extLst>
          </c:dPt>
          <c:xVal>
            <c:numRef>
              <c:f>(Cortisone!$R$4,Cortisone!$T$4)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(Cortisone!$R$11,Cortisone!$R$11)</c:f>
              <c:numCache>
                <c:formatCode>0%</c:formatCode>
                <c:ptCount val="2"/>
                <c:pt idx="0">
                  <c:v>0.8</c:v>
                </c:pt>
                <c:pt idx="1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521-43FB-BC1B-37D473A05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catAx>
        <c:axId val="1414825479"/>
        <c:scaling>
          <c:orientation val="minMax"/>
        </c:scaling>
        <c:delete val="0"/>
        <c:axPos val="b"/>
        <c:numFmt formatCode="[$-409]d/mmm/yy;@" sourceLinked="0"/>
        <c:majorTickMark val="out"/>
        <c:minorTickMark val="out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664720785"/>
        <c:crosses val="autoZero"/>
        <c:auto val="0"/>
        <c:lblAlgn val="ctr"/>
        <c:lblOffset val="100"/>
        <c:noMultiLvlLbl val="1"/>
      </c:catAx>
      <c:valAx>
        <c:axId val="1664720785"/>
        <c:scaling>
          <c:orientation val="minMax"/>
          <c:max val="1.8"/>
          <c:min val="0.4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ACCURACY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/>
            </a:pPr>
            <a:endParaRPr lang="en-US"/>
          </a:p>
        </c:txPr>
        <c:crossAx val="1414825479"/>
        <c:crosses val="autoZero"/>
        <c:crossBetween val="between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</c:spPr>
      <c:txPr>
        <a:bodyPr anchor="ctr" anchorCtr="1"/>
        <a:lstStyle/>
        <a:p>
          <a:pPr rtl="0">
            <a:defRPr sz="1400" b="0"/>
          </a:pPr>
          <a:endParaRPr lang="en-US"/>
        </a:p>
      </c:txPr>
    </c:legend>
    <c:plotVisOnly val="1"/>
    <c:dispBlanksAs val="span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noFill/>
    </a:ln>
  </c:spPr>
  <c:txPr>
    <a:bodyPr/>
    <a:lstStyle/>
    <a:p>
      <a:pPr>
        <a:defRPr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SG">
                <a:solidFill>
                  <a:schemeClr val="accent2"/>
                </a:solidFill>
              </a:rPr>
              <a:t>HQC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041856212537431E-2"/>
          <c:y val="0.13692552474352129"/>
          <c:w val="0.85499174011352508"/>
          <c:h val="0.6503580352696221"/>
        </c:manualLayout>
      </c:layout>
      <c:lineChart>
        <c:grouping val="standard"/>
        <c:varyColors val="1"/>
        <c:ser>
          <c:idx val="4"/>
          <c:order val="6"/>
          <c:tx>
            <c:v>date</c:v>
          </c:tx>
          <c:marker>
            <c:symbol val="none"/>
          </c:marker>
          <c:cat>
            <c:numRef>
              <c:f>Dexamethasone!$R$14:$R$55</c:f>
              <c:numCache>
                <c:formatCode>yyyy/mm/dd;@</c:formatCode>
                <c:ptCount val="42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  <c:pt idx="38">
                  <c:v>46044</c:v>
                </c:pt>
                <c:pt idx="39">
                  <c:v>46048</c:v>
                </c:pt>
                <c:pt idx="40">
                  <c:v>46048</c:v>
                </c:pt>
                <c:pt idx="41">
                  <c:v>46065</c:v>
                </c:pt>
              </c:numCache>
            </c:numRef>
          </c:cat>
          <c:val>
            <c:numRef>
              <c:f>Dexamethasone!$R$14:$R$51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7A-4416-8BCD-C92A8EEC4B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4825479"/>
        <c:axId val="1664720785"/>
      </c:lineChart>
      <c:scatterChart>
        <c:scatterStyle val="smoothMarker"/>
        <c:varyColors val="1"/>
        <c:ser>
          <c:idx val="3"/>
          <c:order val="1"/>
          <c:tx>
            <c:strRef>
              <c:f>Dexamethasone!$Z$10</c:f>
              <c:strCache>
                <c:ptCount val="1"/>
                <c:pt idx="0">
                  <c:v>+3SD UCL</c:v>
                </c:pt>
              </c:strCache>
            </c:strRef>
          </c:tx>
          <c:spPr>
            <a:ln>
              <a:solidFill>
                <a:srgbClr val="C00000"/>
              </a:solidFill>
              <a:prstDash val="solid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C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3B9-4E4A-993F-EAFE08683F0B}"/>
              </c:ext>
            </c:extLst>
          </c:dPt>
          <c:xVal>
            <c:numRef>
              <c:f>(Dexamethasone!$R$4,Dexamethasone!$T$4)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(Dexamethasone!$Z$11,Dexamethasone!$Z$11)</c:f>
              <c:numCache>
                <c:formatCode>0.00</c:formatCode>
                <c:ptCount val="2"/>
                <c:pt idx="0">
                  <c:v>148.10784833075229</c:v>
                </c:pt>
                <c:pt idx="1">
                  <c:v>148.10784833075229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07A-4416-8BCD-C92A8EEC4B23}"/>
            </c:ext>
          </c:extLst>
        </c:ser>
        <c:ser>
          <c:idx val="1"/>
          <c:order val="5"/>
          <c:tx>
            <c:strRef>
              <c:f>Dexamethasone!$W$10</c:f>
              <c:strCache>
                <c:ptCount val="1"/>
                <c:pt idx="0">
                  <c:v>-3SD LCL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00B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83B9-4E4A-993F-EAFE08683F0B}"/>
              </c:ext>
            </c:extLst>
          </c:dPt>
          <c:xVal>
            <c:numRef>
              <c:f>(Dexamethasone!$R$4,Dexamethasone!$T$4)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(Dexamethasone!$W$11,Dexamethasone!$W$11)</c:f>
              <c:numCache>
                <c:formatCode>0.00</c:formatCode>
                <c:ptCount val="2"/>
                <c:pt idx="0">
                  <c:v>77.81781357400962</c:v>
                </c:pt>
                <c:pt idx="1">
                  <c:v>77.81781357400962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07A-4416-8BCD-C92A8EEC4B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scatterChart>
        <c:scatterStyle val="lineMarker"/>
        <c:varyColors val="1"/>
        <c:ser>
          <c:idx val="0"/>
          <c:order val="0"/>
          <c:tx>
            <c:v>HQC</c:v>
          </c:tx>
          <c:marker>
            <c:symbol val="circle"/>
            <c:size val="10"/>
            <c:spPr>
              <a:solidFill>
                <a:schemeClr val="tx1">
                  <a:lumMod val="50000"/>
                  <a:lumOff val="50000"/>
                </a:schemeClr>
              </a:solidFill>
              <a:ln cmpd="sng">
                <a:solidFill>
                  <a:schemeClr val="tx1"/>
                </a:solidFill>
              </a:ln>
            </c:spPr>
          </c:marker>
          <c:xVal>
            <c:strRef>
              <c:f>Dexamethasone!$P$14:$P$268</c:f>
              <c:strCach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strCache>
            </c:strRef>
          </c:xVal>
          <c:yVal>
            <c:numRef>
              <c:f>Dexamethasone!$U$14:$U$268</c:f>
              <c:numCache>
                <c:formatCode>0.000</c:formatCode>
                <c:ptCount val="255"/>
                <c:pt idx="0">
                  <c:v>126.24299999999999</c:v>
                </c:pt>
                <c:pt idx="1">
                  <c:v>116.886</c:v>
                </c:pt>
                <c:pt idx="2">
                  <c:v>126.627</c:v>
                </c:pt>
                <c:pt idx="3">
                  <c:v>119.655</c:v>
                </c:pt>
                <c:pt idx="4">
                  <c:v>133.27000000000001</c:v>
                </c:pt>
                <c:pt idx="5">
                  <c:v>128.51400000000001</c:v>
                </c:pt>
                <c:pt idx="6">
                  <c:v>112.843</c:v>
                </c:pt>
                <c:pt idx="7">
                  <c:v>116.816</c:v>
                </c:pt>
                <c:pt idx="8">
                  <c:v>110.80800000000001</c:v>
                </c:pt>
                <c:pt idx="9">
                  <c:v>123.75</c:v>
                </c:pt>
                <c:pt idx="10">
                  <c:v>127.883</c:v>
                </c:pt>
                <c:pt idx="11">
                  <c:v>103.63200000000001</c:v>
                </c:pt>
                <c:pt idx="12">
                  <c:v>97.936000000000007</c:v>
                </c:pt>
                <c:pt idx="13">
                  <c:v>120.867</c:v>
                </c:pt>
                <c:pt idx="14">
                  <c:v>106.03700000000001</c:v>
                </c:pt>
                <c:pt idx="15">
                  <c:v>104.929</c:v>
                </c:pt>
                <c:pt idx="16">
                  <c:v>111.413</c:v>
                </c:pt>
                <c:pt idx="17">
                  <c:v>100.78400000000001</c:v>
                </c:pt>
                <c:pt idx="18">
                  <c:v>117.96899999999999</c:v>
                </c:pt>
                <c:pt idx="19">
                  <c:v>106.735</c:v>
                </c:pt>
                <c:pt idx="20">
                  <c:v>119.49299999999999</c:v>
                </c:pt>
                <c:pt idx="21">
                  <c:v>92.204999999999998</c:v>
                </c:pt>
                <c:pt idx="22">
                  <c:v>103.682</c:v>
                </c:pt>
                <c:pt idx="23">
                  <c:v>117.402</c:v>
                </c:pt>
                <c:pt idx="24">
                  <c:v>94.961699999999993</c:v>
                </c:pt>
                <c:pt idx="25">
                  <c:v>129.22120000000001</c:v>
                </c:pt>
                <c:pt idx="26">
                  <c:v>104.77200000000001</c:v>
                </c:pt>
                <c:pt idx="27">
                  <c:v>118.69499999999999</c:v>
                </c:pt>
                <c:pt idx="28">
                  <c:v>112.125</c:v>
                </c:pt>
                <c:pt idx="29">
                  <c:v>107.63800000000001</c:v>
                </c:pt>
                <c:pt idx="30">
                  <c:v>112.917</c:v>
                </c:pt>
                <c:pt idx="31">
                  <c:v>91.759</c:v>
                </c:pt>
                <c:pt idx="32">
                  <c:v>123.116</c:v>
                </c:pt>
                <c:pt idx="33">
                  <c:v>105.21899999999999</c:v>
                </c:pt>
                <c:pt idx="34">
                  <c:v>118.971</c:v>
                </c:pt>
                <c:pt idx="35">
                  <c:v>96.92</c:v>
                </c:pt>
                <c:pt idx="36">
                  <c:v>108.286</c:v>
                </c:pt>
                <c:pt idx="37">
                  <c:v>120.863</c:v>
                </c:pt>
                <c:pt idx="38">
                  <c:v>140.84700000000001</c:v>
                </c:pt>
                <c:pt idx="39">
                  <c:v>94.194000000000003</c:v>
                </c:pt>
                <c:pt idx="40">
                  <c:v>104.504</c:v>
                </c:pt>
                <c:pt idx="41">
                  <c:v>113.051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07A-4416-8BCD-C92A8EEC4B23}"/>
            </c:ext>
          </c:extLst>
        </c:ser>
        <c:ser>
          <c:idx val="5"/>
          <c:order val="2"/>
          <c:tx>
            <c:strRef>
              <c:f>Dexamethasone!$Y$10</c:f>
              <c:strCache>
                <c:ptCount val="1"/>
                <c:pt idx="0">
                  <c:v>+2SD UCL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FF0000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5-83B9-4E4A-993F-EAFE08683F0B}"/>
              </c:ext>
            </c:extLst>
          </c:dPt>
          <c:xVal>
            <c:numRef>
              <c:f>(Dexamethasone!$R$4,Dexamethasone!$T$4)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(Dexamethasone!$Y$11,Dexamethasone!$Y$11)</c:f>
              <c:numCache>
                <c:formatCode>0.00</c:formatCode>
                <c:ptCount val="2"/>
                <c:pt idx="0">
                  <c:v>136.39284253796185</c:v>
                </c:pt>
                <c:pt idx="1">
                  <c:v>136.39284253796185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07A-4416-8BCD-C92A8EEC4B23}"/>
            </c:ext>
          </c:extLst>
        </c:ser>
        <c:ser>
          <c:idx val="2"/>
          <c:order val="3"/>
          <c:tx>
            <c:v>Mean</c:v>
          </c:tx>
          <c:spPr>
            <a:ln>
              <a:solidFill>
                <a:schemeClr val="accent1"/>
              </a:solidFill>
              <a:prstDash val="sysDash"/>
            </a:ln>
          </c:spPr>
          <c:dPt>
            <c:idx val="0"/>
            <c:marker>
              <c:symbol val="none"/>
            </c:marker>
            <c:bubble3D val="0"/>
            <c:spPr>
              <a:ln w="28575">
                <a:solidFill>
                  <a:schemeClr val="accent1"/>
                </a:solidFill>
                <a:prstDash val="sysDot"/>
              </a:ln>
            </c:spPr>
            <c:extLst>
              <c:ext xmlns:c16="http://schemas.microsoft.com/office/drawing/2014/chart" uri="{C3380CC4-5D6E-409C-BE32-E72D297353CC}">
                <c16:uniqueId val="{00000007-83B9-4E4A-993F-EAFE08683F0B}"/>
              </c:ext>
            </c:extLst>
          </c:dPt>
          <c:xVal>
            <c:numRef>
              <c:f>(Dexamethasone!$R$4,Dexamethasone!$T$4)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(Dexamethasone!$U$11,Dexamethasone!$U$11)</c:f>
              <c:numCache>
                <c:formatCode>0.00</c:formatCode>
                <c:ptCount val="2"/>
                <c:pt idx="0">
                  <c:v>112.96283095238095</c:v>
                </c:pt>
                <c:pt idx="1">
                  <c:v>112.96283095238095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07A-4416-8BCD-C92A8EEC4B23}"/>
            </c:ext>
          </c:extLst>
        </c:ser>
        <c:ser>
          <c:idx val="6"/>
          <c:order val="4"/>
          <c:tx>
            <c:strRef>
              <c:f>Dexamethasone!$X$10</c:f>
              <c:strCache>
                <c:ptCount val="1"/>
                <c:pt idx="0">
                  <c:v>-2SD LCL</c:v>
                </c:pt>
              </c:strCache>
            </c:strRef>
          </c:tx>
          <c:spPr>
            <a:ln w="25400">
              <a:solidFill>
                <a:schemeClr val="accent6">
                  <a:lumMod val="60000"/>
                  <a:lumOff val="40000"/>
                </a:schemeClr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chemeClr val="accent6">
                    <a:lumMod val="60000"/>
                    <a:lumOff val="40000"/>
                  </a:scheme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9-83B9-4E4A-993F-EAFE08683F0B}"/>
              </c:ext>
            </c:extLst>
          </c:dPt>
          <c:xVal>
            <c:numRef>
              <c:f>(Dexamethasone!$R$4,Dexamethasone!$T$4)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(Dexamethasone!$X$11,Dexamethasone!$X$11)</c:f>
              <c:numCache>
                <c:formatCode>0.00</c:formatCode>
                <c:ptCount val="2"/>
                <c:pt idx="0">
                  <c:v>89.532819366800055</c:v>
                </c:pt>
                <c:pt idx="1">
                  <c:v>89.532819366800055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07A-4416-8BCD-C92A8EEC4B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catAx>
        <c:axId val="1414825479"/>
        <c:scaling>
          <c:orientation val="minMax"/>
        </c:scaling>
        <c:delete val="0"/>
        <c:axPos val="b"/>
        <c:numFmt formatCode="[$-409]d/mmm/yy;@" sourceLinked="0"/>
        <c:majorTickMark val="out"/>
        <c:minorTickMark val="out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664720785"/>
        <c:crosses val="autoZero"/>
        <c:auto val="0"/>
        <c:lblAlgn val="ctr"/>
        <c:lblOffset val="100"/>
        <c:noMultiLvlLbl val="1"/>
      </c:catAx>
      <c:valAx>
        <c:axId val="1664720785"/>
        <c:scaling>
          <c:orientation val="minMax"/>
          <c:max val="18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HQC [nmol/L]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/>
        </c:spPr>
        <c:crossAx val="1414825479"/>
        <c:crosses val="autoZero"/>
        <c:crossBetween val="between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</c:spPr>
      <c:txPr>
        <a:bodyPr anchor="ctr" anchorCtr="1"/>
        <a:lstStyle/>
        <a:p>
          <a:pPr rtl="0">
            <a:defRPr sz="1200"/>
          </a:pPr>
          <a:endParaRPr lang="en-US"/>
        </a:p>
      </c:txPr>
    </c:legend>
    <c:plotVisOnly val="1"/>
    <c:dispBlanksAs val="span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noFill/>
    </a:ln>
  </c:spPr>
  <c:txPr>
    <a:bodyPr/>
    <a:lstStyle/>
    <a:p>
      <a:pPr>
        <a:defRPr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SG">
                <a:solidFill>
                  <a:schemeClr val="accent6"/>
                </a:solidFill>
              </a:rPr>
              <a:t>LQC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041856212537431E-2"/>
          <c:y val="0.13692552474352129"/>
          <c:w val="0.85499174011352508"/>
          <c:h val="0.6503580352696221"/>
        </c:manualLayout>
      </c:layout>
      <c:lineChart>
        <c:grouping val="standard"/>
        <c:varyColors val="1"/>
        <c:ser>
          <c:idx val="4"/>
          <c:order val="6"/>
          <c:tx>
            <c:v>date</c:v>
          </c:tx>
          <c:marker>
            <c:symbol val="none"/>
          </c:marker>
          <c:cat>
            <c:numRef>
              <c:f>Dexamethasone!$R$14:$R$55</c:f>
              <c:numCache>
                <c:formatCode>yyyy/mm/dd;@</c:formatCode>
                <c:ptCount val="42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  <c:pt idx="38">
                  <c:v>46044</c:v>
                </c:pt>
                <c:pt idx="39">
                  <c:v>46048</c:v>
                </c:pt>
                <c:pt idx="40">
                  <c:v>46048</c:v>
                </c:pt>
                <c:pt idx="41">
                  <c:v>46065</c:v>
                </c:pt>
              </c:numCache>
            </c:numRef>
          </c:cat>
          <c:val>
            <c:numRef>
              <c:f>Dexamethasone!$R$14:$R$51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90-4201-8E29-48DD215034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4825479"/>
        <c:axId val="1664720785"/>
      </c:lineChart>
      <c:scatterChart>
        <c:scatterStyle val="smoothMarker"/>
        <c:varyColors val="1"/>
        <c:ser>
          <c:idx val="3"/>
          <c:order val="1"/>
          <c:tx>
            <c:strRef>
              <c:f>Dexamethasone!$AH$10</c:f>
              <c:strCache>
                <c:ptCount val="1"/>
                <c:pt idx="0">
                  <c:v>+3SD UCL</c:v>
                </c:pt>
              </c:strCache>
            </c:strRef>
          </c:tx>
          <c:spPr>
            <a:ln>
              <a:solidFill>
                <a:srgbClr val="C00000"/>
              </a:solidFill>
              <a:prstDash val="solid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C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3DA-4B2C-9B20-224F34A195ED}"/>
              </c:ext>
            </c:extLst>
          </c:dPt>
          <c:xVal>
            <c:numRef>
              <c:f>(Dexamethasone!$R$4,Dexamethasone!$T$4)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(Dexamethasone!$AH$11,Dexamethasone!$AH$11)</c:f>
              <c:numCache>
                <c:formatCode>0.00</c:formatCode>
                <c:ptCount val="2"/>
                <c:pt idx="0">
                  <c:v>8.0491618140684622</c:v>
                </c:pt>
                <c:pt idx="1">
                  <c:v>8.0491618140684622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890-4201-8E29-48DD21503459}"/>
            </c:ext>
          </c:extLst>
        </c:ser>
        <c:ser>
          <c:idx val="1"/>
          <c:order val="2"/>
          <c:tx>
            <c:strRef>
              <c:f>Dexamethasone!$AG$10</c:f>
              <c:strCache>
                <c:ptCount val="1"/>
                <c:pt idx="0">
                  <c:v>+2SD UCL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00B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B3DA-4B2C-9B20-224F34A195ED}"/>
              </c:ext>
            </c:extLst>
          </c:dPt>
          <c:xVal>
            <c:numRef>
              <c:f>(Dexamethasone!$R$4,Dexamethasone!$T$4)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(Dexamethasone!$AG$11,Dexamethasone!$AG$11)</c:f>
              <c:numCache>
                <c:formatCode>0.00</c:formatCode>
                <c:ptCount val="2"/>
                <c:pt idx="0">
                  <c:v>7.4720539077916728</c:v>
                </c:pt>
                <c:pt idx="1">
                  <c:v>7.4720539077916728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890-4201-8E29-48DD215034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scatterChart>
        <c:scatterStyle val="lineMarker"/>
        <c:varyColors val="1"/>
        <c:ser>
          <c:idx val="0"/>
          <c:order val="0"/>
          <c:tx>
            <c:v>LQC</c:v>
          </c:tx>
          <c:marker>
            <c:symbol val="circle"/>
            <c:size val="10"/>
            <c:spPr>
              <a:solidFill>
                <a:schemeClr val="tx1">
                  <a:lumMod val="50000"/>
                  <a:lumOff val="50000"/>
                </a:schemeClr>
              </a:solidFill>
              <a:ln cmpd="sng">
                <a:solidFill>
                  <a:schemeClr val="tx1"/>
                </a:solidFill>
              </a:ln>
            </c:spPr>
          </c:marker>
          <c:xVal>
            <c:strRef>
              <c:f>Dexamethasone!$P$14:$P$268</c:f>
              <c:strCach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strCache>
            </c:strRef>
          </c:xVal>
          <c:yVal>
            <c:numRef>
              <c:f>Dexamethasone!$AC$14:$AC$268</c:f>
              <c:numCache>
                <c:formatCode>0.000</c:formatCode>
                <c:ptCount val="255"/>
                <c:pt idx="0">
                  <c:v>6.5259999999999998</c:v>
                </c:pt>
                <c:pt idx="1">
                  <c:v>6.5620000000000003</c:v>
                </c:pt>
                <c:pt idx="2">
                  <c:v>6.8330000000000002</c:v>
                </c:pt>
                <c:pt idx="3">
                  <c:v>6.8250000000000002</c:v>
                </c:pt>
                <c:pt idx="4">
                  <c:v>6.2530000000000001</c:v>
                </c:pt>
                <c:pt idx="5">
                  <c:v>6.9379999999999997</c:v>
                </c:pt>
                <c:pt idx="6">
                  <c:v>5.9610000000000003</c:v>
                </c:pt>
                <c:pt idx="7">
                  <c:v>7.0330000000000004</c:v>
                </c:pt>
                <c:pt idx="8">
                  <c:v>8.7289999999999992</c:v>
                </c:pt>
                <c:pt idx="9">
                  <c:v>5.8550000000000004</c:v>
                </c:pt>
                <c:pt idx="10">
                  <c:v>7.5960000000000001</c:v>
                </c:pt>
                <c:pt idx="11">
                  <c:v>6.7350000000000003</c:v>
                </c:pt>
                <c:pt idx="12">
                  <c:v>5.1440000000000001</c:v>
                </c:pt>
                <c:pt idx="13">
                  <c:v>6.4660000000000002</c:v>
                </c:pt>
                <c:pt idx="14">
                  <c:v>5.9029999999999996</c:v>
                </c:pt>
                <c:pt idx="15">
                  <c:v>7.2530000000000001</c:v>
                </c:pt>
                <c:pt idx="16">
                  <c:v>6.2460000000000004</c:v>
                </c:pt>
                <c:pt idx="17">
                  <c:v>5.86</c:v>
                </c:pt>
                <c:pt idx="18">
                  <c:v>6.0030000000000001</c:v>
                </c:pt>
                <c:pt idx="19">
                  <c:v>6.3689999999999998</c:v>
                </c:pt>
                <c:pt idx="20">
                  <c:v>5.54</c:v>
                </c:pt>
                <c:pt idx="21">
                  <c:v>6.2</c:v>
                </c:pt>
                <c:pt idx="22">
                  <c:v>5.423</c:v>
                </c:pt>
                <c:pt idx="23">
                  <c:v>6.2370000000000001</c:v>
                </c:pt>
                <c:pt idx="24">
                  <c:v>6.5629999999999997</c:v>
                </c:pt>
                <c:pt idx="25">
                  <c:v>6.1811999999999996</c:v>
                </c:pt>
                <c:pt idx="26">
                  <c:v>5.2270000000000003</c:v>
                </c:pt>
                <c:pt idx="27">
                  <c:v>6.62</c:v>
                </c:pt>
                <c:pt idx="28">
                  <c:v>7.0170000000000003</c:v>
                </c:pt>
                <c:pt idx="29">
                  <c:v>6.452</c:v>
                </c:pt>
                <c:pt idx="30">
                  <c:v>5.74</c:v>
                </c:pt>
                <c:pt idx="31">
                  <c:v>6.1349999999999998</c:v>
                </c:pt>
                <c:pt idx="32">
                  <c:v>5.5469999999999997</c:v>
                </c:pt>
                <c:pt idx="33">
                  <c:v>6.3550000000000004</c:v>
                </c:pt>
                <c:pt idx="34">
                  <c:v>5.53</c:v>
                </c:pt>
                <c:pt idx="35">
                  <c:v>6.226</c:v>
                </c:pt>
                <c:pt idx="36">
                  <c:v>5.6539999999999999</c:v>
                </c:pt>
                <c:pt idx="37">
                  <c:v>5.7610000000000001</c:v>
                </c:pt>
                <c:pt idx="38">
                  <c:v>5.9320000000000004</c:v>
                </c:pt>
                <c:pt idx="39">
                  <c:v>6.835</c:v>
                </c:pt>
                <c:pt idx="40">
                  <c:v>7.0970000000000004</c:v>
                </c:pt>
                <c:pt idx="41">
                  <c:v>5.9870000000000001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890-4201-8E29-48DD21503459}"/>
            </c:ext>
          </c:extLst>
        </c:ser>
        <c:ser>
          <c:idx val="2"/>
          <c:order val="3"/>
          <c:tx>
            <c:v>Mean</c:v>
          </c:tx>
          <c:spPr>
            <a:ln>
              <a:solidFill>
                <a:schemeClr val="accent1"/>
              </a:solidFill>
              <a:prstDash val="sysDash"/>
            </a:ln>
          </c:spPr>
          <c:dPt>
            <c:idx val="0"/>
            <c:marker>
              <c:symbol val="none"/>
            </c:marker>
            <c:bubble3D val="0"/>
            <c:spPr>
              <a:ln w="28575">
                <a:solidFill>
                  <a:schemeClr val="accent1"/>
                </a:solidFill>
                <a:prstDash val="sysDot"/>
              </a:ln>
            </c:spPr>
            <c:extLst>
              <c:ext xmlns:c16="http://schemas.microsoft.com/office/drawing/2014/chart" uri="{C3380CC4-5D6E-409C-BE32-E72D297353CC}">
                <c16:uniqueId val="{00000005-B3DA-4B2C-9B20-224F34A195ED}"/>
              </c:ext>
            </c:extLst>
          </c:dPt>
          <c:xVal>
            <c:numRef>
              <c:f>(Dexamethasone!$R$4,Dexamethasone!$T$4)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(Dexamethasone!$AC$11,Dexamethasone!$AC$11)</c:f>
              <c:numCache>
                <c:formatCode>0.00</c:formatCode>
                <c:ptCount val="2"/>
                <c:pt idx="0">
                  <c:v>6.3178380952380939</c:v>
                </c:pt>
                <c:pt idx="1">
                  <c:v>6.3178380952380939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890-4201-8E29-48DD21503459}"/>
            </c:ext>
          </c:extLst>
        </c:ser>
        <c:ser>
          <c:idx val="6"/>
          <c:order val="4"/>
          <c:tx>
            <c:strRef>
              <c:f>Dexamethasone!$AF$10</c:f>
              <c:strCache>
                <c:ptCount val="1"/>
                <c:pt idx="0">
                  <c:v>-2SD LCL</c:v>
                </c:pt>
              </c:strCache>
            </c:strRef>
          </c:tx>
          <c:spPr>
            <a:ln w="25400">
              <a:solidFill>
                <a:schemeClr val="accent6">
                  <a:lumMod val="60000"/>
                  <a:lumOff val="40000"/>
                </a:schemeClr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chemeClr val="accent6">
                    <a:lumMod val="60000"/>
                    <a:lumOff val="40000"/>
                  </a:scheme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7-B3DA-4B2C-9B20-224F34A195ED}"/>
              </c:ext>
            </c:extLst>
          </c:dPt>
          <c:xVal>
            <c:numRef>
              <c:f>(Dexamethasone!$R$4,Dexamethasone!$T$4)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(Dexamethasone!$AF$11,Dexamethasone!$AF$11)</c:f>
              <c:numCache>
                <c:formatCode>0.00</c:formatCode>
                <c:ptCount val="2"/>
                <c:pt idx="0">
                  <c:v>5.1636222826845151</c:v>
                </c:pt>
                <c:pt idx="1">
                  <c:v>5.1636222826845151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890-4201-8E29-48DD21503459}"/>
            </c:ext>
          </c:extLst>
        </c:ser>
        <c:ser>
          <c:idx val="5"/>
          <c:order val="5"/>
          <c:tx>
            <c:strRef>
              <c:f>Dexamethasone!$AE$10</c:f>
              <c:strCache>
                <c:ptCount val="1"/>
                <c:pt idx="0">
                  <c:v>-3SD LCL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FF0000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9-B3DA-4B2C-9B20-224F34A195ED}"/>
              </c:ext>
            </c:extLst>
          </c:dPt>
          <c:xVal>
            <c:numRef>
              <c:f>(Dexamethasone!$R$4,Dexamethasone!$T$4)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(Dexamethasone!$AE$11,Dexamethasone!$AE$11)</c:f>
              <c:numCache>
                <c:formatCode>0.00</c:formatCode>
                <c:ptCount val="2"/>
                <c:pt idx="0">
                  <c:v>4.5865143764077256</c:v>
                </c:pt>
                <c:pt idx="1">
                  <c:v>4.5865143764077256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D890-4201-8E29-48DD215034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catAx>
        <c:axId val="1414825479"/>
        <c:scaling>
          <c:orientation val="minMax"/>
        </c:scaling>
        <c:delete val="0"/>
        <c:axPos val="b"/>
        <c:numFmt formatCode="[$-409]d/mmm/yy;@" sourceLinked="0"/>
        <c:majorTickMark val="out"/>
        <c:minorTickMark val="out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664720785"/>
        <c:crosses val="autoZero"/>
        <c:auto val="0"/>
        <c:lblAlgn val="ctr"/>
        <c:lblOffset val="100"/>
        <c:noMultiLvlLbl val="1"/>
      </c:catAx>
      <c:valAx>
        <c:axId val="1664720785"/>
        <c:scaling>
          <c:orientation val="minMax"/>
          <c:max val="1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200">
                    <a:solidFill>
                      <a:schemeClr val="accent6"/>
                    </a:solidFill>
                  </a:rPr>
                  <a:t>LQC [nmol/L]</a:t>
                </a:r>
              </a:p>
            </c:rich>
          </c:tx>
          <c:layout>
            <c:manualLayout>
              <c:xMode val="edge"/>
              <c:yMode val="edge"/>
              <c:x val="1.2907702223661067E-2"/>
              <c:y val="0.40450724699866752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/>
        </c:spPr>
        <c:crossAx val="1414825479"/>
        <c:crosses val="autoZero"/>
        <c:crossBetween val="between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</c:spPr>
      <c:txPr>
        <a:bodyPr anchor="ctr" anchorCtr="1"/>
        <a:lstStyle/>
        <a:p>
          <a:pPr rtl="0">
            <a:defRPr sz="1200"/>
          </a:pPr>
          <a:endParaRPr lang="en-US"/>
        </a:p>
      </c:txPr>
    </c:legend>
    <c:plotVisOnly val="1"/>
    <c:dispBlanksAs val="span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noFill/>
    </a:ln>
  </c:spPr>
  <c:txPr>
    <a:bodyPr/>
    <a:lstStyle/>
    <a:p>
      <a:pPr>
        <a:defRPr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SG">
                <a:solidFill>
                  <a:sysClr val="windowText" lastClr="000000"/>
                </a:solidFill>
              </a:rPr>
              <a:t>ACCURACY</a:t>
            </a:r>
          </a:p>
        </c:rich>
      </c:tx>
      <c:overlay val="0"/>
      <c:spPr>
        <a:noFill/>
      </c:spPr>
    </c:title>
    <c:autoTitleDeleted val="0"/>
    <c:plotArea>
      <c:layout>
        <c:manualLayout>
          <c:layoutTarget val="inner"/>
          <c:xMode val="edge"/>
          <c:yMode val="edge"/>
          <c:x val="9.7388134921387773E-2"/>
          <c:y val="0.12595373243973218"/>
          <c:w val="0.85499174011352508"/>
          <c:h val="0.6503580352696221"/>
        </c:manualLayout>
      </c:layout>
      <c:lineChart>
        <c:grouping val="standard"/>
        <c:varyColors val="1"/>
        <c:ser>
          <c:idx val="4"/>
          <c:order val="4"/>
          <c:tx>
            <c:v>date</c:v>
          </c:tx>
          <c:marker>
            <c:symbol val="none"/>
          </c:marker>
          <c:cat>
            <c:numRef>
              <c:f>Dexamethasone!$R$14:$R$51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</c:numCache>
            </c:numRef>
          </c:cat>
          <c:val>
            <c:numRef>
              <c:f>Dexamethasone!$R$14:$R$51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5A-40D1-B5DC-071615B450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4825479"/>
        <c:axId val="1664720785"/>
      </c:lineChart>
      <c:scatterChart>
        <c:scatterStyle val="lineMarker"/>
        <c:varyColors val="1"/>
        <c:ser>
          <c:idx val="1"/>
          <c:order val="0"/>
          <c:tx>
            <c:v>LQC Acc</c:v>
          </c:tx>
          <c:spPr>
            <a:ln>
              <a:solidFill>
                <a:schemeClr val="accent6">
                  <a:lumMod val="50000"/>
                </a:schemeClr>
              </a:solidFill>
            </a:ln>
          </c:spPr>
          <c:marker>
            <c:symbol val="circle"/>
            <c:size val="10"/>
            <c:spPr>
              <a:solidFill>
                <a:schemeClr val="accent6"/>
              </a:solidFill>
              <a:ln>
                <a:solidFill>
                  <a:schemeClr val="accent6"/>
                </a:solidFill>
              </a:ln>
            </c:spPr>
          </c:marker>
          <c:xVal>
            <c:strRef>
              <c:f>Dexamethasone!$P$14:$P$268</c:f>
              <c:strCach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strCache>
            </c:strRef>
          </c:xVal>
          <c:yVal>
            <c:numRef>
              <c:f>Dexamethasone!$AH$14:$AH$268</c:f>
              <c:numCache>
                <c:formatCode>0.0%</c:formatCode>
                <c:ptCount val="255"/>
                <c:pt idx="0">
                  <c:v>1.0325949367088607</c:v>
                </c:pt>
                <c:pt idx="1">
                  <c:v>1.0382911392405063</c:v>
                </c:pt>
                <c:pt idx="2">
                  <c:v>1.0811708860759492</c:v>
                </c:pt>
                <c:pt idx="3">
                  <c:v>1.0799050632911391</c:v>
                </c:pt>
                <c:pt idx="4">
                  <c:v>0.98939873417721513</c:v>
                </c:pt>
                <c:pt idx="5">
                  <c:v>1.0977848101265821</c:v>
                </c:pt>
                <c:pt idx="6">
                  <c:v>0.9431962025316456</c:v>
                </c:pt>
                <c:pt idx="7">
                  <c:v>1.1128164556962026</c:v>
                </c:pt>
                <c:pt idx="8">
                  <c:v>1.3811708860759493</c:v>
                </c:pt>
                <c:pt idx="9">
                  <c:v>0.92642405063291144</c:v>
                </c:pt>
                <c:pt idx="10">
                  <c:v>1.2018987341772152</c:v>
                </c:pt>
                <c:pt idx="11">
                  <c:v>1.0656645569620253</c:v>
                </c:pt>
                <c:pt idx="12">
                  <c:v>0.8139240506329114</c:v>
                </c:pt>
                <c:pt idx="13">
                  <c:v>1.0231012658227847</c:v>
                </c:pt>
                <c:pt idx="14">
                  <c:v>0.93401898734177202</c:v>
                </c:pt>
                <c:pt idx="15">
                  <c:v>1.147626582278481</c:v>
                </c:pt>
                <c:pt idx="16">
                  <c:v>0.98829113924050638</c:v>
                </c:pt>
                <c:pt idx="17">
                  <c:v>0.92721518987341778</c:v>
                </c:pt>
                <c:pt idx="18">
                  <c:v>0.94984177215189869</c:v>
                </c:pt>
                <c:pt idx="19">
                  <c:v>1.007753164556962</c:v>
                </c:pt>
                <c:pt idx="20">
                  <c:v>0.8964401294498382</c:v>
                </c:pt>
                <c:pt idx="21">
                  <c:v>1.0032362459546926</c:v>
                </c:pt>
                <c:pt idx="22">
                  <c:v>0.87750809061488677</c:v>
                </c:pt>
                <c:pt idx="23">
                  <c:v>1.0092233009708738</c:v>
                </c:pt>
                <c:pt idx="24">
                  <c:v>1.0619741100323625</c:v>
                </c:pt>
                <c:pt idx="25">
                  <c:v>1.0001941747572816</c:v>
                </c:pt>
                <c:pt idx="26">
                  <c:v>0.84579288025889976</c:v>
                </c:pt>
                <c:pt idx="27">
                  <c:v>1.0711974110032363</c:v>
                </c:pt>
                <c:pt idx="28">
                  <c:v>1.1354368932038836</c:v>
                </c:pt>
                <c:pt idx="29">
                  <c:v>1.0440129449838189</c:v>
                </c:pt>
                <c:pt idx="30">
                  <c:v>0.92880258899676382</c:v>
                </c:pt>
                <c:pt idx="31">
                  <c:v>0.99271844660194175</c:v>
                </c:pt>
                <c:pt idx="32">
                  <c:v>0.89757281553398061</c:v>
                </c:pt>
                <c:pt idx="33">
                  <c:v>1.0283171521035599</c:v>
                </c:pt>
                <c:pt idx="34">
                  <c:v>0.89482200647249199</c:v>
                </c:pt>
                <c:pt idx="35">
                  <c:v>1.0074433656957928</c:v>
                </c:pt>
                <c:pt idx="36">
                  <c:v>0.91488673139158583</c:v>
                </c:pt>
                <c:pt idx="37">
                  <c:v>0.93220064724919105</c:v>
                </c:pt>
                <c:pt idx="38">
                  <c:v>0.95987055016181244</c:v>
                </c:pt>
                <c:pt idx="39">
                  <c:v>1.1059870550161812</c:v>
                </c:pt>
                <c:pt idx="40">
                  <c:v>1.1483818770226539</c:v>
                </c:pt>
                <c:pt idx="41">
                  <c:v>0.96877022653721689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5A-40D1-B5DC-071615B45081}"/>
            </c:ext>
          </c:extLst>
        </c:ser>
        <c:ser>
          <c:idx val="0"/>
          <c:order val="1"/>
          <c:tx>
            <c:v>HQC Acc.</c:v>
          </c:tx>
          <c:spPr>
            <a:ln>
              <a:solidFill>
                <a:schemeClr val="accent2">
                  <a:lumMod val="50000"/>
                </a:schemeClr>
              </a:solidFill>
            </a:ln>
          </c:spPr>
          <c:marker>
            <c:symbol val="circle"/>
            <c:size val="10"/>
            <c:spPr>
              <a:solidFill>
                <a:srgbClr val="FFC000"/>
              </a:solidFill>
              <a:ln cmpd="sng">
                <a:solidFill>
                  <a:schemeClr val="accent2"/>
                </a:solidFill>
              </a:ln>
            </c:spPr>
          </c:marker>
          <c:xVal>
            <c:strRef>
              <c:f>Dexamethasone!$P$14:$P$268</c:f>
              <c:strCach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strCache>
            </c:strRef>
          </c:xVal>
          <c:yVal>
            <c:numRef>
              <c:f>Dexamethasone!$Z$14:$Z$268</c:f>
              <c:numCache>
                <c:formatCode>0.0%</c:formatCode>
                <c:ptCount val="255"/>
                <c:pt idx="0">
                  <c:v>1.0892407247627265</c:v>
                </c:pt>
                <c:pt idx="1">
                  <c:v>1.0085073339085417</c:v>
                </c:pt>
                <c:pt idx="2">
                  <c:v>1.0925539257981016</c:v>
                </c:pt>
                <c:pt idx="3">
                  <c:v>1.0323986194995685</c:v>
                </c:pt>
                <c:pt idx="4">
                  <c:v>1.1498705780845557</c:v>
                </c:pt>
                <c:pt idx="5">
                  <c:v>1.1088352027610009</c:v>
                </c:pt>
                <c:pt idx="6">
                  <c:v>0.97362381363244177</c:v>
                </c:pt>
                <c:pt idx="7">
                  <c:v>1.0079033649698015</c:v>
                </c:pt>
                <c:pt idx="8">
                  <c:v>0.95606557377049184</c:v>
                </c:pt>
                <c:pt idx="9">
                  <c:v>1.0677308024158758</c:v>
                </c:pt>
                <c:pt idx="10">
                  <c:v>1.1033908541846418</c:v>
                </c:pt>
                <c:pt idx="11">
                  <c:v>0.89415012942191541</c:v>
                </c:pt>
                <c:pt idx="12">
                  <c:v>0.84500431406384813</c:v>
                </c:pt>
                <c:pt idx="13">
                  <c:v>1.0428559102674719</c:v>
                </c:pt>
                <c:pt idx="14">
                  <c:v>0.91490077653149271</c:v>
                </c:pt>
                <c:pt idx="15">
                  <c:v>0.90534081104400344</c:v>
                </c:pt>
                <c:pt idx="16">
                  <c:v>0.96128559102674715</c:v>
                </c:pt>
                <c:pt idx="17">
                  <c:v>0.86957722174288177</c:v>
                </c:pt>
                <c:pt idx="18">
                  <c:v>1.0178515962036236</c:v>
                </c:pt>
                <c:pt idx="19">
                  <c:v>0.92092320966350294</c:v>
                </c:pt>
                <c:pt idx="20">
                  <c:v>0.99082089552238806</c:v>
                </c:pt>
                <c:pt idx="21">
                  <c:v>0.76455223880597012</c:v>
                </c:pt>
                <c:pt idx="22">
                  <c:v>0.85971807628524055</c:v>
                </c:pt>
                <c:pt idx="23">
                  <c:v>0.97348258706467672</c:v>
                </c:pt>
                <c:pt idx="24">
                  <c:v>0.78741044776119407</c:v>
                </c:pt>
                <c:pt idx="25">
                  <c:v>1.0714859038142621</c:v>
                </c:pt>
                <c:pt idx="26">
                  <c:v>0.86875621890547272</c:v>
                </c:pt>
                <c:pt idx="27">
                  <c:v>0.9842039800995025</c:v>
                </c:pt>
                <c:pt idx="28">
                  <c:v>0.92972636815920406</c:v>
                </c:pt>
                <c:pt idx="29">
                  <c:v>0.89252072968490892</c:v>
                </c:pt>
                <c:pt idx="30">
                  <c:v>0.93629353233830848</c:v>
                </c:pt>
                <c:pt idx="31">
                  <c:v>0.76085406301824221</c:v>
                </c:pt>
                <c:pt idx="32">
                  <c:v>1.0208623548922058</c:v>
                </c:pt>
                <c:pt idx="33">
                  <c:v>0.87246268656716419</c:v>
                </c:pt>
                <c:pt idx="34">
                  <c:v>0.98649253731343289</c:v>
                </c:pt>
                <c:pt idx="35">
                  <c:v>0.80364842454394703</c:v>
                </c:pt>
                <c:pt idx="36">
                  <c:v>0.8978938640132671</c:v>
                </c:pt>
                <c:pt idx="37">
                  <c:v>1.0021807628524046</c:v>
                </c:pt>
                <c:pt idx="38">
                  <c:v>1.1678855721393036</c:v>
                </c:pt>
                <c:pt idx="39">
                  <c:v>0.78104477611940304</c:v>
                </c:pt>
                <c:pt idx="40">
                  <c:v>0.86653399668325048</c:v>
                </c:pt>
                <c:pt idx="41">
                  <c:v>0.93740464344941965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25A-40D1-B5DC-071615B45081}"/>
            </c:ext>
          </c:extLst>
        </c:ser>
        <c:ser>
          <c:idx val="5"/>
          <c:order val="2"/>
          <c:tx>
            <c:v>UCL</c:v>
          </c:tx>
          <c:spPr>
            <a:ln>
              <a:prstDash val="dash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C00000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1-1162-4FED-9D81-3474A90E6078}"/>
              </c:ext>
            </c:extLst>
          </c:dPt>
          <c:xVal>
            <c:numRef>
              <c:f>(Dexamethasone!$R$4,Dexamethasone!$T$4)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(Dexamethasone!$Q$11,Dexamethasone!$Q$11)</c:f>
              <c:numCache>
                <c:formatCode>0%</c:formatCode>
                <c:ptCount val="2"/>
                <c:pt idx="0">
                  <c:v>1.1499999999999999</c:v>
                </c:pt>
                <c:pt idx="1">
                  <c:v>1.1499999999999999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25A-40D1-B5DC-071615B45081}"/>
            </c:ext>
          </c:extLst>
        </c:ser>
        <c:ser>
          <c:idx val="6"/>
          <c:order val="3"/>
          <c:tx>
            <c:v>LCL</c:v>
          </c:tx>
          <c:spPr>
            <a:ln w="25400"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chemeClr val="accent6">
                    <a:lumMod val="75000"/>
                  </a:scheme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3-1162-4FED-9D81-3474A90E6078}"/>
              </c:ext>
            </c:extLst>
          </c:dPt>
          <c:xVal>
            <c:numRef>
              <c:f>(Dexamethasone!$R$4,Dexamethasone!$T$4)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(Dexamethasone!$R$11,Dexamethasone!$R$11)</c:f>
              <c:numCache>
                <c:formatCode>0%</c:formatCode>
                <c:ptCount val="2"/>
                <c:pt idx="0">
                  <c:v>0.8</c:v>
                </c:pt>
                <c:pt idx="1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25A-40D1-B5DC-071615B450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catAx>
        <c:axId val="1414825479"/>
        <c:scaling>
          <c:orientation val="minMax"/>
        </c:scaling>
        <c:delete val="0"/>
        <c:axPos val="b"/>
        <c:numFmt formatCode="[$-409]d/mmm/yy;@" sourceLinked="0"/>
        <c:majorTickMark val="out"/>
        <c:minorTickMark val="out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664720785"/>
        <c:crosses val="autoZero"/>
        <c:auto val="0"/>
        <c:lblAlgn val="ctr"/>
        <c:lblOffset val="100"/>
        <c:noMultiLvlLbl val="1"/>
      </c:catAx>
      <c:valAx>
        <c:axId val="1664720785"/>
        <c:scaling>
          <c:orientation val="minMax"/>
          <c:max val="1.8"/>
          <c:min val="0.4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ACCURACY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/>
            </a:pPr>
            <a:endParaRPr lang="en-US"/>
          </a:p>
        </c:txPr>
        <c:crossAx val="1414825479"/>
        <c:crosses val="autoZero"/>
        <c:crossBetween val="between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</c:spPr>
      <c:txPr>
        <a:bodyPr anchor="ctr" anchorCtr="1"/>
        <a:lstStyle/>
        <a:p>
          <a:pPr rtl="0">
            <a:defRPr sz="1400" b="0"/>
          </a:pPr>
          <a:endParaRPr lang="en-US"/>
        </a:p>
      </c:txPr>
    </c:legend>
    <c:plotVisOnly val="1"/>
    <c:dispBlanksAs val="span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noFill/>
    </a:ln>
  </c:spPr>
  <c:txPr>
    <a:bodyPr/>
    <a:lstStyle/>
    <a:p>
      <a:pPr>
        <a:defRPr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SG">
                <a:solidFill>
                  <a:schemeClr val="accent2"/>
                </a:solidFill>
              </a:rPr>
              <a:t>HQC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041856212537431E-2"/>
          <c:y val="0.13692552474352129"/>
          <c:w val="0.85499174011352508"/>
          <c:h val="0.6503580352696221"/>
        </c:manualLayout>
      </c:layout>
      <c:lineChart>
        <c:grouping val="standard"/>
        <c:varyColors val="1"/>
        <c:ser>
          <c:idx val="4"/>
          <c:order val="6"/>
          <c:tx>
            <c:v>date</c:v>
          </c:tx>
          <c:marker>
            <c:symbol val="none"/>
          </c:marker>
          <c:cat>
            <c:numRef>
              <c:f>DHEA!$R$14:$R$51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</c:numCache>
            </c:numRef>
          </c:cat>
          <c:val>
            <c:numRef>
              <c:f>DHEA!$R$14:$R$51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F0-4E94-931D-FCE12A70E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4825479"/>
        <c:axId val="1664720785"/>
      </c:lineChart>
      <c:scatterChart>
        <c:scatterStyle val="smoothMarker"/>
        <c:varyColors val="1"/>
        <c:ser>
          <c:idx val="3"/>
          <c:order val="1"/>
          <c:tx>
            <c:strRef>
              <c:f>DHEA!$Z$10</c:f>
              <c:strCache>
                <c:ptCount val="1"/>
                <c:pt idx="0">
                  <c:v>+3SD UCL</c:v>
                </c:pt>
              </c:strCache>
            </c:strRef>
          </c:tx>
          <c:spPr>
            <a:ln>
              <a:solidFill>
                <a:srgbClr val="C00000"/>
              </a:solidFill>
              <a:prstDash val="solid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C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55D-495E-B6CB-47639E0EA16E}"/>
              </c:ext>
            </c:extLst>
          </c:dPt>
          <c:xVal>
            <c:numRef>
              <c:f>(DHEA!$R$4,DHEA!$T$4)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(DHEA!$Z$11,DHEA!$Z$11)</c:f>
              <c:numCache>
                <c:formatCode>0.00</c:formatCode>
                <c:ptCount val="2"/>
                <c:pt idx="0">
                  <c:v>145.10545341896452</c:v>
                </c:pt>
                <c:pt idx="1">
                  <c:v>145.10545341896452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AF0-4E94-931D-FCE12A70E047}"/>
            </c:ext>
          </c:extLst>
        </c:ser>
        <c:ser>
          <c:idx val="1"/>
          <c:order val="5"/>
          <c:tx>
            <c:strRef>
              <c:f>DHEA!$W$10</c:f>
              <c:strCache>
                <c:ptCount val="1"/>
                <c:pt idx="0">
                  <c:v>-3SD LCL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00B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855D-495E-B6CB-47639E0EA16E}"/>
              </c:ext>
            </c:extLst>
          </c:dPt>
          <c:xVal>
            <c:numRef>
              <c:f>(DHEA!$R$4,DHEA!$T$4)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(DHEA!$W$11,DHEA!$W$11)</c:f>
              <c:numCache>
                <c:formatCode>0.00</c:formatCode>
                <c:ptCount val="2"/>
                <c:pt idx="0">
                  <c:v>84.862897800547671</c:v>
                </c:pt>
                <c:pt idx="1">
                  <c:v>84.862897800547671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AF0-4E94-931D-FCE12A70E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scatterChart>
        <c:scatterStyle val="lineMarker"/>
        <c:varyColors val="1"/>
        <c:ser>
          <c:idx val="0"/>
          <c:order val="0"/>
          <c:tx>
            <c:v>HQC</c:v>
          </c:tx>
          <c:marker>
            <c:symbol val="circle"/>
            <c:size val="10"/>
            <c:spPr>
              <a:solidFill>
                <a:schemeClr val="tx1">
                  <a:lumMod val="50000"/>
                  <a:lumOff val="50000"/>
                </a:schemeClr>
              </a:solidFill>
              <a:ln cmpd="sng">
                <a:solidFill>
                  <a:schemeClr val="tx1"/>
                </a:solidFill>
              </a:ln>
            </c:spPr>
          </c:marker>
          <c:xVal>
            <c:strRef>
              <c:f>DHEA!$P$14:$P$268</c:f>
              <c:strCach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strCache>
            </c:strRef>
          </c:xVal>
          <c:yVal>
            <c:numRef>
              <c:f>DHEA!$U$14:$U$268</c:f>
              <c:numCache>
                <c:formatCode>0.000</c:formatCode>
                <c:ptCount val="255"/>
                <c:pt idx="0">
                  <c:v>118.252</c:v>
                </c:pt>
                <c:pt idx="1">
                  <c:v>112.706</c:v>
                </c:pt>
                <c:pt idx="2">
                  <c:v>122.199</c:v>
                </c:pt>
                <c:pt idx="3">
                  <c:v>124.244</c:v>
                </c:pt>
                <c:pt idx="4">
                  <c:v>118.426</c:v>
                </c:pt>
                <c:pt idx="5">
                  <c:v>96.66</c:v>
                </c:pt>
                <c:pt idx="6">
                  <c:v>109.57299999999999</c:v>
                </c:pt>
                <c:pt idx="7">
                  <c:v>110.229</c:v>
                </c:pt>
                <c:pt idx="8">
                  <c:v>108.79300000000001</c:v>
                </c:pt>
                <c:pt idx="9">
                  <c:v>112.714</c:v>
                </c:pt>
                <c:pt idx="10">
                  <c:v>112.34099999999999</c:v>
                </c:pt>
                <c:pt idx="11">
                  <c:v>120.193</c:v>
                </c:pt>
                <c:pt idx="12">
                  <c:v>80</c:v>
                </c:pt>
                <c:pt idx="13">
                  <c:v>107.18300000000001</c:v>
                </c:pt>
                <c:pt idx="14">
                  <c:v>87.19</c:v>
                </c:pt>
                <c:pt idx="15">
                  <c:v>119.89700000000001</c:v>
                </c:pt>
                <c:pt idx="16">
                  <c:v>116.27</c:v>
                </c:pt>
                <c:pt idx="17">
                  <c:v>123.928</c:v>
                </c:pt>
                <c:pt idx="18">
                  <c:v>118.18600000000001</c:v>
                </c:pt>
                <c:pt idx="19">
                  <c:v>127.877</c:v>
                </c:pt>
                <c:pt idx="20">
                  <c:v>110.07299999999999</c:v>
                </c:pt>
                <c:pt idx="21">
                  <c:v>132.23500000000001</c:v>
                </c:pt>
                <c:pt idx="22">
                  <c:v>116.747</c:v>
                </c:pt>
                <c:pt idx="23">
                  <c:v>107.441</c:v>
                </c:pt>
                <c:pt idx="24">
                  <c:v>115.748</c:v>
                </c:pt>
                <c:pt idx="25">
                  <c:v>103.7282</c:v>
                </c:pt>
                <c:pt idx="26">
                  <c:v>114.545</c:v>
                </c:pt>
                <c:pt idx="27">
                  <c:v>121.027</c:v>
                </c:pt>
                <c:pt idx="28">
                  <c:v>121.377</c:v>
                </c:pt>
                <c:pt idx="29">
                  <c:v>122.79900000000001</c:v>
                </c:pt>
                <c:pt idx="30">
                  <c:v>99.32</c:v>
                </c:pt>
                <c:pt idx="31">
                  <c:v>94.299000000000007</c:v>
                </c:pt>
                <c:pt idx="32">
                  <c:v>111.753</c:v>
                </c:pt>
                <c:pt idx="33">
                  <c:v>115.899</c:v>
                </c:pt>
                <c:pt idx="34">
                  <c:v>135.42599999999999</c:v>
                </c:pt>
                <c:pt idx="35">
                  <c:v>137.578</c:v>
                </c:pt>
                <c:pt idx="36">
                  <c:v>115.129</c:v>
                </c:pt>
                <c:pt idx="37">
                  <c:v>110.587</c:v>
                </c:pt>
                <c:pt idx="38">
                  <c:v>116.794</c:v>
                </c:pt>
                <c:pt idx="39">
                  <c:v>114.67</c:v>
                </c:pt>
                <c:pt idx="40">
                  <c:v>113.999</c:v>
                </c:pt>
                <c:pt idx="41">
                  <c:v>116.316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AF0-4E94-931D-FCE12A70E047}"/>
            </c:ext>
          </c:extLst>
        </c:ser>
        <c:ser>
          <c:idx val="5"/>
          <c:order val="2"/>
          <c:tx>
            <c:strRef>
              <c:f>DHEA!$Y$10</c:f>
              <c:strCache>
                <c:ptCount val="1"/>
                <c:pt idx="0">
                  <c:v>+2SD UCL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FF0000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5-855D-495E-B6CB-47639E0EA16E}"/>
              </c:ext>
            </c:extLst>
          </c:dPt>
          <c:xVal>
            <c:numRef>
              <c:f>(DHEA!$R$4,DHEA!$T$4)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(DHEA!$Y$11,DHEA!$Y$11)</c:f>
              <c:numCache>
                <c:formatCode>0.00</c:formatCode>
                <c:ptCount val="2"/>
                <c:pt idx="0">
                  <c:v>135.0650274825617</c:v>
                </c:pt>
                <c:pt idx="1">
                  <c:v>135.0650274825617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AF0-4E94-931D-FCE12A70E047}"/>
            </c:ext>
          </c:extLst>
        </c:ser>
        <c:ser>
          <c:idx val="2"/>
          <c:order val="3"/>
          <c:tx>
            <c:v>Mean</c:v>
          </c:tx>
          <c:spPr>
            <a:ln>
              <a:solidFill>
                <a:schemeClr val="accent1"/>
              </a:solidFill>
              <a:prstDash val="sysDash"/>
            </a:ln>
          </c:spPr>
          <c:dPt>
            <c:idx val="0"/>
            <c:marker>
              <c:symbol val="none"/>
            </c:marker>
            <c:bubble3D val="0"/>
            <c:spPr>
              <a:ln w="28575">
                <a:solidFill>
                  <a:schemeClr val="accent1"/>
                </a:solidFill>
                <a:prstDash val="sysDot"/>
              </a:ln>
            </c:spPr>
            <c:extLst>
              <c:ext xmlns:c16="http://schemas.microsoft.com/office/drawing/2014/chart" uri="{C3380CC4-5D6E-409C-BE32-E72D297353CC}">
                <c16:uniqueId val="{00000007-855D-495E-B6CB-47639E0EA16E}"/>
              </c:ext>
            </c:extLst>
          </c:dPt>
          <c:xVal>
            <c:numRef>
              <c:f>(DHEA!$R$4,DHEA!$T$4)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(DHEA!$U$11,DHEA!$U$11)</c:f>
              <c:numCache>
                <c:formatCode>0.00</c:formatCode>
                <c:ptCount val="2"/>
                <c:pt idx="0">
                  <c:v>114.98417560975609</c:v>
                </c:pt>
                <c:pt idx="1">
                  <c:v>114.98417560975609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AF0-4E94-931D-FCE12A70E047}"/>
            </c:ext>
          </c:extLst>
        </c:ser>
        <c:ser>
          <c:idx val="6"/>
          <c:order val="4"/>
          <c:tx>
            <c:strRef>
              <c:f>DHEA!$X$10</c:f>
              <c:strCache>
                <c:ptCount val="1"/>
                <c:pt idx="0">
                  <c:v>-2SD LCL</c:v>
                </c:pt>
              </c:strCache>
            </c:strRef>
          </c:tx>
          <c:spPr>
            <a:ln w="25400">
              <a:solidFill>
                <a:schemeClr val="accent6">
                  <a:lumMod val="60000"/>
                  <a:lumOff val="40000"/>
                </a:schemeClr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chemeClr val="accent6">
                    <a:lumMod val="60000"/>
                    <a:lumOff val="40000"/>
                  </a:scheme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9-855D-495E-B6CB-47639E0EA16E}"/>
              </c:ext>
            </c:extLst>
          </c:dPt>
          <c:xVal>
            <c:numRef>
              <c:f>(DHEA!$R$4,DHEA!$T$4)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(DHEA!$X$11,DHEA!$X$11)</c:f>
              <c:numCache>
                <c:formatCode>0.00</c:formatCode>
                <c:ptCount val="2"/>
                <c:pt idx="0">
                  <c:v>94.903323736950483</c:v>
                </c:pt>
                <c:pt idx="1">
                  <c:v>94.903323736950483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FAF0-4E94-931D-FCE12A70E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catAx>
        <c:axId val="1414825479"/>
        <c:scaling>
          <c:orientation val="minMax"/>
        </c:scaling>
        <c:delete val="0"/>
        <c:axPos val="b"/>
        <c:numFmt formatCode="[$-409]d/mmm/yy;@" sourceLinked="0"/>
        <c:majorTickMark val="out"/>
        <c:minorTickMark val="out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664720785"/>
        <c:crosses val="autoZero"/>
        <c:auto val="0"/>
        <c:lblAlgn val="ctr"/>
        <c:lblOffset val="100"/>
        <c:noMultiLvlLbl val="1"/>
      </c:catAx>
      <c:valAx>
        <c:axId val="1664720785"/>
        <c:scaling>
          <c:orientation val="minMax"/>
          <c:max val="18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HQC [nmol/L]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/>
        </c:spPr>
        <c:crossAx val="1414825479"/>
        <c:crosses val="autoZero"/>
        <c:crossBetween val="between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</c:spPr>
      <c:txPr>
        <a:bodyPr anchor="ctr" anchorCtr="1"/>
        <a:lstStyle/>
        <a:p>
          <a:pPr rtl="0">
            <a:defRPr sz="1200"/>
          </a:pPr>
          <a:endParaRPr lang="en-US"/>
        </a:p>
      </c:txPr>
    </c:legend>
    <c:plotVisOnly val="1"/>
    <c:dispBlanksAs val="span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noFill/>
    </a:ln>
  </c:spPr>
  <c:txPr>
    <a:bodyPr/>
    <a:lstStyle/>
    <a:p>
      <a:pPr>
        <a:defRPr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SG">
                <a:solidFill>
                  <a:schemeClr val="accent6"/>
                </a:solidFill>
              </a:rPr>
              <a:t>LQC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041856212537431E-2"/>
          <c:y val="0.13692552474352129"/>
          <c:w val="0.85499174011352508"/>
          <c:h val="0.6503580352696221"/>
        </c:manualLayout>
      </c:layout>
      <c:lineChart>
        <c:grouping val="standard"/>
        <c:varyColors val="1"/>
        <c:ser>
          <c:idx val="4"/>
          <c:order val="6"/>
          <c:tx>
            <c:v>date</c:v>
          </c:tx>
          <c:marker>
            <c:symbol val="none"/>
          </c:marker>
          <c:cat>
            <c:numRef>
              <c:f>DHEA!$R$14:$R$51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</c:numCache>
            </c:numRef>
          </c:cat>
          <c:val>
            <c:numRef>
              <c:f>DHEA!$R$14:$R$51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21-4802-8B3D-119483841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4825479"/>
        <c:axId val="1664720785"/>
      </c:lineChart>
      <c:scatterChart>
        <c:scatterStyle val="smoothMarker"/>
        <c:varyColors val="1"/>
        <c:ser>
          <c:idx val="3"/>
          <c:order val="1"/>
          <c:tx>
            <c:strRef>
              <c:f>DHEA!$AH$10</c:f>
              <c:strCache>
                <c:ptCount val="1"/>
                <c:pt idx="0">
                  <c:v>+3SD UCL</c:v>
                </c:pt>
              </c:strCache>
            </c:strRef>
          </c:tx>
          <c:spPr>
            <a:ln>
              <a:solidFill>
                <a:srgbClr val="C00000"/>
              </a:solidFill>
              <a:prstDash val="solid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C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4F6-4A0B-99FA-9D93C3B8B1D8}"/>
              </c:ext>
            </c:extLst>
          </c:dPt>
          <c:xVal>
            <c:numRef>
              <c:f>(DHEA!$R$4,DHEA!$T$4)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(DHEA!$AH$11,DHEA!$AH$11)</c:f>
              <c:numCache>
                <c:formatCode>0.00</c:formatCode>
                <c:ptCount val="2"/>
                <c:pt idx="0">
                  <c:v>20.886381271688755</c:v>
                </c:pt>
                <c:pt idx="1">
                  <c:v>20.886381271688755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721-4802-8B3D-119483841E89}"/>
            </c:ext>
          </c:extLst>
        </c:ser>
        <c:ser>
          <c:idx val="1"/>
          <c:order val="2"/>
          <c:tx>
            <c:strRef>
              <c:f>DHEA!$AG$10</c:f>
              <c:strCache>
                <c:ptCount val="1"/>
                <c:pt idx="0">
                  <c:v>+2SD UCL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00B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14F6-4A0B-99FA-9D93C3B8B1D8}"/>
              </c:ext>
            </c:extLst>
          </c:dPt>
          <c:xVal>
            <c:numRef>
              <c:f>(DHEA!$R$4,DHEA!$T$4)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(DHEA!$AG$11,DHEA!$AG$11)</c:f>
              <c:numCache>
                <c:formatCode>0.00</c:formatCode>
                <c:ptCount val="2"/>
                <c:pt idx="0">
                  <c:v>17.917835927157583</c:v>
                </c:pt>
                <c:pt idx="1">
                  <c:v>17.917835927157583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721-4802-8B3D-119483841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scatterChart>
        <c:scatterStyle val="lineMarker"/>
        <c:varyColors val="1"/>
        <c:ser>
          <c:idx val="0"/>
          <c:order val="0"/>
          <c:tx>
            <c:v>LQC</c:v>
          </c:tx>
          <c:marker>
            <c:symbol val="circle"/>
            <c:size val="10"/>
            <c:spPr>
              <a:solidFill>
                <a:schemeClr val="tx1">
                  <a:lumMod val="50000"/>
                  <a:lumOff val="50000"/>
                </a:schemeClr>
              </a:solidFill>
              <a:ln cmpd="sng">
                <a:solidFill>
                  <a:schemeClr val="tx1"/>
                </a:solidFill>
              </a:ln>
            </c:spPr>
          </c:marker>
          <c:xVal>
            <c:strRef>
              <c:f>DHEA!$P$14:$P$268</c:f>
              <c:strCach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strCache>
            </c:strRef>
          </c:xVal>
          <c:yVal>
            <c:numRef>
              <c:f>DHEA!$AC$14:$AC$268</c:f>
              <c:numCache>
                <c:formatCode>0.000</c:formatCode>
                <c:ptCount val="255"/>
                <c:pt idx="0">
                  <c:v>18.401</c:v>
                </c:pt>
                <c:pt idx="1">
                  <c:v>15.031000000000001</c:v>
                </c:pt>
                <c:pt idx="2">
                  <c:v>18.677</c:v>
                </c:pt>
                <c:pt idx="3">
                  <c:v>14.435</c:v>
                </c:pt>
                <c:pt idx="4">
                  <c:v>15.832000000000001</c:v>
                </c:pt>
                <c:pt idx="5">
                  <c:v>13.260999999999999</c:v>
                </c:pt>
                <c:pt idx="6">
                  <c:v>11.083</c:v>
                </c:pt>
                <c:pt idx="7">
                  <c:v>16.911000000000001</c:v>
                </c:pt>
                <c:pt idx="8">
                  <c:v>14.359</c:v>
                </c:pt>
                <c:pt idx="9">
                  <c:v>11.968999999999999</c:v>
                </c:pt>
                <c:pt idx="10">
                  <c:v>8.5530000000000008</c:v>
                </c:pt>
                <c:pt idx="11">
                  <c:v>10.481</c:v>
                </c:pt>
                <c:pt idx="12">
                  <c:v>11.430999999999999</c:v>
                </c:pt>
                <c:pt idx="13">
                  <c:v>11.943</c:v>
                </c:pt>
                <c:pt idx="14">
                  <c:v>10.24</c:v>
                </c:pt>
                <c:pt idx="15">
                  <c:v>12.172000000000001</c:v>
                </c:pt>
                <c:pt idx="16">
                  <c:v>17.594000000000001</c:v>
                </c:pt>
                <c:pt idx="17">
                  <c:v>11.035</c:v>
                </c:pt>
                <c:pt idx="18">
                  <c:v>14.281000000000001</c:v>
                </c:pt>
                <c:pt idx="19">
                  <c:v>10.58</c:v>
                </c:pt>
                <c:pt idx="20">
                  <c:v>14.087</c:v>
                </c:pt>
                <c:pt idx="21">
                  <c:v>13.105</c:v>
                </c:pt>
                <c:pt idx="22">
                  <c:v>16.157</c:v>
                </c:pt>
                <c:pt idx="23">
                  <c:v>13.337</c:v>
                </c:pt>
                <c:pt idx="24">
                  <c:v>12.1365</c:v>
                </c:pt>
                <c:pt idx="25">
                  <c:v>13.969799999999999</c:v>
                </c:pt>
                <c:pt idx="26">
                  <c:v>8.2560000000000002</c:v>
                </c:pt>
                <c:pt idx="27">
                  <c:v>9.9700000000000006</c:v>
                </c:pt>
                <c:pt idx="28">
                  <c:v>13.025</c:v>
                </c:pt>
                <c:pt idx="29">
                  <c:v>11.708</c:v>
                </c:pt>
                <c:pt idx="30">
                  <c:v>8.3879999999999999</c:v>
                </c:pt>
                <c:pt idx="31">
                  <c:v>9.8420000000000005</c:v>
                </c:pt>
                <c:pt idx="32">
                  <c:v>9.9619999999999997</c:v>
                </c:pt>
                <c:pt idx="33">
                  <c:v>8.7789999999999999</c:v>
                </c:pt>
                <c:pt idx="34">
                  <c:v>8.67</c:v>
                </c:pt>
                <c:pt idx="35">
                  <c:v>9.8989999999999991</c:v>
                </c:pt>
                <c:pt idx="36">
                  <c:v>9.6110000000000007</c:v>
                </c:pt>
                <c:pt idx="37">
                  <c:v>8.5549999999999997</c:v>
                </c:pt>
                <c:pt idx="38">
                  <c:v>10.548999999999999</c:v>
                </c:pt>
                <c:pt idx="39">
                  <c:v>7.9969999999999999</c:v>
                </c:pt>
                <c:pt idx="40">
                  <c:v>8.9250000000000007</c:v>
                </c:pt>
                <c:pt idx="41">
                  <c:v>7.9939999999999998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721-4802-8B3D-119483841E89}"/>
            </c:ext>
          </c:extLst>
        </c:ser>
        <c:ser>
          <c:idx val="2"/>
          <c:order val="3"/>
          <c:tx>
            <c:v>Mean</c:v>
          </c:tx>
          <c:spPr>
            <a:ln>
              <a:solidFill>
                <a:schemeClr val="accent1"/>
              </a:solidFill>
              <a:prstDash val="sysDash"/>
            </a:ln>
          </c:spPr>
          <c:dPt>
            <c:idx val="0"/>
            <c:marker>
              <c:symbol val="none"/>
            </c:marker>
            <c:bubble3D val="0"/>
            <c:spPr>
              <a:ln w="28575">
                <a:solidFill>
                  <a:schemeClr val="accent1"/>
                </a:solidFill>
                <a:prstDash val="sysDot"/>
              </a:ln>
            </c:spPr>
            <c:extLst>
              <c:ext xmlns:c16="http://schemas.microsoft.com/office/drawing/2014/chart" uri="{C3380CC4-5D6E-409C-BE32-E72D297353CC}">
                <c16:uniqueId val="{00000005-14F6-4A0B-99FA-9D93C3B8B1D8}"/>
              </c:ext>
            </c:extLst>
          </c:dPt>
          <c:xVal>
            <c:numRef>
              <c:f>(DHEA!$R$4,DHEA!$T$4)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(DHEA!$AC$11,DHEA!$AC$11)</c:f>
              <c:numCache>
                <c:formatCode>0.00</c:formatCode>
                <c:ptCount val="2"/>
                <c:pt idx="0">
                  <c:v>11.98074523809524</c:v>
                </c:pt>
                <c:pt idx="1">
                  <c:v>11.98074523809524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721-4802-8B3D-119483841E89}"/>
            </c:ext>
          </c:extLst>
        </c:ser>
        <c:ser>
          <c:idx val="6"/>
          <c:order val="4"/>
          <c:tx>
            <c:strRef>
              <c:f>DHEA!$AF$10</c:f>
              <c:strCache>
                <c:ptCount val="1"/>
                <c:pt idx="0">
                  <c:v>-2SD LCL</c:v>
                </c:pt>
              </c:strCache>
            </c:strRef>
          </c:tx>
          <c:spPr>
            <a:ln w="25400">
              <a:solidFill>
                <a:schemeClr val="accent6">
                  <a:lumMod val="60000"/>
                  <a:lumOff val="40000"/>
                </a:schemeClr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chemeClr val="accent6">
                    <a:lumMod val="60000"/>
                    <a:lumOff val="40000"/>
                  </a:scheme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7-14F6-4A0B-99FA-9D93C3B8B1D8}"/>
              </c:ext>
            </c:extLst>
          </c:dPt>
          <c:xVal>
            <c:numRef>
              <c:f>(DHEA!$R$4,DHEA!$T$4)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(DHEA!$AF$11,DHEA!$AF$11)</c:f>
              <c:numCache>
                <c:formatCode>0.00</c:formatCode>
                <c:ptCount val="2"/>
                <c:pt idx="0">
                  <c:v>6.0436545490328957</c:v>
                </c:pt>
                <c:pt idx="1">
                  <c:v>6.0436545490328957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8721-4802-8B3D-119483841E89}"/>
            </c:ext>
          </c:extLst>
        </c:ser>
        <c:ser>
          <c:idx val="5"/>
          <c:order val="5"/>
          <c:tx>
            <c:strRef>
              <c:f>DHEA!$AE$10</c:f>
              <c:strCache>
                <c:ptCount val="1"/>
                <c:pt idx="0">
                  <c:v>-3SD LCL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FF0000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9-14F6-4A0B-99FA-9D93C3B8B1D8}"/>
              </c:ext>
            </c:extLst>
          </c:dPt>
          <c:xVal>
            <c:numRef>
              <c:f>(DHEA!$R$4,DHEA!$T$4)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(DHEA!$AE$11,DHEA!$AE$11)</c:f>
              <c:numCache>
                <c:formatCode>0.00</c:formatCode>
                <c:ptCount val="2"/>
                <c:pt idx="0">
                  <c:v>3.0751092045017234</c:v>
                </c:pt>
                <c:pt idx="1">
                  <c:v>3.0751092045017234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8721-4802-8B3D-119483841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catAx>
        <c:axId val="1414825479"/>
        <c:scaling>
          <c:orientation val="minMax"/>
        </c:scaling>
        <c:delete val="0"/>
        <c:axPos val="b"/>
        <c:numFmt formatCode="[$-409]d/mmm/yy;@" sourceLinked="0"/>
        <c:majorTickMark val="out"/>
        <c:minorTickMark val="out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664720785"/>
        <c:crosses val="autoZero"/>
        <c:auto val="0"/>
        <c:lblAlgn val="ctr"/>
        <c:lblOffset val="100"/>
        <c:noMultiLvlLbl val="1"/>
      </c:catAx>
      <c:valAx>
        <c:axId val="1664720785"/>
        <c:scaling>
          <c:orientation val="minMax"/>
          <c:max val="28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200">
                    <a:solidFill>
                      <a:schemeClr val="accent6"/>
                    </a:solidFill>
                  </a:rPr>
                  <a:t>                                                                                                        </a:t>
                </a:r>
              </a:p>
            </c:rich>
          </c:tx>
          <c:layout>
            <c:manualLayout>
              <c:xMode val="edge"/>
              <c:yMode val="edge"/>
              <c:x val="1.2907702223661067E-2"/>
              <c:y val="0.40450724699866752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/>
        </c:spPr>
        <c:crossAx val="1414825479"/>
        <c:crosses val="autoZero"/>
        <c:crossBetween val="between"/>
        <c:majorUnit val="4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</c:spPr>
      <c:txPr>
        <a:bodyPr anchor="ctr" anchorCtr="1"/>
        <a:lstStyle/>
        <a:p>
          <a:pPr rtl="0">
            <a:defRPr sz="1200"/>
          </a:pPr>
          <a:endParaRPr lang="en-US"/>
        </a:p>
      </c:txPr>
    </c:legend>
    <c:plotVisOnly val="1"/>
    <c:dispBlanksAs val="span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noFill/>
    </a:ln>
  </c:spPr>
  <c:txPr>
    <a:bodyPr/>
    <a:lstStyle/>
    <a:p>
      <a:pPr>
        <a:defRPr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SG">
                <a:solidFill>
                  <a:sysClr val="windowText" lastClr="000000"/>
                </a:solidFill>
              </a:rPr>
              <a:t>ACCURACY</a:t>
            </a:r>
          </a:p>
        </c:rich>
      </c:tx>
      <c:overlay val="0"/>
      <c:spPr>
        <a:noFill/>
      </c:spPr>
    </c:title>
    <c:autoTitleDeleted val="0"/>
    <c:plotArea>
      <c:layout>
        <c:manualLayout>
          <c:layoutTarget val="inner"/>
          <c:xMode val="edge"/>
          <c:yMode val="edge"/>
          <c:x val="9.7388134921387773E-2"/>
          <c:y val="0.12595373243973218"/>
          <c:w val="0.85499174011352508"/>
          <c:h val="0.6503580352696221"/>
        </c:manualLayout>
      </c:layout>
      <c:lineChart>
        <c:grouping val="standard"/>
        <c:varyColors val="1"/>
        <c:ser>
          <c:idx val="4"/>
          <c:order val="4"/>
          <c:tx>
            <c:v>date</c:v>
          </c:tx>
          <c:marker>
            <c:symbol val="none"/>
          </c:marker>
          <c:cat>
            <c:numRef>
              <c:f>DHEA!$R$14:$R$51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</c:numCache>
            </c:numRef>
          </c:cat>
          <c:val>
            <c:numRef>
              <c:f>DHEA!$R$14:$R$51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35-4867-B9A6-45407723F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4825479"/>
        <c:axId val="1664720785"/>
      </c:lineChart>
      <c:scatterChart>
        <c:scatterStyle val="lineMarker"/>
        <c:varyColors val="1"/>
        <c:ser>
          <c:idx val="1"/>
          <c:order val="0"/>
          <c:tx>
            <c:v>LQC Acc</c:v>
          </c:tx>
          <c:spPr>
            <a:ln>
              <a:solidFill>
                <a:schemeClr val="accent6">
                  <a:lumMod val="50000"/>
                </a:schemeClr>
              </a:solidFill>
            </a:ln>
          </c:spPr>
          <c:marker>
            <c:symbol val="circle"/>
            <c:size val="10"/>
            <c:spPr>
              <a:solidFill>
                <a:schemeClr val="accent6"/>
              </a:solidFill>
              <a:ln>
                <a:solidFill>
                  <a:schemeClr val="accent6"/>
                </a:solidFill>
              </a:ln>
            </c:spPr>
          </c:marker>
          <c:xVal>
            <c:strRef>
              <c:f>DHEA!$P$14:$P$268</c:f>
              <c:strCach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strCache>
            </c:strRef>
          </c:xVal>
          <c:yVal>
            <c:numRef>
              <c:f>DHEA!$AH$14:$AH$268</c:f>
              <c:numCache>
                <c:formatCode>0.0%</c:formatCode>
                <c:ptCount val="255"/>
                <c:pt idx="0">
                  <c:v>1.5321398834304747</c:v>
                </c:pt>
                <c:pt idx="1">
                  <c:v>1.2515403830141549</c:v>
                </c:pt>
                <c:pt idx="2">
                  <c:v>1.555120732722731</c:v>
                </c:pt>
                <c:pt idx="3">
                  <c:v>1.2019150707743547</c:v>
                </c:pt>
                <c:pt idx="4">
                  <c:v>1.3182348043297254</c:v>
                </c:pt>
                <c:pt idx="5">
                  <c:v>1.1041631973355537</c:v>
                </c:pt>
                <c:pt idx="6">
                  <c:v>0.92281432139883435</c:v>
                </c:pt>
                <c:pt idx="7">
                  <c:v>1.4080766028309744</c:v>
                </c:pt>
                <c:pt idx="8">
                  <c:v>1.1955870108243132</c:v>
                </c:pt>
                <c:pt idx="9">
                  <c:v>0.99658617818484596</c:v>
                </c:pt>
                <c:pt idx="10">
                  <c:v>0.71215653621981689</c:v>
                </c:pt>
                <c:pt idx="11">
                  <c:v>0.87268942547876771</c:v>
                </c:pt>
                <c:pt idx="12">
                  <c:v>0.95179017485428807</c:v>
                </c:pt>
                <c:pt idx="13">
                  <c:v>0.99442131557035807</c:v>
                </c:pt>
                <c:pt idx="14">
                  <c:v>0.85262281432139886</c:v>
                </c:pt>
                <c:pt idx="15">
                  <c:v>1.0134887593671942</c:v>
                </c:pt>
                <c:pt idx="16">
                  <c:v>1.4649458784346379</c:v>
                </c:pt>
                <c:pt idx="17">
                  <c:v>0.91881765195670273</c:v>
                </c:pt>
                <c:pt idx="18">
                  <c:v>1.1890924229808493</c:v>
                </c:pt>
                <c:pt idx="19">
                  <c:v>0.88093255620316402</c:v>
                </c:pt>
                <c:pt idx="20">
                  <c:v>1.2249565217391305</c:v>
                </c:pt>
                <c:pt idx="21">
                  <c:v>1.1395652173913045</c:v>
                </c:pt>
                <c:pt idx="22">
                  <c:v>1.4049565217391304</c:v>
                </c:pt>
                <c:pt idx="23">
                  <c:v>1.1597391304347826</c:v>
                </c:pt>
                <c:pt idx="24">
                  <c:v>1.0553478260869564</c:v>
                </c:pt>
                <c:pt idx="25">
                  <c:v>1.2147652173913044</c:v>
                </c:pt>
                <c:pt idx="26">
                  <c:v>0.7179130434782609</c:v>
                </c:pt>
                <c:pt idx="27">
                  <c:v>0.86695652173913051</c:v>
                </c:pt>
                <c:pt idx="28">
                  <c:v>1.1326086956521739</c:v>
                </c:pt>
                <c:pt idx="29">
                  <c:v>1.0180869565217392</c:v>
                </c:pt>
                <c:pt idx="30">
                  <c:v>0.72939130434782606</c:v>
                </c:pt>
                <c:pt idx="31">
                  <c:v>0.85582608695652174</c:v>
                </c:pt>
                <c:pt idx="32">
                  <c:v>0.86626086956521742</c:v>
                </c:pt>
                <c:pt idx="33">
                  <c:v>0.76339130434782609</c:v>
                </c:pt>
                <c:pt idx="34">
                  <c:v>0.75391304347826082</c:v>
                </c:pt>
                <c:pt idx="35">
                  <c:v>0.86078260869565215</c:v>
                </c:pt>
                <c:pt idx="36">
                  <c:v>0.83573913043478265</c:v>
                </c:pt>
                <c:pt idx="37">
                  <c:v>0.74391304347826082</c:v>
                </c:pt>
                <c:pt idx="38">
                  <c:v>0.91730434782608694</c:v>
                </c:pt>
                <c:pt idx="39">
                  <c:v>0.69539130434782603</c:v>
                </c:pt>
                <c:pt idx="40">
                  <c:v>0.7760869565217392</c:v>
                </c:pt>
                <c:pt idx="41">
                  <c:v>0.69513043478260872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35-4867-B9A6-45407723F9A0}"/>
            </c:ext>
          </c:extLst>
        </c:ser>
        <c:ser>
          <c:idx val="0"/>
          <c:order val="1"/>
          <c:tx>
            <c:v>HQC Acc.</c:v>
          </c:tx>
          <c:spPr>
            <a:ln>
              <a:solidFill>
                <a:schemeClr val="accent2">
                  <a:lumMod val="50000"/>
                </a:schemeClr>
              </a:solidFill>
            </a:ln>
          </c:spPr>
          <c:marker>
            <c:symbol val="circle"/>
            <c:size val="10"/>
            <c:spPr>
              <a:solidFill>
                <a:srgbClr val="FFC000"/>
              </a:solidFill>
              <a:ln cmpd="sng">
                <a:solidFill>
                  <a:schemeClr val="accent2"/>
                </a:solidFill>
              </a:ln>
            </c:spPr>
          </c:marker>
          <c:xVal>
            <c:strRef>
              <c:f>DHEA!$P$14:$P$268</c:f>
              <c:strCach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strCache>
            </c:strRef>
          </c:xVal>
          <c:yVal>
            <c:numRef>
              <c:f>DHEA!$Z$14:$Z$268</c:f>
              <c:numCache>
                <c:formatCode>0.0%</c:formatCode>
                <c:ptCount val="255"/>
                <c:pt idx="0">
                  <c:v>1.0038370118845501</c:v>
                </c:pt>
                <c:pt idx="1">
                  <c:v>0.9567572156196944</c:v>
                </c:pt>
                <c:pt idx="2">
                  <c:v>1.0373429541595924</c:v>
                </c:pt>
                <c:pt idx="3">
                  <c:v>1.0547028862478778</c:v>
                </c:pt>
                <c:pt idx="4">
                  <c:v>1.005314091680815</c:v>
                </c:pt>
                <c:pt idx="5">
                  <c:v>0.82054329371816637</c:v>
                </c:pt>
                <c:pt idx="6">
                  <c:v>0.93016129032258066</c:v>
                </c:pt>
                <c:pt idx="7">
                  <c:v>0.93573005093378614</c:v>
                </c:pt>
                <c:pt idx="8">
                  <c:v>0.92353989813242787</c:v>
                </c:pt>
                <c:pt idx="9">
                  <c:v>0.95682512733446523</c:v>
                </c:pt>
                <c:pt idx="10">
                  <c:v>0.95365874363327674</c:v>
                </c:pt>
                <c:pt idx="11">
                  <c:v>1.0203140916808149</c:v>
                </c:pt>
                <c:pt idx="12">
                  <c:v>0.6791171477079796</c:v>
                </c:pt>
                <c:pt idx="13">
                  <c:v>0.90987266553480484</c:v>
                </c:pt>
                <c:pt idx="14">
                  <c:v>0.74015280135823425</c:v>
                </c:pt>
                <c:pt idx="15">
                  <c:v>1.0178013582342955</c:v>
                </c:pt>
                <c:pt idx="16">
                  <c:v>0.98701188455008493</c:v>
                </c:pt>
                <c:pt idx="17">
                  <c:v>1.0520203735144313</c:v>
                </c:pt>
                <c:pt idx="18">
                  <c:v>1.003276740237691</c:v>
                </c:pt>
                <c:pt idx="19">
                  <c:v>1.0855432937181664</c:v>
                </c:pt>
                <c:pt idx="20">
                  <c:v>0.92967060810810798</c:v>
                </c:pt>
                <c:pt idx="21">
                  <c:v>1.1168496621621622</c:v>
                </c:pt>
                <c:pt idx="22">
                  <c:v>0.98603885135135128</c:v>
                </c:pt>
                <c:pt idx="23">
                  <c:v>0.90744087837837839</c:v>
                </c:pt>
                <c:pt idx="24">
                  <c:v>0.97760135135135129</c:v>
                </c:pt>
                <c:pt idx="25">
                  <c:v>0.87608277027027026</c:v>
                </c:pt>
                <c:pt idx="26">
                  <c:v>0.96744087837837833</c:v>
                </c:pt>
                <c:pt idx="27">
                  <c:v>1.0221875</c:v>
                </c:pt>
                <c:pt idx="28">
                  <c:v>1.0251435810810809</c:v>
                </c:pt>
                <c:pt idx="29">
                  <c:v>1.0371537162162163</c:v>
                </c:pt>
                <c:pt idx="30">
                  <c:v>0.83885135135135125</c:v>
                </c:pt>
                <c:pt idx="31">
                  <c:v>0.79644425675675679</c:v>
                </c:pt>
                <c:pt idx="32">
                  <c:v>0.9438597972972973</c:v>
                </c:pt>
                <c:pt idx="33">
                  <c:v>0.97887668918918913</c:v>
                </c:pt>
                <c:pt idx="34">
                  <c:v>1.1438006756756756</c:v>
                </c:pt>
                <c:pt idx="35">
                  <c:v>1.1619763513513512</c:v>
                </c:pt>
                <c:pt idx="36">
                  <c:v>0.9723733108108108</c:v>
                </c:pt>
                <c:pt idx="37">
                  <c:v>0.93401182432432428</c:v>
                </c:pt>
                <c:pt idx="38">
                  <c:v>0.98643581081081078</c:v>
                </c:pt>
                <c:pt idx="39">
                  <c:v>0.96849662162162153</c:v>
                </c:pt>
                <c:pt idx="40">
                  <c:v>0.96282939189189176</c:v>
                </c:pt>
                <c:pt idx="41">
                  <c:v>0.98239864864864868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B35-4867-B9A6-45407723F9A0}"/>
            </c:ext>
          </c:extLst>
        </c:ser>
        <c:ser>
          <c:idx val="5"/>
          <c:order val="2"/>
          <c:tx>
            <c:v>UCL</c:v>
          </c:tx>
          <c:spPr>
            <a:ln>
              <a:prstDash val="dash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C00000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1-11E8-4C07-8AD4-603EA404D078}"/>
              </c:ext>
            </c:extLst>
          </c:dPt>
          <c:xVal>
            <c:numRef>
              <c:f>(DHEA!$R$4,DHEA!$T$4)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(DHEA!$Q$11,DHEA!$Q$11)</c:f>
              <c:numCache>
                <c:formatCode>0%</c:formatCode>
                <c:ptCount val="2"/>
                <c:pt idx="0">
                  <c:v>1.1499999999999999</c:v>
                </c:pt>
                <c:pt idx="1">
                  <c:v>1.1499999999999999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B35-4867-B9A6-45407723F9A0}"/>
            </c:ext>
          </c:extLst>
        </c:ser>
        <c:ser>
          <c:idx val="6"/>
          <c:order val="3"/>
          <c:tx>
            <c:v>LCL</c:v>
          </c:tx>
          <c:spPr>
            <a:ln w="25400"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chemeClr val="accent6">
                    <a:lumMod val="75000"/>
                  </a:scheme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3-11E8-4C07-8AD4-603EA404D078}"/>
              </c:ext>
            </c:extLst>
          </c:dPt>
          <c:xVal>
            <c:numRef>
              <c:f>(DHEA!$R$4,DHEA!$T$4)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(DHEA!$R$11,DHEA!$R$11)</c:f>
              <c:numCache>
                <c:formatCode>0%</c:formatCode>
                <c:ptCount val="2"/>
                <c:pt idx="0">
                  <c:v>0.8</c:v>
                </c:pt>
                <c:pt idx="1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B35-4867-B9A6-45407723F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catAx>
        <c:axId val="1414825479"/>
        <c:scaling>
          <c:orientation val="minMax"/>
        </c:scaling>
        <c:delete val="0"/>
        <c:axPos val="b"/>
        <c:numFmt formatCode="[$-409]d/mmm/yy;@" sourceLinked="0"/>
        <c:majorTickMark val="out"/>
        <c:minorTickMark val="out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664720785"/>
        <c:crosses val="autoZero"/>
        <c:auto val="0"/>
        <c:lblAlgn val="ctr"/>
        <c:lblOffset val="100"/>
        <c:noMultiLvlLbl val="1"/>
      </c:catAx>
      <c:valAx>
        <c:axId val="1664720785"/>
        <c:scaling>
          <c:orientation val="minMax"/>
          <c:max val="1.8"/>
          <c:min val="0.4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ACCURACY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/>
            </a:pPr>
            <a:endParaRPr lang="en-US"/>
          </a:p>
        </c:txPr>
        <c:crossAx val="1414825479"/>
        <c:crosses val="autoZero"/>
        <c:crossBetween val="between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</c:spPr>
      <c:txPr>
        <a:bodyPr anchor="ctr" anchorCtr="1"/>
        <a:lstStyle/>
        <a:p>
          <a:pPr rtl="0">
            <a:defRPr sz="1400" b="0"/>
          </a:pPr>
          <a:endParaRPr lang="en-US"/>
        </a:p>
      </c:txPr>
    </c:legend>
    <c:plotVisOnly val="1"/>
    <c:dispBlanksAs val="span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noFill/>
    </a:ln>
  </c:spPr>
  <c:txPr>
    <a:bodyPr/>
    <a:lstStyle/>
    <a:p>
      <a:pPr>
        <a:defRPr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SG">
                <a:solidFill>
                  <a:schemeClr val="accent2"/>
                </a:solidFill>
              </a:rPr>
              <a:t>HQC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041856212537431E-2"/>
          <c:y val="0.13692552474352129"/>
          <c:w val="0.85499174011352508"/>
          <c:h val="0.6503580352696221"/>
        </c:manualLayout>
      </c:layout>
      <c:lineChart>
        <c:grouping val="standard"/>
        <c:varyColors val="1"/>
        <c:ser>
          <c:idx val="4"/>
          <c:order val="6"/>
          <c:tx>
            <c:v>date</c:v>
          </c:tx>
          <c:marker>
            <c:symbol val="none"/>
          </c:marker>
          <c:cat>
            <c:numRef>
              <c:f>'DHEA-S'!$R$14:$R$51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</c:numCache>
            </c:numRef>
          </c:cat>
          <c:val>
            <c:numRef>
              <c:f>'DHEA-S'!$R$14:$R$51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64-476F-903B-41E5E584D3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4825479"/>
        <c:axId val="1664720785"/>
      </c:lineChart>
      <c:scatterChart>
        <c:scatterStyle val="smoothMarker"/>
        <c:varyColors val="1"/>
        <c:ser>
          <c:idx val="3"/>
          <c:order val="1"/>
          <c:tx>
            <c:strRef>
              <c:f>'DHEA-S'!$Z$10</c:f>
              <c:strCache>
                <c:ptCount val="1"/>
                <c:pt idx="0">
                  <c:v>+3SD UCL</c:v>
                </c:pt>
              </c:strCache>
            </c:strRef>
          </c:tx>
          <c:spPr>
            <a:ln>
              <a:solidFill>
                <a:srgbClr val="C00000"/>
              </a:solidFill>
              <a:prstDash val="solid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C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7A5-45E3-B03F-1DCACBB77753}"/>
              </c:ext>
            </c:extLst>
          </c:dPt>
          <c:xVal>
            <c:numRef>
              <c:f>('DHEA-S'!$R$4,'DHEA-S'!$T$4)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('DHEA-S'!$Z$11,'DHEA-S'!$Z$11)</c:f>
              <c:numCache>
                <c:formatCode>0.00</c:formatCode>
                <c:ptCount val="2"/>
                <c:pt idx="0">
                  <c:v>18595.094388656787</c:v>
                </c:pt>
                <c:pt idx="1">
                  <c:v>18595.094388656787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E64-476F-903B-41E5E584D326}"/>
            </c:ext>
          </c:extLst>
        </c:ser>
        <c:ser>
          <c:idx val="1"/>
          <c:order val="5"/>
          <c:tx>
            <c:strRef>
              <c:f>'DHEA-S'!$W$10</c:f>
              <c:strCache>
                <c:ptCount val="1"/>
                <c:pt idx="0">
                  <c:v>-3SD LCL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00B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C7A5-45E3-B03F-1DCACBB77753}"/>
              </c:ext>
            </c:extLst>
          </c:dPt>
          <c:xVal>
            <c:numRef>
              <c:f>('DHEA-S'!$R$4,'DHEA-S'!$T$4)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('DHEA-S'!$W$11,'DHEA-S'!$W$11)</c:f>
              <c:numCache>
                <c:formatCode>0.00</c:formatCode>
                <c:ptCount val="2"/>
                <c:pt idx="0">
                  <c:v>4747.1207922955873</c:v>
                </c:pt>
                <c:pt idx="1">
                  <c:v>4747.1207922955873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E64-476F-903B-41E5E584D3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scatterChart>
        <c:scatterStyle val="lineMarker"/>
        <c:varyColors val="1"/>
        <c:ser>
          <c:idx val="0"/>
          <c:order val="0"/>
          <c:tx>
            <c:v>HQC</c:v>
          </c:tx>
          <c:marker>
            <c:symbol val="circle"/>
            <c:size val="10"/>
            <c:spPr>
              <a:solidFill>
                <a:schemeClr val="tx1">
                  <a:lumMod val="50000"/>
                  <a:lumOff val="50000"/>
                </a:schemeClr>
              </a:solidFill>
              <a:ln cmpd="sng">
                <a:solidFill>
                  <a:schemeClr val="tx1"/>
                </a:solidFill>
              </a:ln>
            </c:spPr>
          </c:marker>
          <c:xVal>
            <c:strRef>
              <c:f>'DHEA-S'!$P$14:$P$268</c:f>
              <c:strCach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strCache>
            </c:strRef>
          </c:xVal>
          <c:yVal>
            <c:numRef>
              <c:f>'DHEA-S'!$U$14:$U$268</c:f>
              <c:numCache>
                <c:formatCode>#,##0</c:formatCode>
                <c:ptCount val="255"/>
                <c:pt idx="0">
                  <c:v>12243.971</c:v>
                </c:pt>
                <c:pt idx="1">
                  <c:v>8732.3119999999999</c:v>
                </c:pt>
                <c:pt idx="2">
                  <c:v>10454.759</c:v>
                </c:pt>
                <c:pt idx="3">
                  <c:v>8163.53</c:v>
                </c:pt>
                <c:pt idx="4">
                  <c:v>7917.1639999999998</c:v>
                </c:pt>
                <c:pt idx="5">
                  <c:v>11007.623</c:v>
                </c:pt>
                <c:pt idx="6">
                  <c:v>11210.486000000001</c:v>
                </c:pt>
                <c:pt idx="7">
                  <c:v>11339.481</c:v>
                </c:pt>
                <c:pt idx="8">
                  <c:v>9078.43</c:v>
                </c:pt>
                <c:pt idx="9">
                  <c:v>10682.736000000001</c:v>
                </c:pt>
                <c:pt idx="10">
                  <c:v>16303.007</c:v>
                </c:pt>
                <c:pt idx="11">
                  <c:v>16383.464</c:v>
                </c:pt>
                <c:pt idx="12">
                  <c:v>13471.069</c:v>
                </c:pt>
                <c:pt idx="13">
                  <c:v>15098.321</c:v>
                </c:pt>
                <c:pt idx="14">
                  <c:v>12489.499</c:v>
                </c:pt>
                <c:pt idx="15">
                  <c:v>14914.703</c:v>
                </c:pt>
                <c:pt idx="16">
                  <c:v>14248.705</c:v>
                </c:pt>
                <c:pt idx="17">
                  <c:v>13542.456</c:v>
                </c:pt>
                <c:pt idx="18">
                  <c:v>13491.797</c:v>
                </c:pt>
                <c:pt idx="19">
                  <c:v>10645.414000000001</c:v>
                </c:pt>
                <c:pt idx="20">
                  <c:v>14840.905000000001</c:v>
                </c:pt>
                <c:pt idx="21">
                  <c:v>10568.066000000001</c:v>
                </c:pt>
                <c:pt idx="22">
                  <c:v>8727.1149999999998</c:v>
                </c:pt>
                <c:pt idx="23">
                  <c:v>8015.0730000000003</c:v>
                </c:pt>
                <c:pt idx="24">
                  <c:v>10616.899100000001</c:v>
                </c:pt>
                <c:pt idx="25">
                  <c:v>9362.5496999999996</c:v>
                </c:pt>
                <c:pt idx="26">
                  <c:v>8981.4560000000001</c:v>
                </c:pt>
                <c:pt idx="27">
                  <c:v>10143.6</c:v>
                </c:pt>
                <c:pt idx="28">
                  <c:v>9869.7829999999994</c:v>
                </c:pt>
                <c:pt idx="29">
                  <c:v>12549.888999999999</c:v>
                </c:pt>
                <c:pt idx="30">
                  <c:v>10718.826999999999</c:v>
                </c:pt>
                <c:pt idx="31">
                  <c:v>11481.093000000001</c:v>
                </c:pt>
                <c:pt idx="32">
                  <c:v>12244.87</c:v>
                </c:pt>
                <c:pt idx="33">
                  <c:v>13826.787</c:v>
                </c:pt>
                <c:pt idx="34">
                  <c:v>12457.505999999999</c:v>
                </c:pt>
                <c:pt idx="35">
                  <c:v>11940.41</c:v>
                </c:pt>
                <c:pt idx="36">
                  <c:v>9817</c:v>
                </c:pt>
                <c:pt idx="37">
                  <c:v>11219.55</c:v>
                </c:pt>
                <c:pt idx="38">
                  <c:v>12945.26</c:v>
                </c:pt>
                <c:pt idx="39">
                  <c:v>11985</c:v>
                </c:pt>
                <c:pt idx="40">
                  <c:v>16278</c:v>
                </c:pt>
                <c:pt idx="41">
                  <c:v>10177.953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E64-476F-903B-41E5E584D326}"/>
            </c:ext>
          </c:extLst>
        </c:ser>
        <c:ser>
          <c:idx val="5"/>
          <c:order val="2"/>
          <c:tx>
            <c:strRef>
              <c:f>'DHEA-S'!$Y$10</c:f>
              <c:strCache>
                <c:ptCount val="1"/>
                <c:pt idx="0">
                  <c:v>+2SD UCL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FF0000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5-C7A5-45E3-B03F-1DCACBB77753}"/>
              </c:ext>
            </c:extLst>
          </c:dPt>
          <c:xVal>
            <c:numRef>
              <c:f>('DHEA-S'!$R$4,'DHEA-S'!$T$4)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('DHEA-S'!$Y$11,'DHEA-S'!$Y$11)</c:f>
              <c:numCache>
                <c:formatCode>0.00</c:formatCode>
                <c:ptCount val="2"/>
                <c:pt idx="0">
                  <c:v>16287.098789263255</c:v>
                </c:pt>
                <c:pt idx="1">
                  <c:v>16287.098789263255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EE64-476F-903B-41E5E584D326}"/>
            </c:ext>
          </c:extLst>
        </c:ser>
        <c:ser>
          <c:idx val="2"/>
          <c:order val="3"/>
          <c:tx>
            <c:v>Mean</c:v>
          </c:tx>
          <c:spPr>
            <a:ln>
              <a:solidFill>
                <a:schemeClr val="accent1"/>
              </a:solidFill>
              <a:prstDash val="sysDash"/>
            </a:ln>
          </c:spPr>
          <c:dPt>
            <c:idx val="0"/>
            <c:marker>
              <c:symbol val="none"/>
            </c:marker>
            <c:bubble3D val="0"/>
            <c:spPr>
              <a:ln w="28575">
                <a:solidFill>
                  <a:schemeClr val="accent1"/>
                </a:solidFill>
                <a:prstDash val="sysDot"/>
              </a:ln>
            </c:spPr>
            <c:extLst>
              <c:ext xmlns:c16="http://schemas.microsoft.com/office/drawing/2014/chart" uri="{C3380CC4-5D6E-409C-BE32-E72D297353CC}">
                <c16:uniqueId val="{00000007-C7A5-45E3-B03F-1DCACBB77753}"/>
              </c:ext>
            </c:extLst>
          </c:dPt>
          <c:xVal>
            <c:numRef>
              <c:f>('DHEA-S'!$R$4,'DHEA-S'!$T$4)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('DHEA-S'!$U$11,'DHEA-S'!$U$11)</c:f>
              <c:numCache>
                <c:formatCode>0.00</c:formatCode>
                <c:ptCount val="2"/>
                <c:pt idx="0">
                  <c:v>11671.107590476187</c:v>
                </c:pt>
                <c:pt idx="1">
                  <c:v>11671.107590476187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EE64-476F-903B-41E5E584D326}"/>
            </c:ext>
          </c:extLst>
        </c:ser>
        <c:ser>
          <c:idx val="6"/>
          <c:order val="4"/>
          <c:tx>
            <c:strRef>
              <c:f>'DHEA-S'!$X$10</c:f>
              <c:strCache>
                <c:ptCount val="1"/>
                <c:pt idx="0">
                  <c:v>-2SD LCL</c:v>
                </c:pt>
              </c:strCache>
            </c:strRef>
          </c:tx>
          <c:spPr>
            <a:ln w="25400">
              <a:solidFill>
                <a:schemeClr val="accent6">
                  <a:lumMod val="60000"/>
                  <a:lumOff val="40000"/>
                </a:schemeClr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chemeClr val="accent6">
                    <a:lumMod val="60000"/>
                    <a:lumOff val="40000"/>
                  </a:scheme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9-C7A5-45E3-B03F-1DCACBB77753}"/>
              </c:ext>
            </c:extLst>
          </c:dPt>
          <c:xVal>
            <c:numRef>
              <c:f>('DHEA-S'!$R$4,'DHEA-S'!$T$4)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('DHEA-S'!$X$11,'DHEA-S'!$X$11)</c:f>
              <c:numCache>
                <c:formatCode>0.00</c:formatCode>
                <c:ptCount val="2"/>
                <c:pt idx="0">
                  <c:v>7055.116391689121</c:v>
                </c:pt>
                <c:pt idx="1">
                  <c:v>7055.116391689121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EE64-476F-903B-41E5E584D3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catAx>
        <c:axId val="1414825479"/>
        <c:scaling>
          <c:orientation val="minMax"/>
        </c:scaling>
        <c:delete val="0"/>
        <c:axPos val="b"/>
        <c:numFmt formatCode="[$-409]d/mmm/yy;@" sourceLinked="0"/>
        <c:majorTickMark val="out"/>
        <c:minorTickMark val="out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664720785"/>
        <c:crosses val="autoZero"/>
        <c:auto val="0"/>
        <c:lblAlgn val="ctr"/>
        <c:lblOffset val="100"/>
        <c:noMultiLvlLbl val="1"/>
      </c:catAx>
      <c:valAx>
        <c:axId val="1664720785"/>
        <c:scaling>
          <c:orientation val="minMax"/>
          <c:max val="24000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HQC [nmol/L]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/>
        </c:spPr>
        <c:crossAx val="1414825479"/>
        <c:crosses val="autoZero"/>
        <c:crossBetween val="between"/>
        <c:majorUnit val="4000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</c:spPr>
      <c:txPr>
        <a:bodyPr anchor="ctr" anchorCtr="1"/>
        <a:lstStyle/>
        <a:p>
          <a:pPr rtl="0">
            <a:defRPr sz="1200"/>
          </a:pPr>
          <a:endParaRPr lang="en-US"/>
        </a:p>
      </c:txPr>
    </c:legend>
    <c:plotVisOnly val="1"/>
    <c:dispBlanksAs val="span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noFill/>
    </a:ln>
  </c:spPr>
  <c:txPr>
    <a:bodyPr/>
    <a:lstStyle/>
    <a:p>
      <a:pPr>
        <a:defRPr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SG">
                <a:solidFill>
                  <a:schemeClr val="accent6"/>
                </a:solidFill>
              </a:rPr>
              <a:t>LQC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041856212537431E-2"/>
          <c:y val="0.13692552474352129"/>
          <c:w val="0.85499174011352508"/>
          <c:h val="0.6503580352696221"/>
        </c:manualLayout>
      </c:layout>
      <c:lineChart>
        <c:grouping val="standard"/>
        <c:varyColors val="1"/>
        <c:ser>
          <c:idx val="4"/>
          <c:order val="6"/>
          <c:tx>
            <c:v>date</c:v>
          </c:tx>
          <c:marker>
            <c:symbol val="none"/>
          </c:marker>
          <c:cat>
            <c:numRef>
              <c:f>'DHEA-S'!$R$14:$R$51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</c:numCache>
            </c:numRef>
          </c:cat>
          <c:val>
            <c:numRef>
              <c:f>'DHEA-S'!$R$14:$R$51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83-4463-9E72-303CE7DC4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4825479"/>
        <c:axId val="1664720785"/>
      </c:lineChart>
      <c:scatterChart>
        <c:scatterStyle val="smoothMarker"/>
        <c:varyColors val="1"/>
        <c:ser>
          <c:idx val="3"/>
          <c:order val="1"/>
          <c:tx>
            <c:strRef>
              <c:f>'DHEA-S'!$AH$10</c:f>
              <c:strCache>
                <c:ptCount val="1"/>
                <c:pt idx="0">
                  <c:v>+3SD UCL</c:v>
                </c:pt>
              </c:strCache>
            </c:strRef>
          </c:tx>
          <c:spPr>
            <a:ln>
              <a:solidFill>
                <a:srgbClr val="C00000"/>
              </a:solidFill>
              <a:prstDash val="solid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C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7DA-4D98-9208-C1B33D944583}"/>
              </c:ext>
            </c:extLst>
          </c:dPt>
          <c:xVal>
            <c:numRef>
              <c:f>('DHEA-S'!$R$4,'DHEA-S'!$T$4)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('DHEA-S'!$AH$11,'DHEA-S'!$AH$11)</c:f>
              <c:numCache>
                <c:formatCode>0.00</c:formatCode>
                <c:ptCount val="2"/>
                <c:pt idx="0">
                  <c:v>1046.9442386445567</c:v>
                </c:pt>
                <c:pt idx="1">
                  <c:v>1046.9442386445567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383-4463-9E72-303CE7DC4848}"/>
            </c:ext>
          </c:extLst>
        </c:ser>
        <c:ser>
          <c:idx val="1"/>
          <c:order val="2"/>
          <c:tx>
            <c:strRef>
              <c:f>'DHEA-S'!$AG$10</c:f>
              <c:strCache>
                <c:ptCount val="1"/>
                <c:pt idx="0">
                  <c:v>+2SD UCL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00B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27DA-4D98-9208-C1B33D944583}"/>
              </c:ext>
            </c:extLst>
          </c:dPt>
          <c:xVal>
            <c:numRef>
              <c:f>('DHEA-S'!$R$4,'DHEA-S'!$T$4)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('DHEA-S'!$AG$11,'DHEA-S'!$AG$11)</c:f>
              <c:numCache>
                <c:formatCode>0.00</c:formatCode>
                <c:ptCount val="2"/>
                <c:pt idx="0">
                  <c:v>923.02974322335535</c:v>
                </c:pt>
                <c:pt idx="1">
                  <c:v>923.02974322335535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383-4463-9E72-303CE7DC4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scatterChart>
        <c:scatterStyle val="lineMarker"/>
        <c:varyColors val="1"/>
        <c:ser>
          <c:idx val="0"/>
          <c:order val="0"/>
          <c:tx>
            <c:v>LQC</c:v>
          </c:tx>
          <c:marker>
            <c:symbol val="circle"/>
            <c:size val="10"/>
            <c:spPr>
              <a:solidFill>
                <a:schemeClr val="tx1">
                  <a:lumMod val="50000"/>
                  <a:lumOff val="50000"/>
                </a:schemeClr>
              </a:solidFill>
              <a:ln cmpd="sng">
                <a:solidFill>
                  <a:schemeClr val="tx1"/>
                </a:solidFill>
              </a:ln>
            </c:spPr>
          </c:marker>
          <c:xVal>
            <c:strRef>
              <c:f>'DHEA-S'!$P$14:$P$268</c:f>
              <c:strCach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strCache>
            </c:strRef>
          </c:xVal>
          <c:yVal>
            <c:numRef>
              <c:f>'DHEA-S'!$AC$14:$AC$268</c:f>
              <c:numCache>
                <c:formatCode>0.0</c:formatCode>
                <c:ptCount val="255"/>
                <c:pt idx="0">
                  <c:v>882.57799999999997</c:v>
                </c:pt>
                <c:pt idx="1">
                  <c:v>695.07500000000005</c:v>
                </c:pt>
                <c:pt idx="2">
                  <c:v>698.93200000000002</c:v>
                </c:pt>
                <c:pt idx="3">
                  <c:v>1010.775</c:v>
                </c:pt>
                <c:pt idx="4">
                  <c:v>557.79700000000003</c:v>
                </c:pt>
                <c:pt idx="5">
                  <c:v>566.49400000000003</c:v>
                </c:pt>
                <c:pt idx="6">
                  <c:v>765.68700000000001</c:v>
                </c:pt>
                <c:pt idx="7">
                  <c:v>590.19500000000005</c:v>
                </c:pt>
                <c:pt idx="8">
                  <c:v>748.68499999999995</c:v>
                </c:pt>
                <c:pt idx="9">
                  <c:v>547.16899999999998</c:v>
                </c:pt>
                <c:pt idx="10">
                  <c:v>760.45899999999995</c:v>
                </c:pt>
                <c:pt idx="11">
                  <c:v>622.70299999999997</c:v>
                </c:pt>
                <c:pt idx="12">
                  <c:v>509.67899999999997</c:v>
                </c:pt>
                <c:pt idx="13">
                  <c:v>676.65700000000004</c:v>
                </c:pt>
                <c:pt idx="14">
                  <c:v>712.71699999999998</c:v>
                </c:pt>
                <c:pt idx="15">
                  <c:v>834.24599999999998</c:v>
                </c:pt>
                <c:pt idx="16">
                  <c:v>727.08299999999997</c:v>
                </c:pt>
                <c:pt idx="17">
                  <c:v>713.96100000000001</c:v>
                </c:pt>
                <c:pt idx="18">
                  <c:v>649.798</c:v>
                </c:pt>
                <c:pt idx="19">
                  <c:v>704.51300000000003</c:v>
                </c:pt>
                <c:pt idx="20">
                  <c:v>887.08199999999999</c:v>
                </c:pt>
                <c:pt idx="21">
                  <c:v>607.74400000000003</c:v>
                </c:pt>
                <c:pt idx="22">
                  <c:v>641.64300000000003</c:v>
                </c:pt>
                <c:pt idx="23">
                  <c:v>595.08299999999997</c:v>
                </c:pt>
                <c:pt idx="24">
                  <c:v>659.28970000000004</c:v>
                </c:pt>
                <c:pt idx="25">
                  <c:v>544.07590000000005</c:v>
                </c:pt>
                <c:pt idx="26">
                  <c:v>668.18700000000001</c:v>
                </c:pt>
                <c:pt idx="27">
                  <c:v>690.15599999999995</c:v>
                </c:pt>
                <c:pt idx="28">
                  <c:v>579.89300000000003</c:v>
                </c:pt>
                <c:pt idx="29">
                  <c:v>477.29500000000002</c:v>
                </c:pt>
                <c:pt idx="30">
                  <c:v>547.76599999999996</c:v>
                </c:pt>
                <c:pt idx="31">
                  <c:v>841.52700000000004</c:v>
                </c:pt>
                <c:pt idx="32">
                  <c:v>541.34900000000005</c:v>
                </c:pt>
                <c:pt idx="33">
                  <c:v>593.822</c:v>
                </c:pt>
                <c:pt idx="34">
                  <c:v>762.80100000000004</c:v>
                </c:pt>
                <c:pt idx="35">
                  <c:v>550.44799999999998</c:v>
                </c:pt>
                <c:pt idx="36">
                  <c:v>855</c:v>
                </c:pt>
                <c:pt idx="37">
                  <c:v>504.48</c:v>
                </c:pt>
                <c:pt idx="38">
                  <c:v>772.67</c:v>
                </c:pt>
                <c:pt idx="39">
                  <c:v>695.38</c:v>
                </c:pt>
                <c:pt idx="40">
                  <c:v>848.35</c:v>
                </c:pt>
                <c:pt idx="41">
                  <c:v>519.18700000000001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383-4463-9E72-303CE7DC4848}"/>
            </c:ext>
          </c:extLst>
        </c:ser>
        <c:ser>
          <c:idx val="2"/>
          <c:order val="3"/>
          <c:tx>
            <c:v>Mean</c:v>
          </c:tx>
          <c:spPr>
            <a:ln>
              <a:solidFill>
                <a:schemeClr val="accent1"/>
              </a:solidFill>
              <a:prstDash val="sysDash"/>
            </a:ln>
          </c:spPr>
          <c:dPt>
            <c:idx val="0"/>
            <c:marker>
              <c:symbol val="none"/>
            </c:marker>
            <c:bubble3D val="0"/>
            <c:spPr>
              <a:ln w="28575">
                <a:solidFill>
                  <a:schemeClr val="accent1"/>
                </a:solidFill>
                <a:prstDash val="sysDot"/>
              </a:ln>
            </c:spPr>
            <c:extLst>
              <c:ext xmlns:c16="http://schemas.microsoft.com/office/drawing/2014/chart" uri="{C3380CC4-5D6E-409C-BE32-E72D297353CC}">
                <c16:uniqueId val="{00000005-27DA-4D98-9208-C1B33D944583}"/>
              </c:ext>
            </c:extLst>
          </c:dPt>
          <c:xVal>
            <c:numRef>
              <c:f>('DHEA-S'!$R$4,'DHEA-S'!$T$4)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('DHEA-S'!$AC$11,'DHEA-S'!$AC$11)</c:f>
              <c:numCache>
                <c:formatCode>0.00</c:formatCode>
                <c:ptCount val="2"/>
                <c:pt idx="0">
                  <c:v>675.20075238095239</c:v>
                </c:pt>
                <c:pt idx="1">
                  <c:v>675.20075238095239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383-4463-9E72-303CE7DC4848}"/>
            </c:ext>
          </c:extLst>
        </c:ser>
        <c:ser>
          <c:idx val="6"/>
          <c:order val="4"/>
          <c:tx>
            <c:strRef>
              <c:f>'DHEA-S'!$AF$10</c:f>
              <c:strCache>
                <c:ptCount val="1"/>
                <c:pt idx="0">
                  <c:v>-2SD LCL</c:v>
                </c:pt>
              </c:strCache>
            </c:strRef>
          </c:tx>
          <c:spPr>
            <a:ln w="25400">
              <a:solidFill>
                <a:schemeClr val="accent6">
                  <a:lumMod val="60000"/>
                  <a:lumOff val="40000"/>
                </a:schemeClr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chemeClr val="accent6">
                    <a:lumMod val="60000"/>
                    <a:lumOff val="40000"/>
                  </a:scheme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7-27DA-4D98-9208-C1B33D944583}"/>
              </c:ext>
            </c:extLst>
          </c:dPt>
          <c:xVal>
            <c:numRef>
              <c:f>('DHEA-S'!$R$4,'DHEA-S'!$T$4)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('DHEA-S'!$AF$11,'DHEA-S'!$AF$11)</c:f>
              <c:numCache>
                <c:formatCode>0.00</c:formatCode>
                <c:ptCount val="2"/>
                <c:pt idx="0">
                  <c:v>427.37176153854944</c:v>
                </c:pt>
                <c:pt idx="1">
                  <c:v>427.37176153854944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383-4463-9E72-303CE7DC4848}"/>
            </c:ext>
          </c:extLst>
        </c:ser>
        <c:ser>
          <c:idx val="5"/>
          <c:order val="5"/>
          <c:tx>
            <c:strRef>
              <c:f>'DHEA-S'!$AE$10</c:f>
              <c:strCache>
                <c:ptCount val="1"/>
                <c:pt idx="0">
                  <c:v>-3SD LCL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FF0000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9-27DA-4D98-9208-C1B33D944583}"/>
              </c:ext>
            </c:extLst>
          </c:dPt>
          <c:xVal>
            <c:numRef>
              <c:f>('DHEA-S'!$R$4,'DHEA-S'!$T$4)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('DHEA-S'!$AE$11,'DHEA-S'!$AE$11)</c:f>
              <c:numCache>
                <c:formatCode>0.00</c:formatCode>
                <c:ptCount val="2"/>
                <c:pt idx="0">
                  <c:v>303.45726611734801</c:v>
                </c:pt>
                <c:pt idx="1">
                  <c:v>303.45726611734801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9383-4463-9E72-303CE7DC4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catAx>
        <c:axId val="1414825479"/>
        <c:scaling>
          <c:orientation val="minMax"/>
        </c:scaling>
        <c:delete val="0"/>
        <c:axPos val="b"/>
        <c:numFmt formatCode="[$-409]d/mmm/yy;@" sourceLinked="0"/>
        <c:majorTickMark val="out"/>
        <c:minorTickMark val="out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664720785"/>
        <c:crosses val="autoZero"/>
        <c:auto val="0"/>
        <c:lblAlgn val="ctr"/>
        <c:lblOffset val="100"/>
        <c:noMultiLvlLbl val="1"/>
      </c:catAx>
      <c:valAx>
        <c:axId val="1664720785"/>
        <c:scaling>
          <c:orientation val="minMax"/>
          <c:max val="120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200">
                    <a:solidFill>
                      <a:schemeClr val="accent6"/>
                    </a:solidFill>
                  </a:rPr>
                  <a:t>LQC [nmol/L]</a:t>
                </a:r>
              </a:p>
            </c:rich>
          </c:tx>
          <c:layout>
            <c:manualLayout>
              <c:xMode val="edge"/>
              <c:yMode val="edge"/>
              <c:x val="1.2907702223661067E-2"/>
              <c:y val="0.40450724699866752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/>
        </c:spPr>
        <c:crossAx val="1414825479"/>
        <c:crosses val="autoZero"/>
        <c:crossBetween val="between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</c:spPr>
      <c:txPr>
        <a:bodyPr anchor="ctr" anchorCtr="1"/>
        <a:lstStyle/>
        <a:p>
          <a:pPr rtl="0">
            <a:defRPr sz="1200"/>
          </a:pPr>
          <a:endParaRPr lang="en-US"/>
        </a:p>
      </c:txPr>
    </c:legend>
    <c:plotVisOnly val="1"/>
    <c:dispBlanksAs val="span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noFill/>
    </a:ln>
  </c:spPr>
  <c:txPr>
    <a:bodyPr/>
    <a:lstStyle/>
    <a:p>
      <a:pPr>
        <a:defRPr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SG">
                <a:solidFill>
                  <a:sysClr val="windowText" lastClr="000000"/>
                </a:solidFill>
              </a:rPr>
              <a:t>ACCURACY</a:t>
            </a:r>
          </a:p>
        </c:rich>
      </c:tx>
      <c:overlay val="0"/>
      <c:spPr>
        <a:noFill/>
      </c:spPr>
    </c:title>
    <c:autoTitleDeleted val="0"/>
    <c:plotArea>
      <c:layout>
        <c:manualLayout>
          <c:layoutTarget val="inner"/>
          <c:xMode val="edge"/>
          <c:yMode val="edge"/>
          <c:x val="9.7388134921387773E-2"/>
          <c:y val="0.12595373243973218"/>
          <c:w val="0.85499174011352508"/>
          <c:h val="0.6503580352696221"/>
        </c:manualLayout>
      </c:layout>
      <c:lineChart>
        <c:grouping val="standard"/>
        <c:varyColors val="1"/>
        <c:ser>
          <c:idx val="4"/>
          <c:order val="4"/>
          <c:tx>
            <c:v>date</c:v>
          </c:tx>
          <c:marker>
            <c:symbol val="none"/>
          </c:marker>
          <c:cat>
            <c:numRef>
              <c:f>'DHEA-S'!$R$14:$R$51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</c:numCache>
            </c:numRef>
          </c:cat>
          <c:val>
            <c:numRef>
              <c:f>'DHEA-S'!$R$14:$R$51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FB-4288-966C-2C00B9E116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4825479"/>
        <c:axId val="1664720785"/>
      </c:lineChart>
      <c:scatterChart>
        <c:scatterStyle val="lineMarker"/>
        <c:varyColors val="1"/>
        <c:ser>
          <c:idx val="1"/>
          <c:order val="0"/>
          <c:tx>
            <c:v>LQC Acc</c:v>
          </c:tx>
          <c:spPr>
            <a:ln>
              <a:solidFill>
                <a:schemeClr val="accent6">
                  <a:lumMod val="50000"/>
                </a:schemeClr>
              </a:solidFill>
            </a:ln>
          </c:spPr>
          <c:marker>
            <c:symbol val="circle"/>
            <c:size val="10"/>
            <c:spPr>
              <a:solidFill>
                <a:schemeClr val="accent6"/>
              </a:solidFill>
              <a:ln>
                <a:solidFill>
                  <a:schemeClr val="accent6"/>
                </a:solidFill>
              </a:ln>
            </c:spPr>
          </c:marker>
          <c:xVal>
            <c:strRef>
              <c:f>'DHEA-S'!$P$14:$P$268</c:f>
              <c:strCach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strCache>
            </c:strRef>
          </c:xVal>
          <c:yVal>
            <c:numRef>
              <c:f>'DHEA-S'!$AH$14:$AH$268</c:f>
              <c:numCache>
                <c:formatCode>0.0%</c:formatCode>
                <c:ptCount val="255"/>
                <c:pt idx="0">
                  <c:v>1.418935691318328</c:v>
                </c:pt>
                <c:pt idx="1">
                  <c:v>1.1174839228295821</c:v>
                </c:pt>
                <c:pt idx="2">
                  <c:v>1.1236848874598071</c:v>
                </c:pt>
                <c:pt idx="3">
                  <c:v>1.625040192926045</c:v>
                </c:pt>
                <c:pt idx="4">
                  <c:v>0.89677974276527339</c:v>
                </c:pt>
                <c:pt idx="5">
                  <c:v>0.9107620578778135</c:v>
                </c:pt>
                <c:pt idx="6">
                  <c:v>1.2310080385852091</c:v>
                </c:pt>
                <c:pt idx="7">
                  <c:v>0.94886655948553067</c:v>
                </c:pt>
                <c:pt idx="8">
                  <c:v>1.2036736334405145</c:v>
                </c:pt>
                <c:pt idx="9">
                  <c:v>0.87969292604501603</c:v>
                </c:pt>
                <c:pt idx="10">
                  <c:v>1.2226028938906752</c:v>
                </c:pt>
                <c:pt idx="11">
                  <c:v>1.0011302250803857</c:v>
                </c:pt>
                <c:pt idx="12">
                  <c:v>0.81941961414790998</c:v>
                </c:pt>
                <c:pt idx="13">
                  <c:v>1.0878729903536979</c:v>
                </c:pt>
                <c:pt idx="14">
                  <c:v>1.1458472668810289</c:v>
                </c:pt>
                <c:pt idx="15">
                  <c:v>1.3412315112540192</c:v>
                </c:pt>
                <c:pt idx="16">
                  <c:v>1.168943729903537</c:v>
                </c:pt>
                <c:pt idx="17">
                  <c:v>1.1478472668810289</c:v>
                </c:pt>
                <c:pt idx="18">
                  <c:v>1.0446913183279742</c:v>
                </c:pt>
                <c:pt idx="19">
                  <c:v>1.1326575562700965</c:v>
                </c:pt>
                <c:pt idx="20">
                  <c:v>1.2931224489795918</c:v>
                </c:pt>
                <c:pt idx="21">
                  <c:v>0.88592419825072888</c:v>
                </c:pt>
                <c:pt idx="22">
                  <c:v>0.93533965014577258</c:v>
                </c:pt>
                <c:pt idx="23">
                  <c:v>0.86746793002915445</c:v>
                </c:pt>
                <c:pt idx="24">
                  <c:v>0.96106370262390672</c:v>
                </c:pt>
                <c:pt idx="25">
                  <c:v>0.79311355685131202</c:v>
                </c:pt>
                <c:pt idx="26">
                  <c:v>0.97403352769679297</c:v>
                </c:pt>
                <c:pt idx="27">
                  <c:v>1.0060583090379007</c:v>
                </c:pt>
                <c:pt idx="28">
                  <c:v>0.84532507288629744</c:v>
                </c:pt>
                <c:pt idx="29">
                  <c:v>0.69576530612244902</c:v>
                </c:pt>
                <c:pt idx="30">
                  <c:v>0.79849271137026234</c:v>
                </c:pt>
                <c:pt idx="31">
                  <c:v>1.2267157434402334</c:v>
                </c:pt>
                <c:pt idx="32">
                  <c:v>0.78913848396501463</c:v>
                </c:pt>
                <c:pt idx="33">
                  <c:v>0.86562973760932949</c:v>
                </c:pt>
                <c:pt idx="34">
                  <c:v>1.1119548104956269</c:v>
                </c:pt>
                <c:pt idx="35">
                  <c:v>0.80240233236151604</c:v>
                </c:pt>
                <c:pt idx="36">
                  <c:v>1.2463556851311954</c:v>
                </c:pt>
                <c:pt idx="37">
                  <c:v>0.73539358600583093</c:v>
                </c:pt>
                <c:pt idx="38">
                  <c:v>1.12634110787172</c:v>
                </c:pt>
                <c:pt idx="39">
                  <c:v>1.0136734693877552</c:v>
                </c:pt>
                <c:pt idx="40">
                  <c:v>1.236661807580175</c:v>
                </c:pt>
                <c:pt idx="41">
                  <c:v>0.75683236151603506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FB-4288-966C-2C00B9E1161D}"/>
            </c:ext>
          </c:extLst>
        </c:ser>
        <c:ser>
          <c:idx val="0"/>
          <c:order val="1"/>
          <c:tx>
            <c:v>HQC Acc.</c:v>
          </c:tx>
          <c:spPr>
            <a:ln>
              <a:solidFill>
                <a:schemeClr val="accent2">
                  <a:lumMod val="50000"/>
                </a:schemeClr>
              </a:solidFill>
            </a:ln>
          </c:spPr>
          <c:marker>
            <c:symbol val="circle"/>
            <c:size val="10"/>
            <c:spPr>
              <a:solidFill>
                <a:srgbClr val="FFC000"/>
              </a:solidFill>
              <a:ln cmpd="sng">
                <a:solidFill>
                  <a:schemeClr val="accent2"/>
                </a:solidFill>
              </a:ln>
            </c:spPr>
          </c:marker>
          <c:xVal>
            <c:strRef>
              <c:f>'DHEA-S'!$P$14:$P$268</c:f>
              <c:strCach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strCache>
            </c:strRef>
          </c:xVal>
          <c:yVal>
            <c:numRef>
              <c:f>'DHEA-S'!$Z$14:$Z$268</c:f>
              <c:numCache>
                <c:formatCode>0.0%</c:formatCode>
                <c:ptCount val="255"/>
                <c:pt idx="0">
                  <c:v>1.04891381821297</c:v>
                </c:pt>
                <c:pt idx="1">
                  <c:v>0.7480777863445558</c:v>
                </c:pt>
                <c:pt idx="2">
                  <c:v>0.89563599760130219</c:v>
                </c:pt>
                <c:pt idx="3">
                  <c:v>0.69935149490276705</c:v>
                </c:pt>
                <c:pt idx="4">
                  <c:v>0.67824586652959817</c:v>
                </c:pt>
                <c:pt idx="5">
                  <c:v>0.94299862931551437</c:v>
                </c:pt>
                <c:pt idx="6">
                  <c:v>0.96037745224021254</c:v>
                </c:pt>
                <c:pt idx="7">
                  <c:v>0.97142816756617834</c:v>
                </c:pt>
                <c:pt idx="8">
                  <c:v>0.77772894714297958</c:v>
                </c:pt>
                <c:pt idx="9">
                  <c:v>0.91516628116165522</c:v>
                </c:pt>
                <c:pt idx="10">
                  <c:v>1.3966424226848282</c:v>
                </c:pt>
                <c:pt idx="11">
                  <c:v>1.4035349952882721</c:v>
                </c:pt>
                <c:pt idx="12">
                  <c:v>1.1540365801422086</c:v>
                </c:pt>
                <c:pt idx="13">
                  <c:v>1.293439647048745</c:v>
                </c:pt>
                <c:pt idx="14">
                  <c:v>1.0699476569862074</c:v>
                </c:pt>
                <c:pt idx="15">
                  <c:v>1.2777095005568406</c:v>
                </c:pt>
                <c:pt idx="16">
                  <c:v>1.220654930180759</c:v>
                </c:pt>
                <c:pt idx="17">
                  <c:v>1.1601521459778976</c:v>
                </c:pt>
                <c:pt idx="18">
                  <c:v>1.155812301893258</c:v>
                </c:pt>
                <c:pt idx="19">
                  <c:v>0.91196898826351414</c:v>
                </c:pt>
                <c:pt idx="20">
                  <c:v>1.1859441425603325</c:v>
                </c:pt>
                <c:pt idx="21">
                  <c:v>0.8444994406264984</c:v>
                </c:pt>
                <c:pt idx="22">
                  <c:v>0.69738812529966432</c:v>
                </c:pt>
                <c:pt idx="23">
                  <c:v>0.6404884928879655</c:v>
                </c:pt>
                <c:pt idx="24">
                  <c:v>0.84840171807575515</c:v>
                </c:pt>
                <c:pt idx="25">
                  <c:v>0.74816603004634807</c:v>
                </c:pt>
                <c:pt idx="26">
                  <c:v>0.71771264184113792</c:v>
                </c:pt>
                <c:pt idx="27">
                  <c:v>0.81058015023174046</c:v>
                </c:pt>
                <c:pt idx="28">
                  <c:v>0.78869929678759787</c:v>
                </c:pt>
                <c:pt idx="29">
                  <c:v>1.0028679079431038</c:v>
                </c:pt>
                <c:pt idx="30">
                  <c:v>0.85654682755314038</c:v>
                </c:pt>
                <c:pt idx="31">
                  <c:v>0.91745988492887975</c:v>
                </c:pt>
                <c:pt idx="32">
                  <c:v>0.97849368707048112</c:v>
                </c:pt>
                <c:pt idx="33">
                  <c:v>1.1049054658782165</c:v>
                </c:pt>
                <c:pt idx="34">
                  <c:v>0.99548553619945657</c:v>
                </c:pt>
                <c:pt idx="35">
                  <c:v>0.9541641361674924</c:v>
                </c:pt>
                <c:pt idx="36">
                  <c:v>0.7844813808534441</c:v>
                </c:pt>
                <c:pt idx="37">
                  <c:v>0.89655985296467955</c:v>
                </c:pt>
                <c:pt idx="38">
                  <c:v>1.0344622023333867</c:v>
                </c:pt>
                <c:pt idx="39">
                  <c:v>0.95772734537318205</c:v>
                </c:pt>
                <c:pt idx="40">
                  <c:v>1.3007831229023494</c:v>
                </c:pt>
                <c:pt idx="41">
                  <c:v>0.81332531564647592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3FB-4288-966C-2C00B9E1161D}"/>
            </c:ext>
          </c:extLst>
        </c:ser>
        <c:ser>
          <c:idx val="5"/>
          <c:order val="2"/>
          <c:tx>
            <c:v>UCL</c:v>
          </c:tx>
          <c:spPr>
            <a:ln>
              <a:prstDash val="dash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C00000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1-0395-4749-9B46-93BC58A7B6D6}"/>
              </c:ext>
            </c:extLst>
          </c:dPt>
          <c:xVal>
            <c:numRef>
              <c:f>('DHEA-S'!$R$4,'DHEA-S'!$T$4)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('DHEA-S'!$Q$11,'DHEA-S'!$Q$11)</c:f>
              <c:numCache>
                <c:formatCode>0%</c:formatCode>
                <c:ptCount val="2"/>
                <c:pt idx="0">
                  <c:v>1.1499999999999999</c:v>
                </c:pt>
                <c:pt idx="1">
                  <c:v>1.1499999999999999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3FB-4288-966C-2C00B9E1161D}"/>
            </c:ext>
          </c:extLst>
        </c:ser>
        <c:ser>
          <c:idx val="6"/>
          <c:order val="3"/>
          <c:tx>
            <c:v>LCL</c:v>
          </c:tx>
          <c:spPr>
            <a:ln w="25400"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chemeClr val="accent6">
                    <a:lumMod val="75000"/>
                  </a:scheme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3-0395-4749-9B46-93BC58A7B6D6}"/>
              </c:ext>
            </c:extLst>
          </c:dPt>
          <c:xVal>
            <c:numRef>
              <c:f>('DHEA-S'!$R$4,'DHEA-S'!$T$4)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('DHEA-S'!$R$11,'DHEA-S'!$R$11)</c:f>
              <c:numCache>
                <c:formatCode>0%</c:formatCode>
                <c:ptCount val="2"/>
                <c:pt idx="0">
                  <c:v>0.8</c:v>
                </c:pt>
                <c:pt idx="1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3FB-4288-966C-2C00B9E116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catAx>
        <c:axId val="1414825479"/>
        <c:scaling>
          <c:orientation val="minMax"/>
        </c:scaling>
        <c:delete val="0"/>
        <c:axPos val="b"/>
        <c:numFmt formatCode="[$-409]d/mmm/yy;@" sourceLinked="0"/>
        <c:majorTickMark val="out"/>
        <c:minorTickMark val="out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664720785"/>
        <c:crosses val="autoZero"/>
        <c:auto val="0"/>
        <c:lblAlgn val="ctr"/>
        <c:lblOffset val="100"/>
        <c:noMultiLvlLbl val="1"/>
      </c:catAx>
      <c:valAx>
        <c:axId val="1664720785"/>
        <c:scaling>
          <c:orientation val="minMax"/>
          <c:max val="1.8"/>
          <c:min val="0.4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ACCURACY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/>
            </a:pPr>
            <a:endParaRPr lang="en-US"/>
          </a:p>
        </c:txPr>
        <c:crossAx val="1414825479"/>
        <c:crosses val="autoZero"/>
        <c:crossBetween val="between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</c:spPr>
      <c:txPr>
        <a:bodyPr anchor="ctr" anchorCtr="1"/>
        <a:lstStyle/>
        <a:p>
          <a:pPr rtl="0">
            <a:defRPr sz="1400" b="0"/>
          </a:pPr>
          <a:endParaRPr lang="en-US"/>
        </a:p>
      </c:txPr>
    </c:legend>
    <c:plotVisOnly val="1"/>
    <c:dispBlanksAs val="span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noFill/>
    </a:ln>
  </c:spPr>
  <c:txPr>
    <a:bodyPr/>
    <a:lstStyle/>
    <a:p>
      <a:pPr>
        <a:defRPr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SG">
                <a:solidFill>
                  <a:schemeClr val="accent2"/>
                </a:solidFill>
              </a:rPr>
              <a:t>HQC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041856212537431E-2"/>
          <c:y val="0.13692552474352129"/>
          <c:w val="0.85499174011352508"/>
          <c:h val="0.6503580352696221"/>
        </c:manualLayout>
      </c:layout>
      <c:lineChart>
        <c:grouping val="standard"/>
        <c:varyColors val="1"/>
        <c:ser>
          <c:idx val="4"/>
          <c:order val="6"/>
          <c:tx>
            <c:v>date</c:v>
          </c:tx>
          <c:marker>
            <c:symbol val="none"/>
          </c:marker>
          <c:cat>
            <c:numRef>
              <c:f>DHT!$R$14:$R$51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</c:numCache>
            </c:numRef>
          </c:cat>
          <c:val>
            <c:numRef>
              <c:f>DHT!$R$14:$R$51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C7-4A1A-8816-7B6FBD5FD5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4825479"/>
        <c:axId val="1664720785"/>
      </c:lineChart>
      <c:scatterChart>
        <c:scatterStyle val="smoothMarker"/>
        <c:varyColors val="1"/>
        <c:ser>
          <c:idx val="3"/>
          <c:order val="1"/>
          <c:tx>
            <c:strRef>
              <c:f>DHT!$Z$10</c:f>
              <c:strCache>
                <c:ptCount val="1"/>
                <c:pt idx="0">
                  <c:v>+3SD UCL</c:v>
                </c:pt>
              </c:strCache>
            </c:strRef>
          </c:tx>
          <c:spPr>
            <a:ln>
              <a:solidFill>
                <a:srgbClr val="C00000"/>
              </a:solidFill>
              <a:prstDash val="solid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C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809-4450-AF37-45460D9E989D}"/>
              </c:ext>
            </c:extLst>
          </c:dPt>
          <c:xVal>
            <c:numRef>
              <c:f>(DHT!$R$4,DHT!$T$4)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(DHT!$Z$11,DHT!$Z$11)</c:f>
              <c:numCache>
                <c:formatCode>0.00</c:formatCode>
                <c:ptCount val="2"/>
                <c:pt idx="0">
                  <c:v>5.4605624018746379</c:v>
                </c:pt>
                <c:pt idx="1">
                  <c:v>5.4605624018746379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0C7-4A1A-8816-7B6FBD5FD5C1}"/>
            </c:ext>
          </c:extLst>
        </c:ser>
        <c:ser>
          <c:idx val="1"/>
          <c:order val="5"/>
          <c:tx>
            <c:strRef>
              <c:f>DHT!$W$10</c:f>
              <c:strCache>
                <c:ptCount val="1"/>
                <c:pt idx="0">
                  <c:v>-3SD LCL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00B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B809-4450-AF37-45460D9E989D}"/>
              </c:ext>
            </c:extLst>
          </c:dPt>
          <c:xVal>
            <c:numRef>
              <c:f>(DHT!$R$4,DHT!$T$4)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(DHT!$W$11,DHT!$W$11)</c:f>
              <c:numCache>
                <c:formatCode>0.00</c:formatCode>
                <c:ptCount val="2"/>
                <c:pt idx="0">
                  <c:v>2.8600175981253653</c:v>
                </c:pt>
                <c:pt idx="1">
                  <c:v>2.8600175981253653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0C7-4A1A-8816-7B6FBD5FD5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scatterChart>
        <c:scatterStyle val="lineMarker"/>
        <c:varyColors val="1"/>
        <c:ser>
          <c:idx val="0"/>
          <c:order val="0"/>
          <c:tx>
            <c:v>HQC</c:v>
          </c:tx>
          <c:marker>
            <c:symbol val="circle"/>
            <c:size val="10"/>
            <c:spPr>
              <a:solidFill>
                <a:schemeClr val="tx1">
                  <a:lumMod val="50000"/>
                  <a:lumOff val="50000"/>
                </a:schemeClr>
              </a:solidFill>
              <a:ln cmpd="sng">
                <a:solidFill>
                  <a:schemeClr val="tx1"/>
                </a:solidFill>
              </a:ln>
            </c:spPr>
          </c:marker>
          <c:xVal>
            <c:strRef>
              <c:f>DHT!$P$14:$P$268</c:f>
              <c:strCach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strCache>
            </c:strRef>
          </c:xVal>
          <c:yVal>
            <c:numRef>
              <c:f>DHT!$U$14:$U$268</c:f>
              <c:numCache>
                <c:formatCode>0.000</c:formatCode>
                <c:ptCount val="255"/>
                <c:pt idx="0">
                  <c:v>3.5489999999999999</c:v>
                </c:pt>
                <c:pt idx="1">
                  <c:v>3.9510000000000001</c:v>
                </c:pt>
                <c:pt idx="2">
                  <c:v>4.141</c:v>
                </c:pt>
                <c:pt idx="3">
                  <c:v>4.0650000000000004</c:v>
                </c:pt>
                <c:pt idx="4">
                  <c:v>3.3170000000000002</c:v>
                </c:pt>
                <c:pt idx="5">
                  <c:v>4.3129999999999997</c:v>
                </c:pt>
                <c:pt idx="6">
                  <c:v>4</c:v>
                </c:pt>
                <c:pt idx="7">
                  <c:v>4.4729999999999999</c:v>
                </c:pt>
                <c:pt idx="8">
                  <c:v>4.1390000000000002</c:v>
                </c:pt>
                <c:pt idx="9">
                  <c:v>3.9990000000000001</c:v>
                </c:pt>
                <c:pt idx="10">
                  <c:v>4.7729999999999997</c:v>
                </c:pt>
                <c:pt idx="11">
                  <c:v>4.8120000000000003</c:v>
                </c:pt>
                <c:pt idx="12">
                  <c:v>4.1639999999999997</c:v>
                </c:pt>
                <c:pt idx="13">
                  <c:v>4.4260000000000002</c:v>
                </c:pt>
                <c:pt idx="14">
                  <c:v>3.9380000000000002</c:v>
                </c:pt>
                <c:pt idx="15">
                  <c:v>3.4870000000000001</c:v>
                </c:pt>
                <c:pt idx="16">
                  <c:v>4.5910000000000002</c:v>
                </c:pt>
                <c:pt idx="17">
                  <c:v>4.6980000000000004</c:v>
                </c:pt>
                <c:pt idx="18">
                  <c:v>4.33</c:v>
                </c:pt>
                <c:pt idx="19">
                  <c:v>3.62</c:v>
                </c:pt>
                <c:pt idx="20">
                  <c:v>4.6189999999999998</c:v>
                </c:pt>
                <c:pt idx="21">
                  <c:v>5.1660000000000004</c:v>
                </c:pt>
                <c:pt idx="22">
                  <c:v>4.3970000000000002</c:v>
                </c:pt>
                <c:pt idx="23">
                  <c:v>3.74</c:v>
                </c:pt>
                <c:pt idx="24">
                  <c:v>3.7078000000000002</c:v>
                </c:pt>
                <c:pt idx="25">
                  <c:v>3.3468</c:v>
                </c:pt>
                <c:pt idx="26">
                  <c:v>3.4</c:v>
                </c:pt>
                <c:pt idx="27">
                  <c:v>3.8149999999999999</c:v>
                </c:pt>
                <c:pt idx="28">
                  <c:v>4.6950000000000003</c:v>
                </c:pt>
                <c:pt idx="29">
                  <c:v>4.2050000000000001</c:v>
                </c:pt>
                <c:pt idx="30">
                  <c:v>4.2489999999999997</c:v>
                </c:pt>
                <c:pt idx="31">
                  <c:v>4.2930000000000001</c:v>
                </c:pt>
                <c:pt idx="32">
                  <c:v>4.4420000000000002</c:v>
                </c:pt>
                <c:pt idx="33">
                  <c:v>4.2679999999999998</c:v>
                </c:pt>
                <c:pt idx="34">
                  <c:v>4.3630000000000004</c:v>
                </c:pt>
                <c:pt idx="35">
                  <c:v>6.0570000000000004</c:v>
                </c:pt>
                <c:pt idx="36">
                  <c:v>3.702</c:v>
                </c:pt>
                <c:pt idx="37">
                  <c:v>4.1989999999999998</c:v>
                </c:pt>
                <c:pt idx="38">
                  <c:v>4.4850000000000003</c:v>
                </c:pt>
                <c:pt idx="39">
                  <c:v>4.12</c:v>
                </c:pt>
                <c:pt idx="40">
                  <c:v>4.4130000000000003</c:v>
                </c:pt>
                <c:pt idx="41">
                  <c:v>6.1360000000000001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0C7-4A1A-8816-7B6FBD5FD5C1}"/>
            </c:ext>
          </c:extLst>
        </c:ser>
        <c:ser>
          <c:idx val="5"/>
          <c:order val="2"/>
          <c:tx>
            <c:strRef>
              <c:f>DHT!$Y$10</c:f>
              <c:strCache>
                <c:ptCount val="1"/>
                <c:pt idx="0">
                  <c:v>+2SD UCL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FF0000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5-B809-4450-AF37-45460D9E989D}"/>
              </c:ext>
            </c:extLst>
          </c:dPt>
          <c:xVal>
            <c:numRef>
              <c:f>(DHT!$R$4,DHT!$T$4)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(DHT!$Y$11,DHT!$Y$11)</c:f>
              <c:numCache>
                <c:formatCode>0.00</c:formatCode>
                <c:ptCount val="2"/>
                <c:pt idx="0">
                  <c:v>5.0271382679164258</c:v>
                </c:pt>
                <c:pt idx="1">
                  <c:v>5.0271382679164258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10C7-4A1A-8816-7B6FBD5FD5C1}"/>
            </c:ext>
          </c:extLst>
        </c:ser>
        <c:ser>
          <c:idx val="2"/>
          <c:order val="3"/>
          <c:tx>
            <c:v>Mean</c:v>
          </c:tx>
          <c:spPr>
            <a:ln>
              <a:solidFill>
                <a:schemeClr val="accent1"/>
              </a:solidFill>
              <a:prstDash val="sysDash"/>
            </a:ln>
          </c:spPr>
          <c:dPt>
            <c:idx val="0"/>
            <c:marker>
              <c:symbol val="none"/>
            </c:marker>
            <c:bubble3D val="0"/>
            <c:spPr>
              <a:ln w="28575">
                <a:solidFill>
                  <a:schemeClr val="accent1"/>
                </a:solidFill>
                <a:prstDash val="sysDot"/>
              </a:ln>
            </c:spPr>
            <c:extLst>
              <c:ext xmlns:c16="http://schemas.microsoft.com/office/drawing/2014/chart" uri="{C3380CC4-5D6E-409C-BE32-E72D297353CC}">
                <c16:uniqueId val="{00000007-B809-4450-AF37-45460D9E989D}"/>
              </c:ext>
            </c:extLst>
          </c:dPt>
          <c:xVal>
            <c:numRef>
              <c:f>(DHT!$R$4,DHT!$T$4)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(DHT!$U$11,DHT!$U$11)</c:f>
              <c:numCache>
                <c:formatCode>0.00</c:formatCode>
                <c:ptCount val="2"/>
                <c:pt idx="0">
                  <c:v>4.1602900000000016</c:v>
                </c:pt>
                <c:pt idx="1">
                  <c:v>4.1602900000000016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10C7-4A1A-8816-7B6FBD5FD5C1}"/>
            </c:ext>
          </c:extLst>
        </c:ser>
        <c:ser>
          <c:idx val="6"/>
          <c:order val="4"/>
          <c:tx>
            <c:strRef>
              <c:f>DHT!$X$10</c:f>
              <c:strCache>
                <c:ptCount val="1"/>
                <c:pt idx="0">
                  <c:v>-2SD LCL</c:v>
                </c:pt>
              </c:strCache>
            </c:strRef>
          </c:tx>
          <c:spPr>
            <a:ln w="25400">
              <a:solidFill>
                <a:schemeClr val="accent6">
                  <a:lumMod val="60000"/>
                  <a:lumOff val="40000"/>
                </a:schemeClr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chemeClr val="accent6">
                    <a:lumMod val="60000"/>
                    <a:lumOff val="40000"/>
                  </a:scheme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9-B809-4450-AF37-45460D9E989D}"/>
              </c:ext>
            </c:extLst>
          </c:dPt>
          <c:xVal>
            <c:numRef>
              <c:f>(DHT!$R$4,DHT!$T$4)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(DHT!$X$11,DHT!$X$11)</c:f>
              <c:numCache>
                <c:formatCode>0.00</c:formatCode>
                <c:ptCount val="2"/>
                <c:pt idx="0">
                  <c:v>3.2934417320835774</c:v>
                </c:pt>
                <c:pt idx="1">
                  <c:v>3.2934417320835774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10C7-4A1A-8816-7B6FBD5FD5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catAx>
        <c:axId val="1414825479"/>
        <c:scaling>
          <c:orientation val="minMax"/>
        </c:scaling>
        <c:delete val="0"/>
        <c:axPos val="b"/>
        <c:numFmt formatCode="[$-409]d/mmm/yy;@" sourceLinked="0"/>
        <c:majorTickMark val="out"/>
        <c:minorTickMark val="out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664720785"/>
        <c:crosses val="autoZero"/>
        <c:auto val="0"/>
        <c:lblAlgn val="ctr"/>
        <c:lblOffset val="100"/>
        <c:noMultiLvlLbl val="1"/>
      </c:catAx>
      <c:valAx>
        <c:axId val="1664720785"/>
        <c:scaling>
          <c:orientation val="minMax"/>
          <c:max val="8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HQC [nmol/L]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/>
        </c:spPr>
        <c:crossAx val="1414825479"/>
        <c:crosses val="autoZero"/>
        <c:crossBetween val="between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</c:spPr>
      <c:txPr>
        <a:bodyPr anchor="ctr" anchorCtr="1"/>
        <a:lstStyle/>
        <a:p>
          <a:pPr rtl="0">
            <a:defRPr sz="1200"/>
          </a:pPr>
          <a:endParaRPr lang="en-US"/>
        </a:p>
      </c:txPr>
    </c:legend>
    <c:plotVisOnly val="1"/>
    <c:dispBlanksAs val="span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noFill/>
    </a:ln>
  </c:spPr>
  <c:txPr>
    <a:bodyPr/>
    <a:lstStyle/>
    <a:p>
      <a:pPr>
        <a:defRPr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SG">
                <a:solidFill>
                  <a:schemeClr val="accent6"/>
                </a:solidFill>
              </a:rPr>
              <a:t>LQC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041856212537431E-2"/>
          <c:y val="0.13692552474352129"/>
          <c:w val="0.85499174011352508"/>
          <c:h val="0.6503580352696221"/>
        </c:manualLayout>
      </c:layout>
      <c:lineChart>
        <c:grouping val="standard"/>
        <c:varyColors val="1"/>
        <c:ser>
          <c:idx val="4"/>
          <c:order val="6"/>
          <c:tx>
            <c:v>date</c:v>
          </c:tx>
          <c:marker>
            <c:symbol val="none"/>
          </c:marker>
          <c:cat>
            <c:numRef>
              <c:f>DHT!$R$14:$R$51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</c:numCache>
            </c:numRef>
          </c:cat>
          <c:val>
            <c:numRef>
              <c:f>DHT!$R$14:$R$51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78-4E73-84AF-764C5D9BC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4825479"/>
        <c:axId val="1664720785"/>
      </c:lineChart>
      <c:scatterChart>
        <c:scatterStyle val="smoothMarker"/>
        <c:varyColors val="1"/>
        <c:ser>
          <c:idx val="3"/>
          <c:order val="1"/>
          <c:tx>
            <c:strRef>
              <c:f>DHT!$AH$10</c:f>
              <c:strCache>
                <c:ptCount val="1"/>
                <c:pt idx="0">
                  <c:v>+3SD UCL</c:v>
                </c:pt>
              </c:strCache>
            </c:strRef>
          </c:tx>
          <c:spPr>
            <a:ln>
              <a:solidFill>
                <a:srgbClr val="C00000"/>
              </a:solidFill>
              <a:prstDash val="solid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C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3D1-49A3-A9C8-926B2C1B073B}"/>
              </c:ext>
            </c:extLst>
          </c:dPt>
          <c:xVal>
            <c:numRef>
              <c:f>(DHT!$R$4,DHT!$T$4)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(DHT!$AH$11,DHT!$AH$11)</c:f>
              <c:numCache>
                <c:formatCode>0.00</c:formatCode>
                <c:ptCount val="2"/>
                <c:pt idx="0">
                  <c:v>1.685437231851769</c:v>
                </c:pt>
                <c:pt idx="1">
                  <c:v>1.685437231851769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F78-4E73-84AF-764C5D9BC8AB}"/>
            </c:ext>
          </c:extLst>
        </c:ser>
        <c:ser>
          <c:idx val="1"/>
          <c:order val="2"/>
          <c:tx>
            <c:strRef>
              <c:f>DHT!$AG$10</c:f>
              <c:strCache>
                <c:ptCount val="1"/>
                <c:pt idx="0">
                  <c:v>+2SD UCL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00B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F3D1-49A3-A9C8-926B2C1B073B}"/>
              </c:ext>
            </c:extLst>
          </c:dPt>
          <c:xVal>
            <c:numRef>
              <c:f>(DHT!$R$4,DHT!$T$4)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(DHT!$AG$11,DHT!$AG$11)</c:f>
              <c:numCache>
                <c:formatCode>0.00</c:formatCode>
                <c:ptCount val="2"/>
                <c:pt idx="0">
                  <c:v>1.5126938688535603</c:v>
                </c:pt>
                <c:pt idx="1">
                  <c:v>1.5126938688535603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F78-4E73-84AF-764C5D9BC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scatterChart>
        <c:scatterStyle val="lineMarker"/>
        <c:varyColors val="1"/>
        <c:ser>
          <c:idx val="0"/>
          <c:order val="0"/>
          <c:tx>
            <c:v>LQC</c:v>
          </c:tx>
          <c:marker>
            <c:symbol val="circle"/>
            <c:size val="10"/>
            <c:spPr>
              <a:solidFill>
                <a:schemeClr val="tx1">
                  <a:lumMod val="50000"/>
                  <a:lumOff val="50000"/>
                </a:schemeClr>
              </a:solidFill>
              <a:ln cmpd="sng">
                <a:solidFill>
                  <a:schemeClr val="tx1"/>
                </a:solidFill>
              </a:ln>
            </c:spPr>
          </c:marker>
          <c:xVal>
            <c:strRef>
              <c:f>DHT!$P$14:$P$268</c:f>
              <c:strCach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strCache>
            </c:strRef>
          </c:xVal>
          <c:yVal>
            <c:numRef>
              <c:f>DHT!$AC$14:$AC$268</c:f>
              <c:numCache>
                <c:formatCode>0.000</c:formatCode>
                <c:ptCount val="255"/>
                <c:pt idx="0">
                  <c:v>1.202</c:v>
                </c:pt>
                <c:pt idx="1">
                  <c:v>1.0920000000000001</c:v>
                </c:pt>
                <c:pt idx="2">
                  <c:v>1.1479999999999999</c:v>
                </c:pt>
                <c:pt idx="3">
                  <c:v>1.171</c:v>
                </c:pt>
                <c:pt idx="4">
                  <c:v>1.385</c:v>
                </c:pt>
                <c:pt idx="5">
                  <c:v>1.264</c:v>
                </c:pt>
                <c:pt idx="6">
                  <c:v>1.33</c:v>
                </c:pt>
                <c:pt idx="7">
                  <c:v>1.125</c:v>
                </c:pt>
                <c:pt idx="8">
                  <c:v>1.175</c:v>
                </c:pt>
                <c:pt idx="9">
                  <c:v>1.4890000000000001</c:v>
                </c:pt>
                <c:pt idx="10">
                  <c:v>1.2749999999999999</c:v>
                </c:pt>
                <c:pt idx="11">
                  <c:v>1.3120000000000001</c:v>
                </c:pt>
                <c:pt idx="12">
                  <c:v>0.95299999999999996</c:v>
                </c:pt>
                <c:pt idx="13">
                  <c:v>1.43</c:v>
                </c:pt>
                <c:pt idx="14">
                  <c:v>1.4790000000000001</c:v>
                </c:pt>
                <c:pt idx="15">
                  <c:v>0.94299999999999995</c:v>
                </c:pt>
                <c:pt idx="16">
                  <c:v>0.86799999999999999</c:v>
                </c:pt>
                <c:pt idx="17">
                  <c:v>1.1339999999999999</c:v>
                </c:pt>
                <c:pt idx="18">
                  <c:v>1</c:v>
                </c:pt>
                <c:pt idx="19">
                  <c:v>1.19</c:v>
                </c:pt>
                <c:pt idx="20">
                  <c:v>0.86199999999999999</c:v>
                </c:pt>
                <c:pt idx="21">
                  <c:v>1.2549999999999999</c:v>
                </c:pt>
                <c:pt idx="22">
                  <c:v>1.1519999999999999</c:v>
                </c:pt>
                <c:pt idx="23">
                  <c:v>1.306</c:v>
                </c:pt>
                <c:pt idx="24">
                  <c:v>1.2002999999999999</c:v>
                </c:pt>
                <c:pt idx="25">
                  <c:v>1.1534</c:v>
                </c:pt>
                <c:pt idx="26">
                  <c:v>0.91</c:v>
                </c:pt>
                <c:pt idx="27">
                  <c:v>1.1559999999999999</c:v>
                </c:pt>
                <c:pt idx="28">
                  <c:v>0.98299999999999998</c:v>
                </c:pt>
                <c:pt idx="29">
                  <c:v>1.18</c:v>
                </c:pt>
                <c:pt idx="30">
                  <c:v>0.85799999999999998</c:v>
                </c:pt>
                <c:pt idx="31">
                  <c:v>1.089</c:v>
                </c:pt>
                <c:pt idx="32">
                  <c:v>1.115</c:v>
                </c:pt>
                <c:pt idx="33">
                  <c:v>1.0269999999999999</c:v>
                </c:pt>
                <c:pt idx="34">
                  <c:v>1.08</c:v>
                </c:pt>
                <c:pt idx="35">
                  <c:v>1.0249999999999999</c:v>
                </c:pt>
                <c:pt idx="36">
                  <c:v>1.0720000000000001</c:v>
                </c:pt>
                <c:pt idx="37">
                  <c:v>1.351</c:v>
                </c:pt>
                <c:pt idx="38">
                  <c:v>1.5469999999999999</c:v>
                </c:pt>
                <c:pt idx="39">
                  <c:v>1.1499999999999999</c:v>
                </c:pt>
                <c:pt idx="40">
                  <c:v>1.3939999999999999</c:v>
                </c:pt>
                <c:pt idx="41">
                  <c:v>1.1919999999999999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F78-4E73-84AF-764C5D9BC8AB}"/>
            </c:ext>
          </c:extLst>
        </c:ser>
        <c:ser>
          <c:idx val="2"/>
          <c:order val="3"/>
          <c:tx>
            <c:v>Mean</c:v>
          </c:tx>
          <c:spPr>
            <a:ln>
              <a:solidFill>
                <a:schemeClr val="accent1"/>
              </a:solidFill>
              <a:prstDash val="sysDash"/>
            </a:ln>
          </c:spPr>
          <c:dPt>
            <c:idx val="0"/>
            <c:marker>
              <c:symbol val="none"/>
            </c:marker>
            <c:bubble3D val="0"/>
            <c:spPr>
              <a:ln w="28575">
                <a:solidFill>
                  <a:schemeClr val="accent1"/>
                </a:solidFill>
                <a:prstDash val="sysDot"/>
              </a:ln>
            </c:spPr>
            <c:extLst>
              <c:ext xmlns:c16="http://schemas.microsoft.com/office/drawing/2014/chart" uri="{C3380CC4-5D6E-409C-BE32-E72D297353CC}">
                <c16:uniqueId val="{00000005-F3D1-49A3-A9C8-926B2C1B073B}"/>
              </c:ext>
            </c:extLst>
          </c:dPt>
          <c:xVal>
            <c:numRef>
              <c:f>(DHT!$R$4,DHT!$T$4)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(DHT!$AC$11,DHT!$AC$11)</c:f>
              <c:numCache>
                <c:formatCode>0.00</c:formatCode>
                <c:ptCount val="2"/>
                <c:pt idx="0">
                  <c:v>1.1672071428571427</c:v>
                </c:pt>
                <c:pt idx="1">
                  <c:v>1.1672071428571427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F78-4E73-84AF-764C5D9BC8AB}"/>
            </c:ext>
          </c:extLst>
        </c:ser>
        <c:ser>
          <c:idx val="6"/>
          <c:order val="4"/>
          <c:tx>
            <c:strRef>
              <c:f>DHT!$AF$10</c:f>
              <c:strCache>
                <c:ptCount val="1"/>
                <c:pt idx="0">
                  <c:v>-2SD LCL</c:v>
                </c:pt>
              </c:strCache>
            </c:strRef>
          </c:tx>
          <c:spPr>
            <a:ln w="25400">
              <a:solidFill>
                <a:schemeClr val="accent6">
                  <a:lumMod val="60000"/>
                  <a:lumOff val="40000"/>
                </a:schemeClr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chemeClr val="accent6">
                    <a:lumMod val="60000"/>
                    <a:lumOff val="40000"/>
                  </a:scheme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7-F3D1-49A3-A9C8-926B2C1B073B}"/>
              </c:ext>
            </c:extLst>
          </c:dPt>
          <c:xVal>
            <c:numRef>
              <c:f>(DHT!$R$4,DHT!$T$4)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(DHT!$AF$11,DHT!$AF$11)</c:f>
              <c:numCache>
                <c:formatCode>0.00</c:formatCode>
                <c:ptCount val="2"/>
                <c:pt idx="0">
                  <c:v>0.82172041686072506</c:v>
                </c:pt>
                <c:pt idx="1">
                  <c:v>0.82172041686072506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F78-4E73-84AF-764C5D9BC8AB}"/>
            </c:ext>
          </c:extLst>
        </c:ser>
        <c:ser>
          <c:idx val="5"/>
          <c:order val="5"/>
          <c:tx>
            <c:strRef>
              <c:f>DHT!$AE$10</c:f>
              <c:strCache>
                <c:ptCount val="1"/>
                <c:pt idx="0">
                  <c:v>-3SD LCL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FF0000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9-F3D1-49A3-A9C8-926B2C1B073B}"/>
              </c:ext>
            </c:extLst>
          </c:dPt>
          <c:xVal>
            <c:numRef>
              <c:f>(DHT!$R$4,DHT!$T$4)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(DHT!$AE$11,DHT!$AE$11)</c:f>
              <c:numCache>
                <c:formatCode>0.00</c:formatCode>
                <c:ptCount val="2"/>
                <c:pt idx="0">
                  <c:v>0.64897705386251636</c:v>
                </c:pt>
                <c:pt idx="1">
                  <c:v>0.64897705386251636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DF78-4E73-84AF-764C5D9BC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catAx>
        <c:axId val="1414825479"/>
        <c:scaling>
          <c:orientation val="minMax"/>
        </c:scaling>
        <c:delete val="0"/>
        <c:axPos val="b"/>
        <c:numFmt formatCode="[$-409]d/mmm/yy;@" sourceLinked="0"/>
        <c:majorTickMark val="out"/>
        <c:minorTickMark val="out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664720785"/>
        <c:crosses val="autoZero"/>
        <c:auto val="0"/>
        <c:lblAlgn val="ctr"/>
        <c:lblOffset val="100"/>
        <c:noMultiLvlLbl val="1"/>
      </c:catAx>
      <c:valAx>
        <c:axId val="1664720785"/>
        <c:scaling>
          <c:orientation val="minMax"/>
          <c:max val="2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200">
                    <a:solidFill>
                      <a:schemeClr val="accent6"/>
                    </a:solidFill>
                  </a:rPr>
                  <a:t>LQC [nmol/L]</a:t>
                </a:r>
              </a:p>
            </c:rich>
          </c:tx>
          <c:layout>
            <c:manualLayout>
              <c:xMode val="edge"/>
              <c:yMode val="edge"/>
              <c:x val="1.2907702223661067E-2"/>
              <c:y val="0.40450724699866752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/>
        </c:spPr>
        <c:crossAx val="1414825479"/>
        <c:crosses val="autoZero"/>
        <c:crossBetween val="between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</c:spPr>
      <c:txPr>
        <a:bodyPr anchor="ctr" anchorCtr="1"/>
        <a:lstStyle/>
        <a:p>
          <a:pPr rtl="0">
            <a:defRPr sz="1200"/>
          </a:pPr>
          <a:endParaRPr lang="en-US"/>
        </a:p>
      </c:txPr>
    </c:legend>
    <c:plotVisOnly val="1"/>
    <c:dispBlanksAs val="span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noFill/>
    </a:ln>
  </c:spPr>
  <c:txPr>
    <a:bodyPr/>
    <a:lstStyle/>
    <a:p>
      <a:pPr>
        <a:defRPr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SG">
                <a:solidFill>
                  <a:sysClr val="windowText" lastClr="000000"/>
                </a:solidFill>
              </a:rPr>
              <a:t>ACCURACY</a:t>
            </a:r>
          </a:p>
        </c:rich>
      </c:tx>
      <c:overlay val="0"/>
      <c:spPr>
        <a:noFill/>
      </c:spPr>
    </c:title>
    <c:autoTitleDeleted val="0"/>
    <c:plotArea>
      <c:layout>
        <c:manualLayout>
          <c:layoutTarget val="inner"/>
          <c:xMode val="edge"/>
          <c:yMode val="edge"/>
          <c:x val="9.7388134921387773E-2"/>
          <c:y val="0.12595373243973218"/>
          <c:w val="0.85499174011352508"/>
          <c:h val="0.6503580352696221"/>
        </c:manualLayout>
      </c:layout>
      <c:lineChart>
        <c:grouping val="standard"/>
        <c:varyColors val="1"/>
        <c:ser>
          <c:idx val="4"/>
          <c:order val="4"/>
          <c:tx>
            <c:v>date</c:v>
          </c:tx>
          <c:marker>
            <c:symbol val="none"/>
          </c:marker>
          <c:cat>
            <c:numRef>
              <c:f>DHT!$R$14:$R$51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</c:numCache>
            </c:numRef>
          </c:cat>
          <c:val>
            <c:numRef>
              <c:f>DHT!$R$14:$R$51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07-4725-837B-28BD0EC58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4825479"/>
        <c:axId val="1664720785"/>
      </c:lineChart>
      <c:scatterChart>
        <c:scatterStyle val="lineMarker"/>
        <c:varyColors val="1"/>
        <c:ser>
          <c:idx val="1"/>
          <c:order val="0"/>
          <c:tx>
            <c:v>LQC Acc</c:v>
          </c:tx>
          <c:spPr>
            <a:ln>
              <a:solidFill>
                <a:schemeClr val="accent6">
                  <a:lumMod val="50000"/>
                </a:schemeClr>
              </a:solidFill>
            </a:ln>
          </c:spPr>
          <c:marker>
            <c:symbol val="circle"/>
            <c:size val="10"/>
            <c:spPr>
              <a:solidFill>
                <a:schemeClr val="accent6"/>
              </a:solidFill>
              <a:ln>
                <a:solidFill>
                  <a:schemeClr val="accent6"/>
                </a:solidFill>
              </a:ln>
            </c:spPr>
          </c:marker>
          <c:xVal>
            <c:strRef>
              <c:f>DHT!$P$14:$P$268</c:f>
              <c:strCach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strCache>
            </c:strRef>
          </c:xVal>
          <c:yVal>
            <c:numRef>
              <c:f>DHT!$AH$14:$AH$268</c:f>
              <c:numCache>
                <c:formatCode>0.0%</c:formatCode>
                <c:ptCount val="255"/>
                <c:pt idx="0">
                  <c:v>1.0887681159420288</c:v>
                </c:pt>
                <c:pt idx="1">
                  <c:v>0.98913043478260865</c:v>
                </c:pt>
                <c:pt idx="2">
                  <c:v>1.0398550724637678</c:v>
                </c:pt>
                <c:pt idx="3">
                  <c:v>1.0606884057971013</c:v>
                </c:pt>
                <c:pt idx="4">
                  <c:v>1.2545289855072463</c:v>
                </c:pt>
                <c:pt idx="5">
                  <c:v>1.144927536231884</c:v>
                </c:pt>
                <c:pt idx="6">
                  <c:v>1.2047101449275361</c:v>
                </c:pt>
                <c:pt idx="7">
                  <c:v>1.0190217391304346</c:v>
                </c:pt>
                <c:pt idx="8">
                  <c:v>1.0643115942028984</c:v>
                </c:pt>
                <c:pt idx="9">
                  <c:v>1.348731884057971</c:v>
                </c:pt>
                <c:pt idx="10">
                  <c:v>1.1548913043478259</c:v>
                </c:pt>
                <c:pt idx="11">
                  <c:v>1.1884057971014492</c:v>
                </c:pt>
                <c:pt idx="12">
                  <c:v>0.86322463768115931</c:v>
                </c:pt>
                <c:pt idx="13">
                  <c:v>1.2952898550724636</c:v>
                </c:pt>
                <c:pt idx="14">
                  <c:v>1.3396739130434783</c:v>
                </c:pt>
                <c:pt idx="15">
                  <c:v>0.85416666666666652</c:v>
                </c:pt>
                <c:pt idx="16">
                  <c:v>0.78623188405797095</c:v>
                </c:pt>
                <c:pt idx="17">
                  <c:v>1.027173913043478</c:v>
                </c:pt>
                <c:pt idx="18">
                  <c:v>0.90579710144927528</c:v>
                </c:pt>
                <c:pt idx="19">
                  <c:v>1.0778985507246375</c:v>
                </c:pt>
                <c:pt idx="20">
                  <c:v>0.79155188246097341</c:v>
                </c:pt>
                <c:pt idx="21">
                  <c:v>1.1524334251606978</c:v>
                </c:pt>
                <c:pt idx="22">
                  <c:v>1.0578512396694215</c:v>
                </c:pt>
                <c:pt idx="23">
                  <c:v>1.199265381083563</c:v>
                </c:pt>
                <c:pt idx="24">
                  <c:v>1.1022038567493113</c:v>
                </c:pt>
                <c:pt idx="25">
                  <c:v>1.0591368227731863</c:v>
                </c:pt>
                <c:pt idx="26">
                  <c:v>0.83562901744719931</c:v>
                </c:pt>
                <c:pt idx="27">
                  <c:v>1.061524334251607</c:v>
                </c:pt>
                <c:pt idx="28">
                  <c:v>0.90266299357208446</c:v>
                </c:pt>
                <c:pt idx="29">
                  <c:v>1.0835629017447199</c:v>
                </c:pt>
                <c:pt idx="30">
                  <c:v>0.78787878787878785</c:v>
                </c:pt>
                <c:pt idx="31">
                  <c:v>1</c:v>
                </c:pt>
                <c:pt idx="32">
                  <c:v>1.0238751147842058</c:v>
                </c:pt>
                <c:pt idx="33">
                  <c:v>0.94306703397612479</c:v>
                </c:pt>
                <c:pt idx="34">
                  <c:v>0.99173553719008278</c:v>
                </c:pt>
                <c:pt idx="35">
                  <c:v>0.94123048668503206</c:v>
                </c:pt>
                <c:pt idx="36">
                  <c:v>0.98438934802571176</c:v>
                </c:pt>
                <c:pt idx="37">
                  <c:v>1.2405876951331496</c:v>
                </c:pt>
                <c:pt idx="38">
                  <c:v>1.4205693296602386</c:v>
                </c:pt>
                <c:pt idx="39">
                  <c:v>1.0560146923783287</c:v>
                </c:pt>
                <c:pt idx="40">
                  <c:v>1.2800734618916436</c:v>
                </c:pt>
                <c:pt idx="41">
                  <c:v>1.0945821854912763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07-4725-837B-28BD0EC5843B}"/>
            </c:ext>
          </c:extLst>
        </c:ser>
        <c:ser>
          <c:idx val="0"/>
          <c:order val="1"/>
          <c:tx>
            <c:v>HQC Acc.</c:v>
          </c:tx>
          <c:spPr>
            <a:ln>
              <a:solidFill>
                <a:schemeClr val="accent2">
                  <a:lumMod val="50000"/>
                </a:schemeClr>
              </a:solidFill>
            </a:ln>
          </c:spPr>
          <c:marker>
            <c:symbol val="circle"/>
            <c:size val="10"/>
            <c:spPr>
              <a:solidFill>
                <a:srgbClr val="FFC000"/>
              </a:solidFill>
              <a:ln cmpd="sng">
                <a:solidFill>
                  <a:schemeClr val="accent2"/>
                </a:solidFill>
              </a:ln>
            </c:spPr>
          </c:marker>
          <c:xVal>
            <c:strRef>
              <c:f>DHT!$P$14:$P$268</c:f>
              <c:strCach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strCache>
            </c:strRef>
          </c:xVal>
          <c:yVal>
            <c:numRef>
              <c:f>DHT!$Z$14:$Z$268</c:f>
              <c:numCache>
                <c:formatCode>0.0%</c:formatCode>
                <c:ptCount val="255"/>
                <c:pt idx="0">
                  <c:v>0.79681185451279757</c:v>
                </c:pt>
                <c:pt idx="1">
                  <c:v>0.88706780422092513</c:v>
                </c:pt>
                <c:pt idx="2">
                  <c:v>0.929726088908846</c:v>
                </c:pt>
                <c:pt idx="3">
                  <c:v>0.91266277503367776</c:v>
                </c:pt>
                <c:pt idx="4">
                  <c:v>0.74472384373596778</c:v>
                </c:pt>
                <c:pt idx="5">
                  <c:v>0.96834306241580603</c:v>
                </c:pt>
                <c:pt idx="6">
                  <c:v>0.89806915132465204</c:v>
                </c:pt>
                <c:pt idx="7">
                  <c:v>1.0042658284687922</c:v>
                </c:pt>
                <c:pt idx="8">
                  <c:v>0.92927705433318375</c:v>
                </c:pt>
                <c:pt idx="9">
                  <c:v>0.89784463403682091</c:v>
                </c:pt>
                <c:pt idx="10">
                  <c:v>1.0716210148181411</c:v>
                </c:pt>
                <c:pt idx="11">
                  <c:v>1.0803771890435565</c:v>
                </c:pt>
                <c:pt idx="12">
                  <c:v>0.93488998652896271</c:v>
                </c:pt>
                <c:pt idx="13">
                  <c:v>0.99371351594072754</c:v>
                </c:pt>
                <c:pt idx="14">
                  <c:v>0.88414907947912003</c:v>
                </c:pt>
                <c:pt idx="15">
                  <c:v>0.78289178266726545</c:v>
                </c:pt>
                <c:pt idx="16">
                  <c:v>1.0307588684328695</c:v>
                </c:pt>
                <c:pt idx="17">
                  <c:v>1.054782218230804</c:v>
                </c:pt>
                <c:pt idx="18">
                  <c:v>0.97215985630893587</c:v>
                </c:pt>
                <c:pt idx="19">
                  <c:v>0.81275258194881017</c:v>
                </c:pt>
                <c:pt idx="20">
                  <c:v>1.0557714285714286</c:v>
                </c:pt>
                <c:pt idx="21">
                  <c:v>1.1808000000000001</c:v>
                </c:pt>
                <c:pt idx="22">
                  <c:v>1.0050285714285714</c:v>
                </c:pt>
                <c:pt idx="23">
                  <c:v>0.85485714285714287</c:v>
                </c:pt>
                <c:pt idx="24">
                  <c:v>0.84749714285714295</c:v>
                </c:pt>
                <c:pt idx="25">
                  <c:v>0.76498285714285719</c:v>
                </c:pt>
                <c:pt idx="26">
                  <c:v>0.77714285714285714</c:v>
                </c:pt>
                <c:pt idx="27">
                  <c:v>0.872</c:v>
                </c:pt>
                <c:pt idx="28">
                  <c:v>1.0731428571428572</c:v>
                </c:pt>
                <c:pt idx="29">
                  <c:v>0.96114285714285719</c:v>
                </c:pt>
                <c:pt idx="30">
                  <c:v>0.97119999999999995</c:v>
                </c:pt>
                <c:pt idx="31">
                  <c:v>0.98125714285714294</c:v>
                </c:pt>
                <c:pt idx="32">
                  <c:v>1.0153142857142858</c:v>
                </c:pt>
                <c:pt idx="33">
                  <c:v>0.97554285714285705</c:v>
                </c:pt>
                <c:pt idx="34">
                  <c:v>0.99725714285714295</c:v>
                </c:pt>
                <c:pt idx="35">
                  <c:v>1.3844571428571431</c:v>
                </c:pt>
                <c:pt idx="36">
                  <c:v>0.84617142857142857</c:v>
                </c:pt>
                <c:pt idx="37">
                  <c:v>0.9597714285714285</c:v>
                </c:pt>
                <c:pt idx="38">
                  <c:v>1.0251428571428571</c:v>
                </c:pt>
                <c:pt idx="39">
                  <c:v>0.94171428571428573</c:v>
                </c:pt>
                <c:pt idx="40">
                  <c:v>1.0086857142857144</c:v>
                </c:pt>
                <c:pt idx="41">
                  <c:v>1.4009132420091326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07-4725-837B-28BD0EC5843B}"/>
            </c:ext>
          </c:extLst>
        </c:ser>
        <c:ser>
          <c:idx val="5"/>
          <c:order val="2"/>
          <c:tx>
            <c:v>UCL</c:v>
          </c:tx>
          <c:spPr>
            <a:ln>
              <a:prstDash val="dash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C00000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1-DAEE-4ED1-9D70-E1003D365C5A}"/>
              </c:ext>
            </c:extLst>
          </c:dPt>
          <c:xVal>
            <c:numRef>
              <c:f>(DHT!$R$4,DHT!$T$4)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(DHT!$Q$11,DHT!$Q$11)</c:f>
              <c:numCache>
                <c:formatCode>0%</c:formatCode>
                <c:ptCount val="2"/>
                <c:pt idx="0">
                  <c:v>1.1499999999999999</c:v>
                </c:pt>
                <c:pt idx="1">
                  <c:v>1.1499999999999999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07-4725-837B-28BD0EC5843B}"/>
            </c:ext>
          </c:extLst>
        </c:ser>
        <c:ser>
          <c:idx val="6"/>
          <c:order val="3"/>
          <c:tx>
            <c:v>LCL</c:v>
          </c:tx>
          <c:spPr>
            <a:ln w="25400"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chemeClr val="accent6">
                    <a:lumMod val="75000"/>
                  </a:scheme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3-DAEE-4ED1-9D70-E1003D365C5A}"/>
              </c:ext>
            </c:extLst>
          </c:dPt>
          <c:xVal>
            <c:numRef>
              <c:f>(DHT!$R$4,DHT!$T$4)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(DHT!$R$11,DHT!$R$11)</c:f>
              <c:numCache>
                <c:formatCode>0%</c:formatCode>
                <c:ptCount val="2"/>
                <c:pt idx="0">
                  <c:v>0.8</c:v>
                </c:pt>
                <c:pt idx="1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D07-4725-837B-28BD0EC58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catAx>
        <c:axId val="1414825479"/>
        <c:scaling>
          <c:orientation val="minMax"/>
        </c:scaling>
        <c:delete val="0"/>
        <c:axPos val="b"/>
        <c:numFmt formatCode="[$-409]d/mmm/yy;@" sourceLinked="0"/>
        <c:majorTickMark val="out"/>
        <c:minorTickMark val="out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664720785"/>
        <c:crosses val="autoZero"/>
        <c:auto val="0"/>
        <c:lblAlgn val="ctr"/>
        <c:lblOffset val="100"/>
        <c:noMultiLvlLbl val="1"/>
      </c:catAx>
      <c:valAx>
        <c:axId val="1664720785"/>
        <c:scaling>
          <c:orientation val="minMax"/>
          <c:max val="1.8"/>
          <c:min val="0.4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ACCURACY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/>
            </a:pPr>
            <a:endParaRPr lang="en-US"/>
          </a:p>
        </c:txPr>
        <c:crossAx val="1414825479"/>
        <c:crosses val="autoZero"/>
        <c:crossBetween val="between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</c:spPr>
      <c:txPr>
        <a:bodyPr anchor="ctr" anchorCtr="1"/>
        <a:lstStyle/>
        <a:p>
          <a:pPr rtl="0">
            <a:defRPr sz="1400" b="0"/>
          </a:pPr>
          <a:endParaRPr lang="en-US"/>
        </a:p>
      </c:txPr>
    </c:legend>
    <c:plotVisOnly val="1"/>
    <c:dispBlanksAs val="span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noFill/>
    </a:ln>
  </c:spPr>
  <c:txPr>
    <a:bodyPr/>
    <a:lstStyle/>
    <a:p>
      <a:pPr>
        <a:defRPr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SG">
                <a:solidFill>
                  <a:schemeClr val="accent2"/>
                </a:solidFill>
              </a:rPr>
              <a:t>HQC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041856212537431E-2"/>
          <c:y val="0.13692552474352129"/>
          <c:w val="0.85499174011352508"/>
          <c:h val="0.6503580352696221"/>
        </c:manualLayout>
      </c:layout>
      <c:lineChart>
        <c:grouping val="standard"/>
        <c:varyColors val="1"/>
        <c:ser>
          <c:idx val="4"/>
          <c:order val="6"/>
          <c:tx>
            <c:v>date</c:v>
          </c:tx>
          <c:marker>
            <c:symbol val="none"/>
          </c:marker>
          <c:cat>
            <c:numRef>
              <c:f>Progesterone!$R$14:$R$51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</c:numCache>
            </c:numRef>
          </c:cat>
          <c:val>
            <c:numRef>
              <c:f>Progesterone!$R$14:$R$51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C0-4190-A66F-51C0FA67BA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4825479"/>
        <c:axId val="1664720785"/>
      </c:lineChart>
      <c:scatterChart>
        <c:scatterStyle val="smoothMarker"/>
        <c:varyColors val="1"/>
        <c:ser>
          <c:idx val="3"/>
          <c:order val="1"/>
          <c:tx>
            <c:strRef>
              <c:f>Progesterone!$Z$10</c:f>
              <c:strCache>
                <c:ptCount val="1"/>
                <c:pt idx="0">
                  <c:v>+3SD UCL</c:v>
                </c:pt>
              </c:strCache>
            </c:strRef>
          </c:tx>
          <c:spPr>
            <a:ln>
              <a:solidFill>
                <a:srgbClr val="C00000"/>
              </a:solidFill>
              <a:prstDash val="solid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C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D8B-4454-B71E-5E21E7812843}"/>
              </c:ext>
            </c:extLst>
          </c:dPt>
          <c:xVal>
            <c:numRef>
              <c:f>(Progesterone!$R$4,Progesterone!$T$4)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(Progesterone!$Z$11,Progesterone!$Z$11)</c:f>
              <c:numCache>
                <c:formatCode>0.00</c:formatCode>
                <c:ptCount val="2"/>
                <c:pt idx="0">
                  <c:v>34.974623485983081</c:v>
                </c:pt>
                <c:pt idx="1">
                  <c:v>34.974623485983081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1C0-4190-A66F-51C0FA67BAD9}"/>
            </c:ext>
          </c:extLst>
        </c:ser>
        <c:ser>
          <c:idx val="1"/>
          <c:order val="5"/>
          <c:tx>
            <c:strRef>
              <c:f>Progesterone!$W$10</c:f>
              <c:strCache>
                <c:ptCount val="1"/>
                <c:pt idx="0">
                  <c:v>-3SD LCL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00B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0D8B-4454-B71E-5E21E7812843}"/>
              </c:ext>
            </c:extLst>
          </c:dPt>
          <c:xVal>
            <c:numRef>
              <c:f>(Progesterone!$R$4,Progesterone!$T$4)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(Progesterone!$W$11,Progesterone!$W$11)</c:f>
              <c:numCache>
                <c:formatCode>0.00</c:formatCode>
                <c:ptCount val="2"/>
                <c:pt idx="0">
                  <c:v>20.576010660358385</c:v>
                </c:pt>
                <c:pt idx="1">
                  <c:v>20.576010660358385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1C0-4190-A66F-51C0FA67BA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scatterChart>
        <c:scatterStyle val="lineMarker"/>
        <c:varyColors val="1"/>
        <c:ser>
          <c:idx val="0"/>
          <c:order val="0"/>
          <c:tx>
            <c:v>HQC</c:v>
          </c:tx>
          <c:marker>
            <c:symbol val="circle"/>
            <c:size val="10"/>
            <c:spPr>
              <a:solidFill>
                <a:schemeClr val="tx1">
                  <a:lumMod val="50000"/>
                  <a:lumOff val="50000"/>
                </a:schemeClr>
              </a:solidFill>
              <a:ln cmpd="sng">
                <a:solidFill>
                  <a:schemeClr val="tx1"/>
                </a:solidFill>
              </a:ln>
            </c:spPr>
          </c:marker>
          <c:xVal>
            <c:strRef>
              <c:f>Progesterone!$P$14:$P$268</c:f>
              <c:strCach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strCache>
            </c:strRef>
          </c:xVal>
          <c:yVal>
            <c:numRef>
              <c:f>Progesterone!$U$14:$U$268</c:f>
              <c:numCache>
                <c:formatCode>0.000</c:formatCode>
                <c:ptCount val="255"/>
                <c:pt idx="0">
                  <c:v>27.896999999999998</c:v>
                </c:pt>
                <c:pt idx="1">
                  <c:v>27.757999999999999</c:v>
                </c:pt>
                <c:pt idx="2">
                  <c:v>26.821000000000002</c:v>
                </c:pt>
                <c:pt idx="3">
                  <c:v>28.792999999999999</c:v>
                </c:pt>
                <c:pt idx="4">
                  <c:v>31.052</c:v>
                </c:pt>
                <c:pt idx="5">
                  <c:v>29.710999999999999</c:v>
                </c:pt>
                <c:pt idx="6">
                  <c:v>28.957000000000001</c:v>
                </c:pt>
                <c:pt idx="7">
                  <c:v>29.338000000000001</c:v>
                </c:pt>
                <c:pt idx="8">
                  <c:v>32.35</c:v>
                </c:pt>
                <c:pt idx="9">
                  <c:v>28.812000000000001</c:v>
                </c:pt>
                <c:pt idx="10">
                  <c:v>28.015999999999998</c:v>
                </c:pt>
                <c:pt idx="11">
                  <c:v>26.667000000000002</c:v>
                </c:pt>
                <c:pt idx="12">
                  <c:v>27.152999999999999</c:v>
                </c:pt>
                <c:pt idx="13">
                  <c:v>25.504999999999999</c:v>
                </c:pt>
                <c:pt idx="14">
                  <c:v>26.167000000000002</c:v>
                </c:pt>
                <c:pt idx="15">
                  <c:v>25.933</c:v>
                </c:pt>
                <c:pt idx="16">
                  <c:v>25.484999999999999</c:v>
                </c:pt>
                <c:pt idx="17">
                  <c:v>26.38</c:v>
                </c:pt>
                <c:pt idx="18">
                  <c:v>29.082999999999998</c:v>
                </c:pt>
                <c:pt idx="19">
                  <c:v>24.617000000000001</c:v>
                </c:pt>
                <c:pt idx="20">
                  <c:v>28.753</c:v>
                </c:pt>
                <c:pt idx="21">
                  <c:v>29.513999999999999</c:v>
                </c:pt>
                <c:pt idx="22">
                  <c:v>25.492000000000001</c:v>
                </c:pt>
                <c:pt idx="23">
                  <c:v>28.635000000000002</c:v>
                </c:pt>
                <c:pt idx="24">
                  <c:v>22.597200000000001</c:v>
                </c:pt>
                <c:pt idx="25">
                  <c:v>29.102799999999998</c:v>
                </c:pt>
                <c:pt idx="26">
                  <c:v>24.635999999999999</c:v>
                </c:pt>
                <c:pt idx="27">
                  <c:v>37.905000000000001</c:v>
                </c:pt>
                <c:pt idx="28">
                  <c:v>26.89</c:v>
                </c:pt>
                <c:pt idx="29">
                  <c:v>29.491</c:v>
                </c:pt>
                <c:pt idx="30">
                  <c:v>27.503</c:v>
                </c:pt>
                <c:pt idx="31">
                  <c:v>27.986999999999998</c:v>
                </c:pt>
                <c:pt idx="32">
                  <c:v>27.44</c:v>
                </c:pt>
                <c:pt idx="33">
                  <c:v>31.905000000000001</c:v>
                </c:pt>
                <c:pt idx="34">
                  <c:v>27.35</c:v>
                </c:pt>
                <c:pt idx="35">
                  <c:v>26.486000000000001</c:v>
                </c:pt>
                <c:pt idx="36">
                  <c:v>20.268000000000001</c:v>
                </c:pt>
                <c:pt idx="37">
                  <c:v>27.271000000000001</c:v>
                </c:pt>
                <c:pt idx="38">
                  <c:v>29.416</c:v>
                </c:pt>
                <c:pt idx="39">
                  <c:v>30.03</c:v>
                </c:pt>
                <c:pt idx="40">
                  <c:v>29.553999999999998</c:v>
                </c:pt>
                <c:pt idx="41">
                  <c:v>31.972000000000001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1C0-4190-A66F-51C0FA67BAD9}"/>
            </c:ext>
          </c:extLst>
        </c:ser>
        <c:ser>
          <c:idx val="5"/>
          <c:order val="2"/>
          <c:tx>
            <c:strRef>
              <c:f>Progesterone!$Y$10</c:f>
              <c:strCache>
                <c:ptCount val="1"/>
                <c:pt idx="0">
                  <c:v>+2SD UCL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FF0000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5-0D8B-4454-B71E-5E21E7812843}"/>
              </c:ext>
            </c:extLst>
          </c:dPt>
          <c:xVal>
            <c:numRef>
              <c:f>(Progesterone!$R$4,Progesterone!$T$4)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(Progesterone!$Y$11,Progesterone!$Y$11)</c:f>
              <c:numCache>
                <c:formatCode>0.00</c:formatCode>
                <c:ptCount val="2"/>
                <c:pt idx="0">
                  <c:v>32.574854681712296</c:v>
                </c:pt>
                <c:pt idx="1">
                  <c:v>32.574854681712296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1C0-4190-A66F-51C0FA67BAD9}"/>
            </c:ext>
          </c:extLst>
        </c:ser>
        <c:ser>
          <c:idx val="2"/>
          <c:order val="3"/>
          <c:tx>
            <c:v>Mean</c:v>
          </c:tx>
          <c:spPr>
            <a:ln>
              <a:solidFill>
                <a:schemeClr val="accent1"/>
              </a:solidFill>
              <a:prstDash val="sysDash"/>
            </a:ln>
          </c:spPr>
          <c:dPt>
            <c:idx val="0"/>
            <c:marker>
              <c:symbol val="none"/>
            </c:marker>
            <c:bubble3D val="0"/>
            <c:spPr>
              <a:ln w="28575">
                <a:solidFill>
                  <a:schemeClr val="accent1"/>
                </a:solidFill>
                <a:prstDash val="sysDot"/>
              </a:ln>
            </c:spPr>
            <c:extLst>
              <c:ext xmlns:c16="http://schemas.microsoft.com/office/drawing/2014/chart" uri="{C3380CC4-5D6E-409C-BE32-E72D297353CC}">
                <c16:uniqueId val="{00000007-0D8B-4454-B71E-5E21E7812843}"/>
              </c:ext>
            </c:extLst>
          </c:dPt>
          <c:xVal>
            <c:numRef>
              <c:f>(Progesterone!$R$4,Progesterone!$T$4)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(Progesterone!$U$11,Progesterone!$U$11)</c:f>
              <c:numCache>
                <c:formatCode>0.00</c:formatCode>
                <c:ptCount val="2"/>
                <c:pt idx="0">
                  <c:v>27.775317073170733</c:v>
                </c:pt>
                <c:pt idx="1">
                  <c:v>27.775317073170733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C1C0-4190-A66F-51C0FA67BAD9}"/>
            </c:ext>
          </c:extLst>
        </c:ser>
        <c:ser>
          <c:idx val="6"/>
          <c:order val="4"/>
          <c:tx>
            <c:strRef>
              <c:f>Progesterone!$X$10</c:f>
              <c:strCache>
                <c:ptCount val="1"/>
                <c:pt idx="0">
                  <c:v>-2SD LCL</c:v>
                </c:pt>
              </c:strCache>
            </c:strRef>
          </c:tx>
          <c:spPr>
            <a:ln w="25400">
              <a:solidFill>
                <a:schemeClr val="accent6">
                  <a:lumMod val="60000"/>
                  <a:lumOff val="40000"/>
                </a:schemeClr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chemeClr val="accent6">
                    <a:lumMod val="60000"/>
                    <a:lumOff val="40000"/>
                  </a:scheme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9-0D8B-4454-B71E-5E21E7812843}"/>
              </c:ext>
            </c:extLst>
          </c:dPt>
          <c:xVal>
            <c:numRef>
              <c:f>(Progesterone!$R$4,Progesterone!$T$4)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(Progesterone!$X$11,Progesterone!$X$11)</c:f>
              <c:numCache>
                <c:formatCode>0.00</c:formatCode>
                <c:ptCount val="2"/>
                <c:pt idx="0">
                  <c:v>22.97577946462917</c:v>
                </c:pt>
                <c:pt idx="1">
                  <c:v>22.97577946462917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C1C0-4190-A66F-51C0FA67BA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catAx>
        <c:axId val="1414825479"/>
        <c:scaling>
          <c:orientation val="minMax"/>
        </c:scaling>
        <c:delete val="0"/>
        <c:axPos val="b"/>
        <c:numFmt formatCode="[$-409]d/mmm/yy;@" sourceLinked="0"/>
        <c:majorTickMark val="out"/>
        <c:minorTickMark val="out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664720785"/>
        <c:crosses val="autoZero"/>
        <c:auto val="0"/>
        <c:lblAlgn val="ctr"/>
        <c:lblOffset val="100"/>
        <c:noMultiLvlLbl val="1"/>
      </c:catAx>
      <c:valAx>
        <c:axId val="1664720785"/>
        <c:scaling>
          <c:orientation val="minMax"/>
          <c:max val="45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HQC [nmol/L]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/>
        </c:spPr>
        <c:crossAx val="1414825479"/>
        <c:crosses val="autoZero"/>
        <c:crossBetween val="between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</c:spPr>
      <c:txPr>
        <a:bodyPr anchor="ctr" anchorCtr="1"/>
        <a:lstStyle/>
        <a:p>
          <a:pPr rtl="0">
            <a:defRPr sz="1200"/>
          </a:pPr>
          <a:endParaRPr lang="en-US"/>
        </a:p>
      </c:txPr>
    </c:legend>
    <c:plotVisOnly val="1"/>
    <c:dispBlanksAs val="span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noFill/>
    </a:ln>
  </c:spPr>
  <c:txPr>
    <a:bodyPr/>
    <a:lstStyle/>
    <a:p>
      <a:pPr>
        <a:defRPr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SG">
                <a:solidFill>
                  <a:schemeClr val="accent6"/>
                </a:solidFill>
              </a:rPr>
              <a:t>LQC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041856212537431E-2"/>
          <c:y val="0.13692552474352129"/>
          <c:w val="0.85499174011352508"/>
          <c:h val="0.6503580352696221"/>
        </c:manualLayout>
      </c:layout>
      <c:lineChart>
        <c:grouping val="standard"/>
        <c:varyColors val="1"/>
        <c:ser>
          <c:idx val="4"/>
          <c:order val="6"/>
          <c:tx>
            <c:v>date</c:v>
          </c:tx>
          <c:marker>
            <c:symbol val="none"/>
          </c:marker>
          <c:cat>
            <c:numRef>
              <c:f>Progesterone!$R$14:$R$51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</c:numCache>
            </c:numRef>
          </c:cat>
          <c:val>
            <c:numRef>
              <c:f>Progesterone!$R$14:$R$51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A1-4D47-BE5F-0B643C217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4825479"/>
        <c:axId val="1664720785"/>
      </c:lineChart>
      <c:scatterChart>
        <c:scatterStyle val="smoothMarker"/>
        <c:varyColors val="1"/>
        <c:ser>
          <c:idx val="3"/>
          <c:order val="1"/>
          <c:tx>
            <c:strRef>
              <c:f>Progesterone!$AH$10</c:f>
              <c:strCache>
                <c:ptCount val="1"/>
                <c:pt idx="0">
                  <c:v>+3SD UCL</c:v>
                </c:pt>
              </c:strCache>
            </c:strRef>
          </c:tx>
          <c:spPr>
            <a:ln>
              <a:solidFill>
                <a:srgbClr val="C00000"/>
              </a:solidFill>
              <a:prstDash val="solid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C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8D8-4D20-98FF-918C413AA2AE}"/>
              </c:ext>
            </c:extLst>
          </c:dPt>
          <c:xVal>
            <c:numRef>
              <c:f>(Progesterone!$R$4,Progesterone!$T$4)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(Progesterone!$AH$11,Progesterone!$AH$11)</c:f>
              <c:numCache>
                <c:formatCode>0.00</c:formatCode>
                <c:ptCount val="2"/>
                <c:pt idx="0">
                  <c:v>2.0125280281499327</c:v>
                </c:pt>
                <c:pt idx="1">
                  <c:v>2.0125280281499327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0A1-4D47-BE5F-0B643C21723C}"/>
            </c:ext>
          </c:extLst>
        </c:ser>
        <c:ser>
          <c:idx val="1"/>
          <c:order val="2"/>
          <c:tx>
            <c:strRef>
              <c:f>Progesterone!$AG$10</c:f>
              <c:strCache>
                <c:ptCount val="1"/>
                <c:pt idx="0">
                  <c:v>+2SD UCL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00B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88D8-4D20-98FF-918C413AA2AE}"/>
              </c:ext>
            </c:extLst>
          </c:dPt>
          <c:xVal>
            <c:numRef>
              <c:f>(Progesterone!$R$4,Progesterone!$T$4)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(Progesterone!$AG$11,Progesterone!$AG$11)</c:f>
              <c:numCache>
                <c:formatCode>0.00</c:formatCode>
                <c:ptCount val="2"/>
                <c:pt idx="0">
                  <c:v>1.8582528124174151</c:v>
                </c:pt>
                <c:pt idx="1">
                  <c:v>1.8582528124174151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0A1-4D47-BE5F-0B643C217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scatterChart>
        <c:scatterStyle val="lineMarker"/>
        <c:varyColors val="1"/>
        <c:ser>
          <c:idx val="0"/>
          <c:order val="0"/>
          <c:tx>
            <c:v>LQC</c:v>
          </c:tx>
          <c:marker>
            <c:symbol val="circle"/>
            <c:size val="10"/>
            <c:spPr>
              <a:solidFill>
                <a:schemeClr val="tx1">
                  <a:lumMod val="50000"/>
                  <a:lumOff val="50000"/>
                </a:schemeClr>
              </a:solidFill>
              <a:ln cmpd="sng">
                <a:solidFill>
                  <a:schemeClr val="tx1"/>
                </a:solidFill>
              </a:ln>
            </c:spPr>
          </c:marker>
          <c:xVal>
            <c:strRef>
              <c:f>Progesterone!$P$14:$P$268</c:f>
              <c:strCach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strCache>
            </c:strRef>
          </c:xVal>
          <c:yVal>
            <c:numRef>
              <c:f>Progesterone!$AC$14:$AC$268</c:f>
              <c:numCache>
                <c:formatCode>0.000</c:formatCode>
                <c:ptCount val="255"/>
                <c:pt idx="0">
                  <c:v>1.4810000000000001</c:v>
                </c:pt>
                <c:pt idx="1">
                  <c:v>1.6719999999999999</c:v>
                </c:pt>
                <c:pt idx="2">
                  <c:v>1.26</c:v>
                </c:pt>
                <c:pt idx="3">
                  <c:v>1.516</c:v>
                </c:pt>
                <c:pt idx="4">
                  <c:v>1.712</c:v>
                </c:pt>
                <c:pt idx="5">
                  <c:v>1.548</c:v>
                </c:pt>
                <c:pt idx="6">
                  <c:v>1.28</c:v>
                </c:pt>
                <c:pt idx="7">
                  <c:v>1.3680000000000001</c:v>
                </c:pt>
                <c:pt idx="8">
                  <c:v>1.6339999999999999</c:v>
                </c:pt>
                <c:pt idx="9">
                  <c:v>1.635</c:v>
                </c:pt>
                <c:pt idx="10">
                  <c:v>1.621</c:v>
                </c:pt>
                <c:pt idx="11">
                  <c:v>1.5660000000000001</c:v>
                </c:pt>
                <c:pt idx="12">
                  <c:v>1.849</c:v>
                </c:pt>
                <c:pt idx="13">
                  <c:v>1.526</c:v>
                </c:pt>
                <c:pt idx="14">
                  <c:v>1.821</c:v>
                </c:pt>
                <c:pt idx="15">
                  <c:v>1.5</c:v>
                </c:pt>
                <c:pt idx="16">
                  <c:v>1.3380000000000001</c:v>
                </c:pt>
                <c:pt idx="17">
                  <c:v>1.381</c:v>
                </c:pt>
                <c:pt idx="18">
                  <c:v>1.599</c:v>
                </c:pt>
                <c:pt idx="19">
                  <c:v>1.359</c:v>
                </c:pt>
                <c:pt idx="20">
                  <c:v>1.631</c:v>
                </c:pt>
                <c:pt idx="21">
                  <c:v>1.63</c:v>
                </c:pt>
                <c:pt idx="22">
                  <c:v>1.7010000000000001</c:v>
                </c:pt>
                <c:pt idx="23">
                  <c:v>1.41</c:v>
                </c:pt>
                <c:pt idx="24">
                  <c:v>1.6675</c:v>
                </c:pt>
                <c:pt idx="25">
                  <c:v>1.532</c:v>
                </c:pt>
                <c:pt idx="26">
                  <c:v>1.5189999999999999</c:v>
                </c:pt>
                <c:pt idx="27">
                  <c:v>1.7549999999999999</c:v>
                </c:pt>
                <c:pt idx="28">
                  <c:v>1.4159999999999999</c:v>
                </c:pt>
                <c:pt idx="29">
                  <c:v>1.6970000000000001</c:v>
                </c:pt>
                <c:pt idx="30">
                  <c:v>1.3879999999999999</c:v>
                </c:pt>
                <c:pt idx="31">
                  <c:v>1.62</c:v>
                </c:pt>
                <c:pt idx="32">
                  <c:v>1.6339999999999999</c:v>
                </c:pt>
                <c:pt idx="33">
                  <c:v>1.5780000000000001</c:v>
                </c:pt>
                <c:pt idx="34">
                  <c:v>1.2909999999999999</c:v>
                </c:pt>
                <c:pt idx="35">
                  <c:v>1.5780000000000001</c:v>
                </c:pt>
                <c:pt idx="36">
                  <c:v>1.4410000000000001</c:v>
                </c:pt>
                <c:pt idx="37">
                  <c:v>1.4419999999999999</c:v>
                </c:pt>
                <c:pt idx="38">
                  <c:v>1.766</c:v>
                </c:pt>
                <c:pt idx="39">
                  <c:v>1.788</c:v>
                </c:pt>
                <c:pt idx="40">
                  <c:v>1.613</c:v>
                </c:pt>
                <c:pt idx="41">
                  <c:v>1.3240000000000001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0A1-4D47-BE5F-0B643C21723C}"/>
            </c:ext>
          </c:extLst>
        </c:ser>
        <c:ser>
          <c:idx val="2"/>
          <c:order val="3"/>
          <c:tx>
            <c:v>Mean</c:v>
          </c:tx>
          <c:spPr>
            <a:ln>
              <a:solidFill>
                <a:schemeClr val="accent1"/>
              </a:solidFill>
              <a:prstDash val="sysDash"/>
            </a:ln>
          </c:spPr>
          <c:dPt>
            <c:idx val="0"/>
            <c:marker>
              <c:symbol val="none"/>
            </c:marker>
            <c:bubble3D val="0"/>
            <c:spPr>
              <a:ln w="28575">
                <a:solidFill>
                  <a:schemeClr val="accent1"/>
                </a:solidFill>
                <a:prstDash val="sysDot"/>
              </a:ln>
            </c:spPr>
            <c:extLst>
              <c:ext xmlns:c16="http://schemas.microsoft.com/office/drawing/2014/chart" uri="{C3380CC4-5D6E-409C-BE32-E72D297353CC}">
                <c16:uniqueId val="{00000005-88D8-4D20-98FF-918C413AA2AE}"/>
              </c:ext>
            </c:extLst>
          </c:dPt>
          <c:xVal>
            <c:numRef>
              <c:f>(Progesterone!$R$4,Progesterone!$T$4)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(Progesterone!$AC$11,Progesterone!$AC$11)</c:f>
              <c:numCache>
                <c:formatCode>0.00</c:formatCode>
                <c:ptCount val="2"/>
                <c:pt idx="0">
                  <c:v>1.5497023809523807</c:v>
                </c:pt>
                <c:pt idx="1">
                  <c:v>1.5497023809523807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0A1-4D47-BE5F-0B643C21723C}"/>
            </c:ext>
          </c:extLst>
        </c:ser>
        <c:ser>
          <c:idx val="6"/>
          <c:order val="4"/>
          <c:tx>
            <c:strRef>
              <c:f>Progesterone!$AF$10</c:f>
              <c:strCache>
                <c:ptCount val="1"/>
                <c:pt idx="0">
                  <c:v>-2SD LCL</c:v>
                </c:pt>
              </c:strCache>
            </c:strRef>
          </c:tx>
          <c:spPr>
            <a:ln w="25400">
              <a:solidFill>
                <a:schemeClr val="accent6">
                  <a:lumMod val="60000"/>
                  <a:lumOff val="40000"/>
                </a:schemeClr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chemeClr val="accent6">
                    <a:lumMod val="60000"/>
                    <a:lumOff val="40000"/>
                  </a:scheme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7-88D8-4D20-98FF-918C413AA2AE}"/>
              </c:ext>
            </c:extLst>
          </c:dPt>
          <c:xVal>
            <c:numRef>
              <c:f>(Progesterone!$R$4,Progesterone!$T$4)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(Progesterone!$AF$11,Progesterone!$AF$11)</c:f>
              <c:numCache>
                <c:formatCode>0.00</c:formatCode>
                <c:ptCount val="2"/>
                <c:pt idx="0">
                  <c:v>1.2411519494873462</c:v>
                </c:pt>
                <c:pt idx="1">
                  <c:v>1.2411519494873462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30A1-4D47-BE5F-0B643C21723C}"/>
            </c:ext>
          </c:extLst>
        </c:ser>
        <c:ser>
          <c:idx val="5"/>
          <c:order val="5"/>
          <c:tx>
            <c:strRef>
              <c:f>Progesterone!$AE$10</c:f>
              <c:strCache>
                <c:ptCount val="1"/>
                <c:pt idx="0">
                  <c:v>-3SD LCL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FF0000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9-88D8-4D20-98FF-918C413AA2AE}"/>
              </c:ext>
            </c:extLst>
          </c:dPt>
          <c:xVal>
            <c:numRef>
              <c:f>(Progesterone!$R$4,Progesterone!$T$4)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(Progesterone!$AE$11,Progesterone!$AE$11)</c:f>
              <c:numCache>
                <c:formatCode>0.00</c:formatCode>
                <c:ptCount val="2"/>
                <c:pt idx="0">
                  <c:v>1.0868767337548288</c:v>
                </c:pt>
                <c:pt idx="1">
                  <c:v>1.0868767337548288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30A1-4D47-BE5F-0B643C217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catAx>
        <c:axId val="1414825479"/>
        <c:scaling>
          <c:orientation val="minMax"/>
        </c:scaling>
        <c:delete val="0"/>
        <c:axPos val="b"/>
        <c:numFmt formatCode="[$-409]d/mmm/yy;@" sourceLinked="0"/>
        <c:majorTickMark val="out"/>
        <c:minorTickMark val="out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664720785"/>
        <c:crosses val="autoZero"/>
        <c:auto val="0"/>
        <c:lblAlgn val="ctr"/>
        <c:lblOffset val="100"/>
        <c:noMultiLvlLbl val="1"/>
      </c:catAx>
      <c:valAx>
        <c:axId val="1664720785"/>
        <c:scaling>
          <c:orientation val="minMax"/>
          <c:max val="2.4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200">
                    <a:solidFill>
                      <a:schemeClr val="accent6"/>
                    </a:solidFill>
                  </a:rPr>
                  <a:t>LQC [nmol/L]</a:t>
                </a:r>
              </a:p>
            </c:rich>
          </c:tx>
          <c:layout>
            <c:manualLayout>
              <c:xMode val="edge"/>
              <c:yMode val="edge"/>
              <c:x val="1.2907702223661067E-2"/>
              <c:y val="0.40450724699866752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/>
        </c:spPr>
        <c:crossAx val="1414825479"/>
        <c:crosses val="autoZero"/>
        <c:crossBetween val="between"/>
        <c:majorUnit val="0.4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</c:spPr>
      <c:txPr>
        <a:bodyPr anchor="ctr" anchorCtr="1"/>
        <a:lstStyle/>
        <a:p>
          <a:pPr rtl="0">
            <a:defRPr sz="1200"/>
          </a:pPr>
          <a:endParaRPr lang="en-US"/>
        </a:p>
      </c:txPr>
    </c:legend>
    <c:plotVisOnly val="1"/>
    <c:dispBlanksAs val="span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noFill/>
    </a:ln>
  </c:spPr>
  <c:txPr>
    <a:bodyPr/>
    <a:lstStyle/>
    <a:p>
      <a:pPr>
        <a:defRPr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SG">
                <a:solidFill>
                  <a:sysClr val="windowText" lastClr="000000"/>
                </a:solidFill>
              </a:rPr>
              <a:t>ACCURACY</a:t>
            </a:r>
          </a:p>
        </c:rich>
      </c:tx>
      <c:overlay val="0"/>
      <c:spPr>
        <a:noFill/>
      </c:spPr>
    </c:title>
    <c:autoTitleDeleted val="0"/>
    <c:plotArea>
      <c:layout>
        <c:manualLayout>
          <c:layoutTarget val="inner"/>
          <c:xMode val="edge"/>
          <c:yMode val="edge"/>
          <c:x val="9.7388134921387773E-2"/>
          <c:y val="0.12595373243973218"/>
          <c:w val="0.85499174011352508"/>
          <c:h val="0.6503580352696221"/>
        </c:manualLayout>
      </c:layout>
      <c:lineChart>
        <c:grouping val="standard"/>
        <c:varyColors val="1"/>
        <c:ser>
          <c:idx val="4"/>
          <c:order val="4"/>
          <c:tx>
            <c:v>date</c:v>
          </c:tx>
          <c:marker>
            <c:symbol val="none"/>
          </c:marker>
          <c:cat>
            <c:numRef>
              <c:f>Progesterone!$R$14:$R$51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</c:numCache>
            </c:numRef>
          </c:cat>
          <c:val>
            <c:numRef>
              <c:f>Progesterone!$R$14:$R$51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53-406D-9513-D39281191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4825479"/>
        <c:axId val="1664720785"/>
      </c:lineChart>
      <c:scatterChart>
        <c:scatterStyle val="lineMarker"/>
        <c:varyColors val="1"/>
        <c:ser>
          <c:idx val="1"/>
          <c:order val="0"/>
          <c:tx>
            <c:v>LQC Acc</c:v>
          </c:tx>
          <c:spPr>
            <a:ln>
              <a:solidFill>
                <a:schemeClr val="accent6">
                  <a:lumMod val="50000"/>
                </a:schemeClr>
              </a:solidFill>
            </a:ln>
          </c:spPr>
          <c:marker>
            <c:symbol val="circle"/>
            <c:size val="10"/>
            <c:spPr>
              <a:solidFill>
                <a:schemeClr val="accent6"/>
              </a:solidFill>
              <a:ln>
                <a:solidFill>
                  <a:schemeClr val="accent6"/>
                </a:solidFill>
              </a:ln>
            </c:spPr>
          </c:marker>
          <c:xVal>
            <c:strRef>
              <c:f>Progesterone!$P$14:$P$268</c:f>
              <c:strCach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strCache>
            </c:strRef>
          </c:xVal>
          <c:yVal>
            <c:numRef>
              <c:f>Progesterone!$AH$14:$AH$268</c:f>
              <c:numCache>
                <c:formatCode>0.0%</c:formatCode>
                <c:ptCount val="255"/>
                <c:pt idx="0">
                  <c:v>0.9667101827676241</c:v>
                </c:pt>
                <c:pt idx="1">
                  <c:v>1.0913838120104438</c:v>
                </c:pt>
                <c:pt idx="2">
                  <c:v>0.82245430809399478</c:v>
                </c:pt>
                <c:pt idx="3">
                  <c:v>0.98955613577023493</c:v>
                </c:pt>
                <c:pt idx="4">
                  <c:v>1.1174934725848564</c:v>
                </c:pt>
                <c:pt idx="5">
                  <c:v>1.0104438642297651</c:v>
                </c:pt>
                <c:pt idx="6">
                  <c:v>0.835509138381201</c:v>
                </c:pt>
                <c:pt idx="7">
                  <c:v>0.89295039164490864</c:v>
                </c:pt>
                <c:pt idx="8">
                  <c:v>1.0665796344647518</c:v>
                </c:pt>
                <c:pt idx="9">
                  <c:v>1.0672323759791122</c:v>
                </c:pt>
                <c:pt idx="10">
                  <c:v>1.0580939947780679</c:v>
                </c:pt>
                <c:pt idx="11">
                  <c:v>1.0221932114882506</c:v>
                </c:pt>
                <c:pt idx="12">
                  <c:v>1.2069190600522193</c:v>
                </c:pt>
                <c:pt idx="13">
                  <c:v>0.99608355091383816</c:v>
                </c:pt>
                <c:pt idx="14">
                  <c:v>1.1886422976501305</c:v>
                </c:pt>
                <c:pt idx="15">
                  <c:v>0.97911227154046998</c:v>
                </c:pt>
                <c:pt idx="16">
                  <c:v>0.87336814621409931</c:v>
                </c:pt>
                <c:pt idx="17">
                  <c:v>0.90143603133159267</c:v>
                </c:pt>
                <c:pt idx="18">
                  <c:v>1.043733681462141</c:v>
                </c:pt>
                <c:pt idx="19">
                  <c:v>0.88707571801566576</c:v>
                </c:pt>
                <c:pt idx="20">
                  <c:v>1.0660130718954248</c:v>
                </c:pt>
                <c:pt idx="21">
                  <c:v>1.065359477124183</c:v>
                </c:pt>
                <c:pt idx="22">
                  <c:v>1.111764705882353</c:v>
                </c:pt>
                <c:pt idx="23">
                  <c:v>0.92156862745098034</c:v>
                </c:pt>
                <c:pt idx="24">
                  <c:v>1.0898692810457515</c:v>
                </c:pt>
                <c:pt idx="25">
                  <c:v>1.0013071895424837</c:v>
                </c:pt>
                <c:pt idx="26">
                  <c:v>0.99281045751633978</c:v>
                </c:pt>
                <c:pt idx="27">
                  <c:v>1.1470588235294117</c:v>
                </c:pt>
                <c:pt idx="28">
                  <c:v>0.9254901960784313</c:v>
                </c:pt>
                <c:pt idx="29">
                  <c:v>1.1091503267973857</c:v>
                </c:pt>
                <c:pt idx="30">
                  <c:v>0.90718954248366002</c:v>
                </c:pt>
                <c:pt idx="31">
                  <c:v>1.0588235294117647</c:v>
                </c:pt>
                <c:pt idx="32">
                  <c:v>1.0679738562091503</c:v>
                </c:pt>
                <c:pt idx="33">
                  <c:v>1.031372549019608</c:v>
                </c:pt>
                <c:pt idx="34">
                  <c:v>0.8437908496732025</c:v>
                </c:pt>
                <c:pt idx="35">
                  <c:v>1.031372549019608</c:v>
                </c:pt>
                <c:pt idx="36">
                  <c:v>0.94183006535947711</c:v>
                </c:pt>
                <c:pt idx="37">
                  <c:v>0.94248366013071894</c:v>
                </c:pt>
                <c:pt idx="38">
                  <c:v>1.1542483660130718</c:v>
                </c:pt>
                <c:pt idx="39">
                  <c:v>1.1686274509803922</c:v>
                </c:pt>
                <c:pt idx="40">
                  <c:v>1.0542483660130719</c:v>
                </c:pt>
                <c:pt idx="41">
                  <c:v>0.86535947712418304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B53-406D-9513-D3928119118A}"/>
            </c:ext>
          </c:extLst>
        </c:ser>
        <c:ser>
          <c:idx val="0"/>
          <c:order val="1"/>
          <c:tx>
            <c:v>HQC Acc.</c:v>
          </c:tx>
          <c:spPr>
            <a:ln>
              <a:solidFill>
                <a:schemeClr val="accent2">
                  <a:lumMod val="50000"/>
                </a:schemeClr>
              </a:solidFill>
            </a:ln>
          </c:spPr>
          <c:marker>
            <c:symbol val="circle"/>
            <c:size val="10"/>
            <c:spPr>
              <a:solidFill>
                <a:srgbClr val="FFC000"/>
              </a:solidFill>
              <a:ln cmpd="sng">
                <a:solidFill>
                  <a:schemeClr val="accent2"/>
                </a:solidFill>
              </a:ln>
            </c:spPr>
          </c:marker>
          <c:xVal>
            <c:strRef>
              <c:f>Progesterone!$P$14:$P$268</c:f>
              <c:strCach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strCache>
            </c:strRef>
          </c:xVal>
          <c:yVal>
            <c:numRef>
              <c:f>Progesterone!$Z$14:$Z$268</c:f>
              <c:numCache>
                <c:formatCode>0.0%</c:formatCode>
                <c:ptCount val="255"/>
                <c:pt idx="0">
                  <c:v>1.0278924097273396</c:v>
                </c:pt>
                <c:pt idx="1">
                  <c:v>1.0227708179808401</c:v>
                </c:pt>
                <c:pt idx="2">
                  <c:v>0.98824613117170235</c:v>
                </c:pt>
                <c:pt idx="3">
                  <c:v>1.060906411201179</c:v>
                </c:pt>
                <c:pt idx="4">
                  <c:v>1.144141488577745</c:v>
                </c:pt>
                <c:pt idx="5">
                  <c:v>1.0947310243183492</c:v>
                </c:pt>
                <c:pt idx="6">
                  <c:v>1.0669491525423729</c:v>
                </c:pt>
                <c:pt idx="7">
                  <c:v>1.0809874723655122</c:v>
                </c:pt>
                <c:pt idx="8">
                  <c:v>1.1919675755342667</c:v>
                </c:pt>
                <c:pt idx="9">
                  <c:v>1.0616064848931466</c:v>
                </c:pt>
                <c:pt idx="10">
                  <c:v>1.032277081798084</c:v>
                </c:pt>
                <c:pt idx="11">
                  <c:v>0.98257184966838618</c:v>
                </c:pt>
                <c:pt idx="12">
                  <c:v>1.000478997789241</c:v>
                </c:pt>
                <c:pt idx="13">
                  <c:v>0.93975681650700071</c:v>
                </c:pt>
                <c:pt idx="14">
                  <c:v>0.96414885777450265</c:v>
                </c:pt>
                <c:pt idx="15">
                  <c:v>0.955526897568165</c:v>
                </c:pt>
                <c:pt idx="16">
                  <c:v>0.93901989683124532</c:v>
                </c:pt>
                <c:pt idx="17">
                  <c:v>0.97199705232129696</c:v>
                </c:pt>
                <c:pt idx="18">
                  <c:v>1.0715917464996314</c:v>
                </c:pt>
                <c:pt idx="19">
                  <c:v>0.90703758290346359</c:v>
                </c:pt>
                <c:pt idx="20">
                  <c:v>1.0298352435530085</c:v>
                </c:pt>
                <c:pt idx="21">
                  <c:v>1.0570916905444125</c:v>
                </c:pt>
                <c:pt idx="22">
                  <c:v>0.91303724928366758</c:v>
                </c:pt>
                <c:pt idx="23">
                  <c:v>1.02560888252149</c:v>
                </c:pt>
                <c:pt idx="24">
                  <c:v>0.80935530085959884</c:v>
                </c:pt>
                <c:pt idx="25">
                  <c:v>1.0423638968481375</c:v>
                </c:pt>
                <c:pt idx="26">
                  <c:v>0.88237822349570194</c:v>
                </c:pt>
                <c:pt idx="27">
                  <c:v>1.3576289398280801</c:v>
                </c:pt>
                <c:pt idx="28">
                  <c:v>0.96310888252148996</c:v>
                </c:pt>
                <c:pt idx="29">
                  <c:v>1.0562679083094555</c:v>
                </c:pt>
                <c:pt idx="30">
                  <c:v>0.98506446991404006</c:v>
                </c:pt>
                <c:pt idx="31">
                  <c:v>1.0023997134670486</c:v>
                </c:pt>
                <c:pt idx="32">
                  <c:v>0.98280802292263614</c:v>
                </c:pt>
                <c:pt idx="33">
                  <c:v>1.1427292263610316</c:v>
                </c:pt>
                <c:pt idx="34">
                  <c:v>0.97958452722063039</c:v>
                </c:pt>
                <c:pt idx="35">
                  <c:v>0.9486389684813753</c:v>
                </c:pt>
                <c:pt idx="36">
                  <c:v>0.72593123209169053</c:v>
                </c:pt>
                <c:pt idx="37">
                  <c:v>0.97675501432664757</c:v>
                </c:pt>
                <c:pt idx="38">
                  <c:v>1.0535816618911173</c:v>
                </c:pt>
                <c:pt idx="39">
                  <c:v>1.0755730659025788</c:v>
                </c:pt>
                <c:pt idx="40">
                  <c:v>1.0585243553008594</c:v>
                </c:pt>
                <c:pt idx="41">
                  <c:v>1.1451289398280802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B53-406D-9513-D3928119118A}"/>
            </c:ext>
          </c:extLst>
        </c:ser>
        <c:ser>
          <c:idx val="5"/>
          <c:order val="2"/>
          <c:tx>
            <c:v>UCL</c:v>
          </c:tx>
          <c:spPr>
            <a:ln>
              <a:prstDash val="dash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C00000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1-B580-4CD9-9F74-562202F172DD}"/>
              </c:ext>
            </c:extLst>
          </c:dPt>
          <c:xVal>
            <c:numRef>
              <c:f>(Progesterone!$R$4,Progesterone!$T$4)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(Progesterone!$Q$11,Progesterone!$Q$11)</c:f>
              <c:numCache>
                <c:formatCode>0%</c:formatCode>
                <c:ptCount val="2"/>
                <c:pt idx="0">
                  <c:v>1.1499999999999999</c:v>
                </c:pt>
                <c:pt idx="1">
                  <c:v>1.1499999999999999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B53-406D-9513-D3928119118A}"/>
            </c:ext>
          </c:extLst>
        </c:ser>
        <c:ser>
          <c:idx val="6"/>
          <c:order val="3"/>
          <c:tx>
            <c:v>LCL</c:v>
          </c:tx>
          <c:spPr>
            <a:ln w="25400"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chemeClr val="accent6">
                    <a:lumMod val="75000"/>
                  </a:scheme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3-B580-4CD9-9F74-562202F172DD}"/>
              </c:ext>
            </c:extLst>
          </c:dPt>
          <c:xVal>
            <c:numRef>
              <c:f>(Progesterone!$R$4,Progesterone!$T$4)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(Progesterone!$R$11,Progesterone!$R$11)</c:f>
              <c:numCache>
                <c:formatCode>0%</c:formatCode>
                <c:ptCount val="2"/>
                <c:pt idx="0">
                  <c:v>0.8</c:v>
                </c:pt>
                <c:pt idx="1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B53-406D-9513-D39281191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catAx>
        <c:axId val="1414825479"/>
        <c:scaling>
          <c:orientation val="minMax"/>
        </c:scaling>
        <c:delete val="0"/>
        <c:axPos val="b"/>
        <c:numFmt formatCode="[$-409]d/mmm/yy;@" sourceLinked="0"/>
        <c:majorTickMark val="out"/>
        <c:minorTickMark val="out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664720785"/>
        <c:crosses val="autoZero"/>
        <c:auto val="0"/>
        <c:lblAlgn val="ctr"/>
        <c:lblOffset val="100"/>
        <c:noMultiLvlLbl val="1"/>
      </c:catAx>
      <c:valAx>
        <c:axId val="1664720785"/>
        <c:scaling>
          <c:orientation val="minMax"/>
          <c:max val="1.8"/>
          <c:min val="0.4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ACCURACY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/>
            </a:pPr>
            <a:endParaRPr lang="en-US"/>
          </a:p>
        </c:txPr>
        <c:crossAx val="1414825479"/>
        <c:crosses val="autoZero"/>
        <c:crossBetween val="between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</c:spPr>
      <c:txPr>
        <a:bodyPr anchor="ctr" anchorCtr="1"/>
        <a:lstStyle/>
        <a:p>
          <a:pPr rtl="0">
            <a:defRPr sz="1400" b="0"/>
          </a:pPr>
          <a:endParaRPr lang="en-US"/>
        </a:p>
      </c:txPr>
    </c:legend>
    <c:plotVisOnly val="1"/>
    <c:dispBlanksAs val="span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noFill/>
    </a:ln>
  </c:spPr>
  <c:txPr>
    <a:bodyPr/>
    <a:lstStyle/>
    <a:p>
      <a:pPr>
        <a:defRPr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SG">
                <a:solidFill>
                  <a:schemeClr val="accent2"/>
                </a:solidFill>
              </a:rPr>
              <a:t>HQC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041856212537431E-2"/>
          <c:y val="0.13692552474352129"/>
          <c:w val="0.85499174011352508"/>
          <c:h val="0.6503580352696221"/>
        </c:manualLayout>
      </c:layout>
      <c:lineChart>
        <c:grouping val="standard"/>
        <c:varyColors val="1"/>
        <c:ser>
          <c:idx val="4"/>
          <c:order val="6"/>
          <c:tx>
            <c:v>date</c:v>
          </c:tx>
          <c:marker>
            <c:symbol val="none"/>
          </c:marker>
          <c:cat>
            <c:numRef>
              <c:f>Testosterone!$R$14:$R$51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</c:numCache>
            </c:numRef>
          </c:cat>
          <c:val>
            <c:numRef>
              <c:f>Testosterone!$R$14:$R$51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27-466C-9481-7BA0584783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4825479"/>
        <c:axId val="1664720785"/>
      </c:lineChart>
      <c:scatterChart>
        <c:scatterStyle val="smoothMarker"/>
        <c:varyColors val="1"/>
        <c:ser>
          <c:idx val="3"/>
          <c:order val="1"/>
          <c:tx>
            <c:strRef>
              <c:f>Testosterone!$Z$10</c:f>
              <c:strCache>
                <c:ptCount val="1"/>
                <c:pt idx="0">
                  <c:v>+3SD UCL</c:v>
                </c:pt>
              </c:strCache>
            </c:strRef>
          </c:tx>
          <c:spPr>
            <a:ln>
              <a:solidFill>
                <a:srgbClr val="C00000"/>
              </a:solidFill>
              <a:prstDash val="solid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C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C0E-4685-8436-D2216B906AC2}"/>
              </c:ext>
            </c:extLst>
          </c:dPt>
          <c:xVal>
            <c:numRef>
              <c:f>(Testosterone!$R$4,Testosterone!$T$4)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(Testosterone!$Z$11,Testosterone!$Z$11)</c:f>
              <c:numCache>
                <c:formatCode>0.00</c:formatCode>
                <c:ptCount val="2"/>
                <c:pt idx="0">
                  <c:v>40.242795193996145</c:v>
                </c:pt>
                <c:pt idx="1">
                  <c:v>40.242795193996145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627-466C-9481-7BA05847836A}"/>
            </c:ext>
          </c:extLst>
        </c:ser>
        <c:ser>
          <c:idx val="1"/>
          <c:order val="5"/>
          <c:tx>
            <c:strRef>
              <c:f>Testosterone!$W$10</c:f>
              <c:strCache>
                <c:ptCount val="1"/>
                <c:pt idx="0">
                  <c:v>-3SD LCL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00B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4C0E-4685-8436-D2216B906AC2}"/>
              </c:ext>
            </c:extLst>
          </c:dPt>
          <c:xVal>
            <c:numRef>
              <c:f>(Testosterone!$R$4,Testosterone!$T$4)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(Testosterone!$W$11,Testosterone!$W$11)</c:f>
              <c:numCache>
                <c:formatCode>0.00</c:formatCode>
                <c:ptCount val="2"/>
                <c:pt idx="0">
                  <c:v>21.826419091718119</c:v>
                </c:pt>
                <c:pt idx="1">
                  <c:v>21.826419091718119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627-466C-9481-7BA0584783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scatterChart>
        <c:scatterStyle val="lineMarker"/>
        <c:varyColors val="1"/>
        <c:ser>
          <c:idx val="0"/>
          <c:order val="0"/>
          <c:tx>
            <c:v>HQC</c:v>
          </c:tx>
          <c:marker>
            <c:symbol val="circle"/>
            <c:size val="10"/>
            <c:spPr>
              <a:solidFill>
                <a:schemeClr val="tx1">
                  <a:lumMod val="50000"/>
                  <a:lumOff val="50000"/>
                </a:schemeClr>
              </a:solidFill>
              <a:ln cmpd="sng">
                <a:solidFill>
                  <a:schemeClr val="tx1"/>
                </a:solidFill>
              </a:ln>
            </c:spPr>
          </c:marker>
          <c:xVal>
            <c:strRef>
              <c:f>Testosterone!$P$14:$P$268</c:f>
              <c:strCach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strCache>
            </c:strRef>
          </c:xVal>
          <c:yVal>
            <c:numRef>
              <c:f>Testosterone!$U$14:$U$268</c:f>
              <c:numCache>
                <c:formatCode>0.000</c:formatCode>
                <c:ptCount val="255"/>
                <c:pt idx="0">
                  <c:v>33.155999999999999</c:v>
                </c:pt>
                <c:pt idx="1">
                  <c:v>30.428000000000001</c:v>
                </c:pt>
                <c:pt idx="2">
                  <c:v>31.4</c:v>
                </c:pt>
                <c:pt idx="3">
                  <c:v>28.891999999999999</c:v>
                </c:pt>
                <c:pt idx="4">
                  <c:v>30.338999999999999</c:v>
                </c:pt>
                <c:pt idx="5">
                  <c:v>35.107999999999997</c:v>
                </c:pt>
                <c:pt idx="6">
                  <c:v>31.600999999999999</c:v>
                </c:pt>
                <c:pt idx="7">
                  <c:v>29.675999999999998</c:v>
                </c:pt>
                <c:pt idx="8">
                  <c:v>37.430999999999997</c:v>
                </c:pt>
                <c:pt idx="9">
                  <c:v>32.677999999999997</c:v>
                </c:pt>
                <c:pt idx="10">
                  <c:v>35.061999999999998</c:v>
                </c:pt>
                <c:pt idx="11">
                  <c:v>35.69</c:v>
                </c:pt>
                <c:pt idx="12">
                  <c:v>32.262999999999998</c:v>
                </c:pt>
                <c:pt idx="13">
                  <c:v>36.591000000000001</c:v>
                </c:pt>
                <c:pt idx="14">
                  <c:v>24.536000000000001</c:v>
                </c:pt>
                <c:pt idx="15">
                  <c:v>28.710999999999999</c:v>
                </c:pt>
                <c:pt idx="16">
                  <c:v>33.86</c:v>
                </c:pt>
                <c:pt idx="17">
                  <c:v>35.033000000000001</c:v>
                </c:pt>
                <c:pt idx="18">
                  <c:v>31.600999999999999</c:v>
                </c:pt>
                <c:pt idx="19">
                  <c:v>26.552</c:v>
                </c:pt>
                <c:pt idx="20">
                  <c:v>31.904</c:v>
                </c:pt>
                <c:pt idx="21">
                  <c:v>27.728000000000002</c:v>
                </c:pt>
                <c:pt idx="22">
                  <c:v>30.637</c:v>
                </c:pt>
                <c:pt idx="23">
                  <c:v>26.928999999999998</c:v>
                </c:pt>
                <c:pt idx="24">
                  <c:v>32.633600000000001</c:v>
                </c:pt>
                <c:pt idx="25">
                  <c:v>32.855899999999998</c:v>
                </c:pt>
                <c:pt idx="26">
                  <c:v>28.068999999999999</c:v>
                </c:pt>
                <c:pt idx="27">
                  <c:v>30.091000000000001</c:v>
                </c:pt>
                <c:pt idx="28">
                  <c:v>26.876999999999999</c:v>
                </c:pt>
                <c:pt idx="29">
                  <c:v>27.527000000000001</c:v>
                </c:pt>
                <c:pt idx="30">
                  <c:v>28.242999999999999</c:v>
                </c:pt>
                <c:pt idx="31">
                  <c:v>26.457999999999998</c:v>
                </c:pt>
                <c:pt idx="32">
                  <c:v>28.312999999999999</c:v>
                </c:pt>
                <c:pt idx="33">
                  <c:v>30.216000000000001</c:v>
                </c:pt>
                <c:pt idx="34">
                  <c:v>31.640999999999998</c:v>
                </c:pt>
                <c:pt idx="35">
                  <c:v>28.85</c:v>
                </c:pt>
                <c:pt idx="36">
                  <c:v>32.51</c:v>
                </c:pt>
                <c:pt idx="37">
                  <c:v>30.951000000000001</c:v>
                </c:pt>
                <c:pt idx="38">
                  <c:v>34.552</c:v>
                </c:pt>
                <c:pt idx="39">
                  <c:v>28.492000000000001</c:v>
                </c:pt>
                <c:pt idx="40">
                  <c:v>34.259</c:v>
                </c:pt>
                <c:pt idx="41">
                  <c:v>33.109000000000002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627-466C-9481-7BA05847836A}"/>
            </c:ext>
          </c:extLst>
        </c:ser>
        <c:ser>
          <c:idx val="5"/>
          <c:order val="2"/>
          <c:tx>
            <c:strRef>
              <c:f>Testosterone!$Y$10</c:f>
              <c:strCache>
                <c:ptCount val="1"/>
                <c:pt idx="0">
                  <c:v>+2SD UCL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FF0000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5-4C0E-4685-8436-D2216B906AC2}"/>
              </c:ext>
            </c:extLst>
          </c:dPt>
          <c:xVal>
            <c:numRef>
              <c:f>(Testosterone!$R$4,Testosterone!$T$4)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(Testosterone!$Y$11,Testosterone!$Y$11)</c:f>
              <c:numCache>
                <c:formatCode>0.00</c:formatCode>
                <c:ptCount val="2"/>
                <c:pt idx="0">
                  <c:v>37.173399176949808</c:v>
                </c:pt>
                <c:pt idx="1">
                  <c:v>37.173399176949808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627-466C-9481-7BA05847836A}"/>
            </c:ext>
          </c:extLst>
        </c:ser>
        <c:ser>
          <c:idx val="2"/>
          <c:order val="3"/>
          <c:tx>
            <c:v>Mean</c:v>
          </c:tx>
          <c:spPr>
            <a:ln>
              <a:solidFill>
                <a:schemeClr val="accent1"/>
              </a:solidFill>
              <a:prstDash val="sysDash"/>
            </a:ln>
          </c:spPr>
          <c:dPt>
            <c:idx val="0"/>
            <c:marker>
              <c:symbol val="none"/>
            </c:marker>
            <c:bubble3D val="0"/>
            <c:spPr>
              <a:ln w="28575">
                <a:solidFill>
                  <a:schemeClr val="accent1"/>
                </a:solidFill>
                <a:prstDash val="sysDot"/>
              </a:ln>
            </c:spPr>
            <c:extLst>
              <c:ext xmlns:c16="http://schemas.microsoft.com/office/drawing/2014/chart" uri="{C3380CC4-5D6E-409C-BE32-E72D297353CC}">
                <c16:uniqueId val="{00000007-4C0E-4685-8436-D2216B906AC2}"/>
              </c:ext>
            </c:extLst>
          </c:dPt>
          <c:xVal>
            <c:numRef>
              <c:f>(Testosterone!$R$4,Testosterone!$T$4)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(Testosterone!$U$11,Testosterone!$U$11)</c:f>
              <c:numCache>
                <c:formatCode>0.00</c:formatCode>
                <c:ptCount val="2"/>
                <c:pt idx="0">
                  <c:v>31.034607142857134</c:v>
                </c:pt>
                <c:pt idx="1">
                  <c:v>31.034607142857134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B627-466C-9481-7BA05847836A}"/>
            </c:ext>
          </c:extLst>
        </c:ser>
        <c:ser>
          <c:idx val="6"/>
          <c:order val="4"/>
          <c:tx>
            <c:strRef>
              <c:f>Testosterone!$X$10</c:f>
              <c:strCache>
                <c:ptCount val="1"/>
                <c:pt idx="0">
                  <c:v>-2SD LCL</c:v>
                </c:pt>
              </c:strCache>
            </c:strRef>
          </c:tx>
          <c:spPr>
            <a:ln w="25400">
              <a:solidFill>
                <a:schemeClr val="accent6">
                  <a:lumMod val="60000"/>
                  <a:lumOff val="40000"/>
                </a:schemeClr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chemeClr val="accent6">
                    <a:lumMod val="60000"/>
                    <a:lumOff val="40000"/>
                  </a:scheme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9-4C0E-4685-8436-D2216B906AC2}"/>
              </c:ext>
            </c:extLst>
          </c:dPt>
          <c:xVal>
            <c:numRef>
              <c:f>(Testosterone!$R$4,Testosterone!$T$4)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(Testosterone!$X$11,Testosterone!$X$11)</c:f>
              <c:numCache>
                <c:formatCode>0.00</c:formatCode>
                <c:ptCount val="2"/>
                <c:pt idx="0">
                  <c:v>24.895815108764456</c:v>
                </c:pt>
                <c:pt idx="1">
                  <c:v>24.895815108764456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B627-466C-9481-7BA0584783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catAx>
        <c:axId val="1414825479"/>
        <c:scaling>
          <c:orientation val="minMax"/>
        </c:scaling>
        <c:delete val="0"/>
        <c:axPos val="b"/>
        <c:numFmt formatCode="[$-409]d/mmm/yy;@" sourceLinked="0"/>
        <c:majorTickMark val="out"/>
        <c:minorTickMark val="out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664720785"/>
        <c:crosses val="autoZero"/>
        <c:auto val="0"/>
        <c:lblAlgn val="ctr"/>
        <c:lblOffset val="100"/>
        <c:noMultiLvlLbl val="1"/>
      </c:catAx>
      <c:valAx>
        <c:axId val="1664720785"/>
        <c:scaling>
          <c:orientation val="minMax"/>
          <c:max val="5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HQC [nmol/L]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/>
        </c:spPr>
        <c:crossAx val="1414825479"/>
        <c:crosses val="autoZero"/>
        <c:crossBetween val="between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</c:spPr>
      <c:txPr>
        <a:bodyPr anchor="ctr" anchorCtr="1"/>
        <a:lstStyle/>
        <a:p>
          <a:pPr rtl="0">
            <a:defRPr sz="1200"/>
          </a:pPr>
          <a:endParaRPr lang="en-US"/>
        </a:p>
      </c:txPr>
    </c:legend>
    <c:plotVisOnly val="1"/>
    <c:dispBlanksAs val="span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noFill/>
    </a:ln>
  </c:spPr>
  <c:txPr>
    <a:bodyPr/>
    <a:lstStyle/>
    <a:p>
      <a:pPr>
        <a:defRPr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SG">
                <a:solidFill>
                  <a:schemeClr val="accent6"/>
                </a:solidFill>
              </a:rPr>
              <a:t>LQC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041856212537431E-2"/>
          <c:y val="0.13692552474352129"/>
          <c:w val="0.85499174011352508"/>
          <c:h val="0.6503580352696221"/>
        </c:manualLayout>
      </c:layout>
      <c:lineChart>
        <c:grouping val="standard"/>
        <c:varyColors val="1"/>
        <c:ser>
          <c:idx val="4"/>
          <c:order val="6"/>
          <c:tx>
            <c:v>date</c:v>
          </c:tx>
          <c:marker>
            <c:symbol val="none"/>
          </c:marker>
          <c:cat>
            <c:numRef>
              <c:f>Testosterone!$R$14:$R$51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</c:numCache>
            </c:numRef>
          </c:cat>
          <c:val>
            <c:numRef>
              <c:f>Testosterone!$R$14:$R$51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A1-42B1-B6C3-63DDD8609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4825479"/>
        <c:axId val="1664720785"/>
      </c:lineChart>
      <c:scatterChart>
        <c:scatterStyle val="smoothMarker"/>
        <c:varyColors val="1"/>
        <c:ser>
          <c:idx val="3"/>
          <c:order val="1"/>
          <c:tx>
            <c:strRef>
              <c:f>Testosterone!$AH$10</c:f>
              <c:strCache>
                <c:ptCount val="1"/>
                <c:pt idx="0">
                  <c:v>+3SD UCL</c:v>
                </c:pt>
              </c:strCache>
            </c:strRef>
          </c:tx>
          <c:spPr>
            <a:ln>
              <a:solidFill>
                <a:srgbClr val="C00000"/>
              </a:solidFill>
              <a:prstDash val="solid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C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5F4-4714-A8EC-AC97FE4E5EAA}"/>
              </c:ext>
            </c:extLst>
          </c:dPt>
          <c:xVal>
            <c:numRef>
              <c:f>(Testosterone!$R$4,Testosterone!$T$4)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(Testosterone!$AH$11,Testosterone!$AH$11)</c:f>
              <c:numCache>
                <c:formatCode>0.00</c:formatCode>
                <c:ptCount val="2"/>
                <c:pt idx="0">
                  <c:v>1.2265037373630689</c:v>
                </c:pt>
                <c:pt idx="1">
                  <c:v>1.2265037373630689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3A1-42B1-B6C3-63DDD8609528}"/>
            </c:ext>
          </c:extLst>
        </c:ser>
        <c:ser>
          <c:idx val="1"/>
          <c:order val="2"/>
          <c:tx>
            <c:strRef>
              <c:f>Testosterone!$AG$10</c:f>
              <c:strCache>
                <c:ptCount val="1"/>
                <c:pt idx="0">
                  <c:v>+2SD UCL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00B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25F4-4714-A8EC-AC97FE4E5EAA}"/>
              </c:ext>
            </c:extLst>
          </c:dPt>
          <c:xVal>
            <c:numRef>
              <c:f>(Testosterone!$R$4,Testosterone!$T$4)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(Testosterone!$AG$11,Testosterone!$AG$11)</c:f>
              <c:numCache>
                <c:formatCode>0.00</c:formatCode>
                <c:ptCount val="2"/>
                <c:pt idx="0">
                  <c:v>1.1307493169722047</c:v>
                </c:pt>
                <c:pt idx="1">
                  <c:v>1.1307493169722047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3A1-42B1-B6C3-63DDD8609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scatterChart>
        <c:scatterStyle val="lineMarker"/>
        <c:varyColors val="1"/>
        <c:ser>
          <c:idx val="0"/>
          <c:order val="0"/>
          <c:tx>
            <c:v>LQC</c:v>
          </c:tx>
          <c:marker>
            <c:symbol val="circle"/>
            <c:size val="10"/>
            <c:spPr>
              <a:solidFill>
                <a:schemeClr val="tx1">
                  <a:lumMod val="50000"/>
                  <a:lumOff val="50000"/>
                </a:schemeClr>
              </a:solidFill>
              <a:ln cmpd="sng">
                <a:solidFill>
                  <a:schemeClr val="tx1"/>
                </a:solidFill>
              </a:ln>
            </c:spPr>
          </c:marker>
          <c:xVal>
            <c:strRef>
              <c:f>Testosterone!$P$14:$P$268</c:f>
              <c:strCach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strCache>
            </c:strRef>
          </c:xVal>
          <c:yVal>
            <c:numRef>
              <c:f>Testosterone!$AC$14:$AC$268</c:f>
              <c:numCache>
                <c:formatCode>0.000</c:formatCode>
                <c:ptCount val="255"/>
                <c:pt idx="0">
                  <c:v>0.97599999999999998</c:v>
                </c:pt>
                <c:pt idx="1">
                  <c:v>1.0129999999999999</c:v>
                </c:pt>
                <c:pt idx="2">
                  <c:v>1.0149999999999999</c:v>
                </c:pt>
                <c:pt idx="3">
                  <c:v>0.878</c:v>
                </c:pt>
                <c:pt idx="4">
                  <c:v>0.89200000000000002</c:v>
                </c:pt>
                <c:pt idx="5">
                  <c:v>1.0669999999999999</c:v>
                </c:pt>
                <c:pt idx="6">
                  <c:v>1.2629999999999999</c:v>
                </c:pt>
                <c:pt idx="7">
                  <c:v>1.02</c:v>
                </c:pt>
                <c:pt idx="8">
                  <c:v>1.099</c:v>
                </c:pt>
                <c:pt idx="9">
                  <c:v>1.0880000000000001</c:v>
                </c:pt>
                <c:pt idx="10">
                  <c:v>0.82399999999999995</c:v>
                </c:pt>
                <c:pt idx="11">
                  <c:v>0.96199999999999997</c:v>
                </c:pt>
                <c:pt idx="12">
                  <c:v>0.92900000000000005</c:v>
                </c:pt>
                <c:pt idx="13">
                  <c:v>0.93899999999999995</c:v>
                </c:pt>
                <c:pt idx="14">
                  <c:v>0.877</c:v>
                </c:pt>
                <c:pt idx="15">
                  <c:v>0.90100000000000002</c:v>
                </c:pt>
                <c:pt idx="16">
                  <c:v>1.0289999999999999</c:v>
                </c:pt>
                <c:pt idx="17">
                  <c:v>1.1379999999999999</c:v>
                </c:pt>
                <c:pt idx="18">
                  <c:v>1.0369999999999999</c:v>
                </c:pt>
                <c:pt idx="19">
                  <c:v>0.94</c:v>
                </c:pt>
                <c:pt idx="20">
                  <c:v>1.0369999999999999</c:v>
                </c:pt>
                <c:pt idx="21">
                  <c:v>0.82799999999999996</c:v>
                </c:pt>
                <c:pt idx="22">
                  <c:v>1.0469999999999999</c:v>
                </c:pt>
                <c:pt idx="23">
                  <c:v>1.0109999999999999</c:v>
                </c:pt>
                <c:pt idx="24">
                  <c:v>0.92459999999999998</c:v>
                </c:pt>
                <c:pt idx="25">
                  <c:v>0.81950000000000001</c:v>
                </c:pt>
                <c:pt idx="26">
                  <c:v>0.80400000000000005</c:v>
                </c:pt>
                <c:pt idx="27">
                  <c:v>0.86599999999999999</c:v>
                </c:pt>
                <c:pt idx="28">
                  <c:v>0.95599999999999996</c:v>
                </c:pt>
                <c:pt idx="29">
                  <c:v>0.80500000000000005</c:v>
                </c:pt>
                <c:pt idx="30">
                  <c:v>0.79900000000000004</c:v>
                </c:pt>
                <c:pt idx="31">
                  <c:v>0.84499999999999997</c:v>
                </c:pt>
                <c:pt idx="32">
                  <c:v>0.85899999999999999</c:v>
                </c:pt>
                <c:pt idx="33">
                  <c:v>0.88</c:v>
                </c:pt>
                <c:pt idx="34">
                  <c:v>1.008</c:v>
                </c:pt>
                <c:pt idx="35">
                  <c:v>0.84699999999999998</c:v>
                </c:pt>
                <c:pt idx="36">
                  <c:v>0.753</c:v>
                </c:pt>
                <c:pt idx="37">
                  <c:v>0.85699999999999998</c:v>
                </c:pt>
                <c:pt idx="38">
                  <c:v>0.83599999999999997</c:v>
                </c:pt>
                <c:pt idx="39">
                  <c:v>0.93700000000000006</c:v>
                </c:pt>
                <c:pt idx="40">
                  <c:v>0.96699999999999997</c:v>
                </c:pt>
                <c:pt idx="41">
                  <c:v>0.875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3A1-42B1-B6C3-63DDD8609528}"/>
            </c:ext>
          </c:extLst>
        </c:ser>
        <c:ser>
          <c:idx val="2"/>
          <c:order val="3"/>
          <c:tx>
            <c:v>Mean</c:v>
          </c:tx>
          <c:spPr>
            <a:ln>
              <a:solidFill>
                <a:schemeClr val="accent1"/>
              </a:solidFill>
              <a:prstDash val="sysDash"/>
            </a:ln>
          </c:spPr>
          <c:dPt>
            <c:idx val="0"/>
            <c:marker>
              <c:symbol val="none"/>
            </c:marker>
            <c:bubble3D val="0"/>
            <c:spPr>
              <a:ln w="28575">
                <a:solidFill>
                  <a:schemeClr val="accent1"/>
                </a:solidFill>
                <a:prstDash val="sysDot"/>
              </a:ln>
            </c:spPr>
            <c:extLst>
              <c:ext xmlns:c16="http://schemas.microsoft.com/office/drawing/2014/chart" uri="{C3380CC4-5D6E-409C-BE32-E72D297353CC}">
                <c16:uniqueId val="{00000005-25F4-4714-A8EC-AC97FE4E5EAA}"/>
              </c:ext>
            </c:extLst>
          </c:dPt>
          <c:xVal>
            <c:numRef>
              <c:f>(Testosterone!$R$4,Testosterone!$T$4)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(Testosterone!$AC$11,Testosterone!$AC$11)</c:f>
              <c:numCache>
                <c:formatCode>0.00</c:formatCode>
                <c:ptCount val="2"/>
                <c:pt idx="0">
                  <c:v>0.93924047619047613</c:v>
                </c:pt>
                <c:pt idx="1">
                  <c:v>0.93924047619047613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3A1-42B1-B6C3-63DDD8609528}"/>
            </c:ext>
          </c:extLst>
        </c:ser>
        <c:ser>
          <c:idx val="6"/>
          <c:order val="4"/>
          <c:tx>
            <c:strRef>
              <c:f>Testosterone!$AF$10</c:f>
              <c:strCache>
                <c:ptCount val="1"/>
                <c:pt idx="0">
                  <c:v>-2SD LCL</c:v>
                </c:pt>
              </c:strCache>
            </c:strRef>
          </c:tx>
          <c:spPr>
            <a:ln w="25400">
              <a:solidFill>
                <a:schemeClr val="accent6">
                  <a:lumMod val="60000"/>
                  <a:lumOff val="40000"/>
                </a:schemeClr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chemeClr val="accent6">
                    <a:lumMod val="60000"/>
                    <a:lumOff val="40000"/>
                  </a:scheme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7-25F4-4714-A8EC-AC97FE4E5EAA}"/>
              </c:ext>
            </c:extLst>
          </c:dPt>
          <c:xVal>
            <c:numRef>
              <c:f>(Testosterone!$R$4,Testosterone!$T$4)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(Testosterone!$AF$11,Testosterone!$AF$11)</c:f>
              <c:numCache>
                <c:formatCode>0.00</c:formatCode>
                <c:ptCount val="2"/>
                <c:pt idx="0">
                  <c:v>0.74773163540874765</c:v>
                </c:pt>
                <c:pt idx="1">
                  <c:v>0.74773163540874765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43A1-42B1-B6C3-63DDD8609528}"/>
            </c:ext>
          </c:extLst>
        </c:ser>
        <c:ser>
          <c:idx val="5"/>
          <c:order val="5"/>
          <c:tx>
            <c:strRef>
              <c:f>Testosterone!$AE$10</c:f>
              <c:strCache>
                <c:ptCount val="1"/>
                <c:pt idx="0">
                  <c:v>-3SD LCL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FF0000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9-25F4-4714-A8EC-AC97FE4E5EAA}"/>
              </c:ext>
            </c:extLst>
          </c:dPt>
          <c:xVal>
            <c:numRef>
              <c:f>(Testosterone!$R$4,Testosterone!$T$4)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(Testosterone!$AE$11,Testosterone!$AE$11)</c:f>
              <c:numCache>
                <c:formatCode>0.00</c:formatCode>
                <c:ptCount val="2"/>
                <c:pt idx="0">
                  <c:v>0.6519772150178833</c:v>
                </c:pt>
                <c:pt idx="1">
                  <c:v>0.6519772150178833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43A1-42B1-B6C3-63DDD8609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catAx>
        <c:axId val="1414825479"/>
        <c:scaling>
          <c:orientation val="minMax"/>
        </c:scaling>
        <c:delete val="0"/>
        <c:axPos val="b"/>
        <c:numFmt formatCode="[$-409]d/mmm/yy;@" sourceLinked="0"/>
        <c:majorTickMark val="out"/>
        <c:minorTickMark val="out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664720785"/>
        <c:crosses val="autoZero"/>
        <c:auto val="0"/>
        <c:lblAlgn val="ctr"/>
        <c:lblOffset val="100"/>
        <c:noMultiLvlLbl val="1"/>
      </c:catAx>
      <c:valAx>
        <c:axId val="1664720785"/>
        <c:scaling>
          <c:orientation val="minMax"/>
          <c:max val="1.5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200">
                    <a:solidFill>
                      <a:schemeClr val="accent6"/>
                    </a:solidFill>
                  </a:rPr>
                  <a:t>LQC [nmol/L]</a:t>
                </a:r>
              </a:p>
            </c:rich>
          </c:tx>
          <c:layout>
            <c:manualLayout>
              <c:xMode val="edge"/>
              <c:yMode val="edge"/>
              <c:x val="1.2907702223661067E-2"/>
              <c:y val="0.40450724699866752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/>
        </c:spPr>
        <c:crossAx val="1414825479"/>
        <c:crosses val="autoZero"/>
        <c:crossBetween val="between"/>
        <c:majorUnit val="0.25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</c:spPr>
      <c:txPr>
        <a:bodyPr anchor="ctr" anchorCtr="1"/>
        <a:lstStyle/>
        <a:p>
          <a:pPr rtl="0">
            <a:defRPr sz="1200"/>
          </a:pPr>
          <a:endParaRPr lang="en-US"/>
        </a:p>
      </c:txPr>
    </c:legend>
    <c:plotVisOnly val="1"/>
    <c:dispBlanksAs val="span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noFill/>
    </a:ln>
  </c:spPr>
  <c:txPr>
    <a:bodyPr/>
    <a:lstStyle/>
    <a:p>
      <a:pPr>
        <a:defRPr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SG">
                <a:solidFill>
                  <a:sysClr val="windowText" lastClr="000000"/>
                </a:solidFill>
              </a:rPr>
              <a:t>ACCURACY</a:t>
            </a:r>
          </a:p>
        </c:rich>
      </c:tx>
      <c:overlay val="0"/>
      <c:spPr>
        <a:noFill/>
      </c:spPr>
    </c:title>
    <c:autoTitleDeleted val="0"/>
    <c:plotArea>
      <c:layout>
        <c:manualLayout>
          <c:layoutTarget val="inner"/>
          <c:xMode val="edge"/>
          <c:yMode val="edge"/>
          <c:x val="9.7388134921387773E-2"/>
          <c:y val="0.12595373243973218"/>
          <c:w val="0.85499174011352508"/>
          <c:h val="0.6503580352696221"/>
        </c:manualLayout>
      </c:layout>
      <c:lineChart>
        <c:grouping val="standard"/>
        <c:varyColors val="1"/>
        <c:ser>
          <c:idx val="4"/>
          <c:order val="4"/>
          <c:tx>
            <c:v>date</c:v>
          </c:tx>
          <c:marker>
            <c:symbol val="none"/>
          </c:marker>
          <c:cat>
            <c:numRef>
              <c:f>Testosterone!$R$14:$R$51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</c:numCache>
            </c:numRef>
          </c:cat>
          <c:val>
            <c:numRef>
              <c:f>Testosterone!$R$14:$R$51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A5-4C6E-8654-3D8C9EEA5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4825479"/>
        <c:axId val="1664720785"/>
      </c:lineChart>
      <c:scatterChart>
        <c:scatterStyle val="lineMarker"/>
        <c:varyColors val="1"/>
        <c:ser>
          <c:idx val="1"/>
          <c:order val="0"/>
          <c:tx>
            <c:v>LQC Acc</c:v>
          </c:tx>
          <c:spPr>
            <a:ln>
              <a:solidFill>
                <a:schemeClr val="accent6">
                  <a:lumMod val="50000"/>
                </a:schemeClr>
              </a:solidFill>
            </a:ln>
          </c:spPr>
          <c:marker>
            <c:symbol val="circle"/>
            <c:size val="10"/>
            <c:spPr>
              <a:solidFill>
                <a:schemeClr val="accent6"/>
              </a:solidFill>
              <a:ln>
                <a:solidFill>
                  <a:schemeClr val="accent6"/>
                </a:solidFill>
              </a:ln>
            </c:spPr>
          </c:marker>
          <c:xVal>
            <c:strRef>
              <c:f>Testosterone!$P$14:$P$268</c:f>
              <c:strCach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strCache>
            </c:strRef>
          </c:xVal>
          <c:yVal>
            <c:numRef>
              <c:f>Testosterone!$AH$14:$AH$268</c:f>
              <c:numCache>
                <c:formatCode>0.0%</c:formatCode>
                <c:ptCount val="255"/>
                <c:pt idx="0">
                  <c:v>0.99693564862104189</c:v>
                </c:pt>
                <c:pt idx="1">
                  <c:v>1.034729315628192</c:v>
                </c:pt>
                <c:pt idx="2">
                  <c:v>1.0367722165474973</c:v>
                </c:pt>
                <c:pt idx="3">
                  <c:v>0.89683350357507663</c:v>
                </c:pt>
                <c:pt idx="4">
                  <c:v>0.91113381001021454</c:v>
                </c:pt>
                <c:pt idx="5">
                  <c:v>1.0898876404494382</c:v>
                </c:pt>
                <c:pt idx="6">
                  <c:v>1.2900919305413687</c:v>
                </c:pt>
                <c:pt idx="7">
                  <c:v>1.0418794688457611</c:v>
                </c:pt>
                <c:pt idx="8">
                  <c:v>1.1225740551583248</c:v>
                </c:pt>
                <c:pt idx="9">
                  <c:v>1.1113381001021452</c:v>
                </c:pt>
                <c:pt idx="10">
                  <c:v>0.84167517875383036</c:v>
                </c:pt>
                <c:pt idx="11">
                  <c:v>0.98263534218590398</c:v>
                </c:pt>
                <c:pt idx="12">
                  <c:v>0.94892747701736468</c:v>
                </c:pt>
                <c:pt idx="13">
                  <c:v>0.95914198161389164</c:v>
                </c:pt>
                <c:pt idx="14">
                  <c:v>0.89581205311542389</c:v>
                </c:pt>
                <c:pt idx="15">
                  <c:v>0.92032686414708886</c:v>
                </c:pt>
                <c:pt idx="16">
                  <c:v>1.0510725229826352</c:v>
                </c:pt>
                <c:pt idx="17">
                  <c:v>1.1624106230847804</c:v>
                </c:pt>
                <c:pt idx="18">
                  <c:v>1.0592441266598569</c:v>
                </c:pt>
                <c:pt idx="19">
                  <c:v>0.96016343207354438</c:v>
                </c:pt>
                <c:pt idx="20">
                  <c:v>1.1296296296296295</c:v>
                </c:pt>
                <c:pt idx="21">
                  <c:v>0.90196078431372539</c:v>
                </c:pt>
                <c:pt idx="22">
                  <c:v>1.1405228758169934</c:v>
                </c:pt>
                <c:pt idx="23">
                  <c:v>1.1013071895424835</c:v>
                </c:pt>
                <c:pt idx="24">
                  <c:v>1.0071895424836601</c:v>
                </c:pt>
                <c:pt idx="25">
                  <c:v>0.89270152505446621</c:v>
                </c:pt>
                <c:pt idx="26">
                  <c:v>0.87581699346405228</c:v>
                </c:pt>
                <c:pt idx="27">
                  <c:v>0.94335511982570797</c:v>
                </c:pt>
                <c:pt idx="28">
                  <c:v>1.0413943355119826</c:v>
                </c:pt>
                <c:pt idx="29">
                  <c:v>0.87690631808278874</c:v>
                </c:pt>
                <c:pt idx="30">
                  <c:v>0.87037037037037035</c:v>
                </c:pt>
                <c:pt idx="31">
                  <c:v>0.920479302832244</c:v>
                </c:pt>
                <c:pt idx="32">
                  <c:v>0.93572984749455335</c:v>
                </c:pt>
                <c:pt idx="33">
                  <c:v>0.95860566448801743</c:v>
                </c:pt>
                <c:pt idx="34">
                  <c:v>1.0980392156862744</c:v>
                </c:pt>
                <c:pt idx="35">
                  <c:v>0.92265795206971668</c:v>
                </c:pt>
                <c:pt idx="36">
                  <c:v>0.8202614379084967</c:v>
                </c:pt>
                <c:pt idx="37">
                  <c:v>0.93355119825708055</c:v>
                </c:pt>
                <c:pt idx="38">
                  <c:v>0.91067538126361647</c:v>
                </c:pt>
                <c:pt idx="39">
                  <c:v>1.0206971677559913</c:v>
                </c:pt>
                <c:pt idx="40">
                  <c:v>1.0533769063180827</c:v>
                </c:pt>
                <c:pt idx="41">
                  <c:v>0.95315904139433549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A5-4C6E-8654-3D8C9EEA5FF7}"/>
            </c:ext>
          </c:extLst>
        </c:ser>
        <c:ser>
          <c:idx val="0"/>
          <c:order val="1"/>
          <c:tx>
            <c:v>HQC Acc.</c:v>
          </c:tx>
          <c:spPr>
            <a:ln>
              <a:solidFill>
                <a:schemeClr val="accent2">
                  <a:lumMod val="50000"/>
                </a:schemeClr>
              </a:solidFill>
            </a:ln>
          </c:spPr>
          <c:marker>
            <c:symbol val="circle"/>
            <c:size val="10"/>
            <c:spPr>
              <a:solidFill>
                <a:srgbClr val="FFC000"/>
              </a:solidFill>
              <a:ln cmpd="sng">
                <a:solidFill>
                  <a:schemeClr val="accent2"/>
                </a:solidFill>
              </a:ln>
            </c:spPr>
          </c:marker>
          <c:xVal>
            <c:strRef>
              <c:f>Testosterone!$P$14:$P$268</c:f>
              <c:strCach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strCache>
            </c:strRef>
          </c:xVal>
          <c:yVal>
            <c:numRef>
              <c:f>Testosterone!$Z$14:$Z$268</c:f>
              <c:numCache>
                <c:formatCode>0.0%</c:formatCode>
                <c:ptCount val="255"/>
                <c:pt idx="0">
                  <c:v>1.1212715590125126</c:v>
                </c:pt>
                <c:pt idx="1">
                  <c:v>1.0290158944876564</c:v>
                </c:pt>
                <c:pt idx="2">
                  <c:v>1.061887047683463</c:v>
                </c:pt>
                <c:pt idx="3">
                  <c:v>0.97707135610415963</c:v>
                </c:pt>
                <c:pt idx="4">
                  <c:v>1.0260060872505918</c:v>
                </c:pt>
                <c:pt idx="5">
                  <c:v>1.1872844098748732</c:v>
                </c:pt>
                <c:pt idx="6">
                  <c:v>1.0686844775109909</c:v>
                </c:pt>
                <c:pt idx="7">
                  <c:v>1.0035847142374028</c:v>
                </c:pt>
                <c:pt idx="8">
                  <c:v>1.2658437605681432</c:v>
                </c:pt>
                <c:pt idx="9">
                  <c:v>1.1051065268853566</c:v>
                </c:pt>
                <c:pt idx="10">
                  <c:v>1.1857287791680757</c:v>
                </c:pt>
                <c:pt idx="11">
                  <c:v>1.206966520121745</c:v>
                </c:pt>
                <c:pt idx="12">
                  <c:v>1.0910720324653365</c:v>
                </c:pt>
                <c:pt idx="13">
                  <c:v>1.2374365911396685</c:v>
                </c:pt>
                <c:pt idx="14">
                  <c:v>0.82975989178221177</c:v>
                </c:pt>
                <c:pt idx="15">
                  <c:v>0.97095028745350009</c:v>
                </c:pt>
                <c:pt idx="16">
                  <c:v>1.145079472438282</c:v>
                </c:pt>
                <c:pt idx="17">
                  <c:v>1.1847480554616165</c:v>
                </c:pt>
                <c:pt idx="18">
                  <c:v>1.0686844775109909</c:v>
                </c:pt>
                <c:pt idx="19">
                  <c:v>0.89793709841055125</c:v>
                </c:pt>
                <c:pt idx="20">
                  <c:v>1.1455655296229801</c:v>
                </c:pt>
                <c:pt idx="21">
                  <c:v>0.99561938958707363</c:v>
                </c:pt>
                <c:pt idx="22">
                  <c:v>1.1000718132854577</c:v>
                </c:pt>
                <c:pt idx="23">
                  <c:v>0.96692998204667857</c:v>
                </c:pt>
                <c:pt idx="24">
                  <c:v>1.1717630161579893</c:v>
                </c:pt>
                <c:pt idx="25">
                  <c:v>1.1797450628366246</c:v>
                </c:pt>
                <c:pt idx="26">
                  <c:v>1.00786355475763</c:v>
                </c:pt>
                <c:pt idx="27">
                  <c:v>1.0804667863554758</c:v>
                </c:pt>
                <c:pt idx="28">
                  <c:v>0.96506283662477554</c:v>
                </c:pt>
                <c:pt idx="29">
                  <c:v>0.98840215439856371</c:v>
                </c:pt>
                <c:pt idx="30">
                  <c:v>1.0141113105924595</c:v>
                </c:pt>
                <c:pt idx="31">
                  <c:v>0.95001795332136429</c:v>
                </c:pt>
                <c:pt idx="32">
                  <c:v>1.0166247755834827</c:v>
                </c:pt>
                <c:pt idx="33">
                  <c:v>1.084955116696589</c:v>
                </c:pt>
                <c:pt idx="34">
                  <c:v>1.1361220825852782</c:v>
                </c:pt>
                <c:pt idx="35">
                  <c:v>1.0359066427289048</c:v>
                </c:pt>
                <c:pt idx="36">
                  <c:v>1.1673249551166964</c:v>
                </c:pt>
                <c:pt idx="37">
                  <c:v>1.1113464991023339</c:v>
                </c:pt>
                <c:pt idx="38">
                  <c:v>1.2406463195691202</c:v>
                </c:pt>
                <c:pt idx="39">
                  <c:v>1.023052064631957</c:v>
                </c:pt>
                <c:pt idx="40">
                  <c:v>1.2301256732495511</c:v>
                </c:pt>
                <c:pt idx="41">
                  <c:v>1.1888330341113107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1A5-4C6E-8654-3D8C9EEA5FF7}"/>
            </c:ext>
          </c:extLst>
        </c:ser>
        <c:ser>
          <c:idx val="5"/>
          <c:order val="2"/>
          <c:tx>
            <c:v>UCL</c:v>
          </c:tx>
          <c:spPr>
            <a:ln>
              <a:prstDash val="dash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C00000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1-71EF-4460-BF4D-4EB5C17A7326}"/>
              </c:ext>
            </c:extLst>
          </c:dPt>
          <c:xVal>
            <c:numRef>
              <c:f>(Testosterone!$R$4,Testosterone!$T$4)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(Testosterone!$Q$11,Testosterone!$Q$11)</c:f>
              <c:numCache>
                <c:formatCode>0%</c:formatCode>
                <c:ptCount val="2"/>
                <c:pt idx="0">
                  <c:v>1.1499999999999999</c:v>
                </c:pt>
                <c:pt idx="1">
                  <c:v>1.1499999999999999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1A5-4C6E-8654-3D8C9EEA5FF7}"/>
            </c:ext>
          </c:extLst>
        </c:ser>
        <c:ser>
          <c:idx val="6"/>
          <c:order val="3"/>
          <c:tx>
            <c:v>LCL</c:v>
          </c:tx>
          <c:spPr>
            <a:ln w="25400"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chemeClr val="accent6">
                    <a:lumMod val="75000"/>
                  </a:scheme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3-71EF-4460-BF4D-4EB5C17A7326}"/>
              </c:ext>
            </c:extLst>
          </c:dPt>
          <c:xVal>
            <c:numRef>
              <c:f>(Testosterone!$R$4,Testosterone!$T$4)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42</c:v>
                </c:pt>
              </c:numCache>
            </c:numRef>
          </c:xVal>
          <c:yVal>
            <c:numRef>
              <c:f>(Testosterone!$R$11,Testosterone!$R$11)</c:f>
              <c:numCache>
                <c:formatCode>0%</c:formatCode>
                <c:ptCount val="2"/>
                <c:pt idx="0">
                  <c:v>0.8</c:v>
                </c:pt>
                <c:pt idx="1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1A5-4C6E-8654-3D8C9EEA5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catAx>
        <c:axId val="1414825479"/>
        <c:scaling>
          <c:orientation val="minMax"/>
        </c:scaling>
        <c:delete val="0"/>
        <c:axPos val="b"/>
        <c:numFmt formatCode="[$-409]d/mmm/yy;@" sourceLinked="0"/>
        <c:majorTickMark val="out"/>
        <c:minorTickMark val="out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664720785"/>
        <c:crosses val="autoZero"/>
        <c:auto val="0"/>
        <c:lblAlgn val="ctr"/>
        <c:lblOffset val="100"/>
        <c:noMultiLvlLbl val="1"/>
      </c:catAx>
      <c:valAx>
        <c:axId val="1664720785"/>
        <c:scaling>
          <c:orientation val="minMax"/>
          <c:max val="1.8"/>
          <c:min val="0.4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ACCURACY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/>
            </a:pPr>
            <a:endParaRPr lang="en-US"/>
          </a:p>
        </c:txPr>
        <c:crossAx val="1414825479"/>
        <c:crosses val="autoZero"/>
        <c:crossBetween val="between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</c:spPr>
      <c:txPr>
        <a:bodyPr anchor="ctr" anchorCtr="1"/>
        <a:lstStyle/>
        <a:p>
          <a:pPr rtl="0">
            <a:defRPr sz="1400" b="0"/>
          </a:pPr>
          <a:endParaRPr lang="en-US"/>
        </a:p>
      </c:txPr>
    </c:legend>
    <c:plotVisOnly val="1"/>
    <c:dispBlanksAs val="span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noFill/>
    </a:ln>
  </c:spPr>
  <c:txPr>
    <a:bodyPr/>
    <a:lstStyle/>
    <a:p>
      <a:pPr>
        <a:defRPr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SG">
                <a:solidFill>
                  <a:schemeClr val="accent2"/>
                </a:solidFill>
              </a:rPr>
              <a:t>HQC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041856212537431E-2"/>
          <c:y val="0.13692552474352129"/>
          <c:w val="0.85499174011352508"/>
          <c:h val="0.6503580352696221"/>
        </c:manualLayout>
      </c:layout>
      <c:lineChart>
        <c:grouping val="standard"/>
        <c:varyColors val="1"/>
        <c:ser>
          <c:idx val="4"/>
          <c:order val="6"/>
          <c:tx>
            <c:v>date</c:v>
          </c:tx>
          <c:marker>
            <c:symbol val="none"/>
          </c:marker>
          <c:cat>
            <c:numRef>
              <c:f>'17-Hydroxypregnenolone'!$R$14:$R$55</c:f>
              <c:numCache>
                <c:formatCode>yyyy/mm/dd;@</c:formatCode>
                <c:ptCount val="42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  <c:pt idx="38">
                  <c:v>46044</c:v>
                </c:pt>
                <c:pt idx="39">
                  <c:v>46065</c:v>
                </c:pt>
              </c:numCache>
            </c:numRef>
          </c:cat>
          <c:val>
            <c:numRef>
              <c:f>'17-Hydroxypregnenolone'!$R$14:$R$51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78-4F30-AC35-D3733C0EA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4825479"/>
        <c:axId val="1664720785"/>
      </c:lineChart>
      <c:scatterChart>
        <c:scatterStyle val="smoothMarker"/>
        <c:varyColors val="1"/>
        <c:ser>
          <c:idx val="3"/>
          <c:order val="1"/>
          <c:tx>
            <c:strRef>
              <c:f>'17-Hydroxypregnenolone'!$Z$10</c:f>
              <c:strCache>
                <c:ptCount val="1"/>
                <c:pt idx="0">
                  <c:v>+3SD UCL</c:v>
                </c:pt>
              </c:strCache>
            </c:strRef>
          </c:tx>
          <c:spPr>
            <a:ln>
              <a:solidFill>
                <a:srgbClr val="C00000"/>
              </a:solidFill>
              <a:prstDash val="solid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C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196-404A-8884-90A7079F23E0}"/>
              </c:ext>
            </c:extLst>
          </c:dPt>
          <c:xVal>
            <c:numRef>
              <c:f>('17-Hydroxypregnenolone'!$R$4,'17-Hydroxypregnenolone'!$T$4)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40</c:v>
                </c:pt>
              </c:numCache>
            </c:numRef>
          </c:xVal>
          <c:yVal>
            <c:numRef>
              <c:f>('17-Hydroxypregnenolone'!$Z$11,'17-Hydroxypregnenolone'!$Z$11)</c:f>
              <c:numCache>
                <c:formatCode>0.00</c:formatCode>
                <c:ptCount val="2"/>
                <c:pt idx="0">
                  <c:v>108.4896523801673</c:v>
                </c:pt>
                <c:pt idx="1">
                  <c:v>108.4896523801673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A78-4F30-AC35-D3733C0EA4CF}"/>
            </c:ext>
          </c:extLst>
        </c:ser>
        <c:ser>
          <c:idx val="1"/>
          <c:order val="5"/>
          <c:tx>
            <c:strRef>
              <c:f>'17-Hydroxypregnenolone'!$W$10</c:f>
              <c:strCache>
                <c:ptCount val="1"/>
                <c:pt idx="0">
                  <c:v>-3SD LCL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00B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8196-404A-8884-90A7079F23E0}"/>
              </c:ext>
            </c:extLst>
          </c:dPt>
          <c:xVal>
            <c:numRef>
              <c:f>('17-Hydroxypregnenolone'!$R$4,'17-Hydroxypregnenolone'!$T$4)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40</c:v>
                </c:pt>
              </c:numCache>
            </c:numRef>
          </c:xVal>
          <c:yVal>
            <c:numRef>
              <c:f>('17-Hydroxypregnenolone'!$W$11,'17-Hydroxypregnenolone'!$W$11)</c:f>
              <c:numCache>
                <c:formatCode>0.00</c:formatCode>
                <c:ptCount val="2"/>
                <c:pt idx="0">
                  <c:v>55.528952619832737</c:v>
                </c:pt>
                <c:pt idx="1">
                  <c:v>55.528952619832737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A78-4F30-AC35-D3733C0EA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scatterChart>
        <c:scatterStyle val="lineMarker"/>
        <c:varyColors val="1"/>
        <c:ser>
          <c:idx val="0"/>
          <c:order val="0"/>
          <c:tx>
            <c:v>HQC</c:v>
          </c:tx>
          <c:marker>
            <c:symbol val="circle"/>
            <c:size val="10"/>
            <c:spPr>
              <a:solidFill>
                <a:schemeClr val="tx1">
                  <a:lumMod val="50000"/>
                  <a:lumOff val="50000"/>
                </a:schemeClr>
              </a:solidFill>
              <a:ln cmpd="sng">
                <a:solidFill>
                  <a:schemeClr val="tx1"/>
                </a:solidFill>
              </a:ln>
            </c:spPr>
          </c:marker>
          <c:xVal>
            <c:strRef>
              <c:f>'17-Hydroxypregnenolone'!$P$14:$P$268</c:f>
              <c:str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strCache>
            </c:strRef>
          </c:xVal>
          <c:yVal>
            <c:numRef>
              <c:f>'17-Hydroxypregnenolone'!$U$14:$U$268</c:f>
              <c:numCache>
                <c:formatCode>0.000</c:formatCode>
                <c:ptCount val="255"/>
                <c:pt idx="0">
                  <c:v>89.442999999999998</c:v>
                </c:pt>
                <c:pt idx="1">
                  <c:v>86.244</c:v>
                </c:pt>
                <c:pt idx="2">
                  <c:v>82.123000000000005</c:v>
                </c:pt>
                <c:pt idx="3">
                  <c:v>86.846999999999994</c:v>
                </c:pt>
                <c:pt idx="4">
                  <c:v>81.623999999999995</c:v>
                </c:pt>
                <c:pt idx="5">
                  <c:v>84.787999999999997</c:v>
                </c:pt>
                <c:pt idx="6">
                  <c:v>92.337000000000003</c:v>
                </c:pt>
                <c:pt idx="7">
                  <c:v>88.369</c:v>
                </c:pt>
                <c:pt idx="8">
                  <c:v>101.75</c:v>
                </c:pt>
                <c:pt idx="9">
                  <c:v>96.022000000000006</c:v>
                </c:pt>
                <c:pt idx="10">
                  <c:v>75.186999999999998</c:v>
                </c:pt>
                <c:pt idx="11">
                  <c:v>69.540000000000006</c:v>
                </c:pt>
                <c:pt idx="12">
                  <c:v>63.639000000000003</c:v>
                </c:pt>
                <c:pt idx="13">
                  <c:v>99.813999999999993</c:v>
                </c:pt>
                <c:pt idx="14">
                  <c:v>70.427999999999997</c:v>
                </c:pt>
                <c:pt idx="15">
                  <c:v>78.628</c:v>
                </c:pt>
                <c:pt idx="16">
                  <c:v>95.713999999999999</c:v>
                </c:pt>
                <c:pt idx="17">
                  <c:v>86.99</c:v>
                </c:pt>
                <c:pt idx="18">
                  <c:v>76.605000000000004</c:v>
                </c:pt>
                <c:pt idx="19">
                  <c:v>77.722999999999999</c:v>
                </c:pt>
                <c:pt idx="20">
                  <c:v>74.856999999999999</c:v>
                </c:pt>
                <c:pt idx="21">
                  <c:v>71.168000000000006</c:v>
                </c:pt>
                <c:pt idx="22">
                  <c:v>80.721999999999994</c:v>
                </c:pt>
                <c:pt idx="23">
                  <c:v>84.869200000000006</c:v>
                </c:pt>
                <c:pt idx="24">
                  <c:v>75.329800000000006</c:v>
                </c:pt>
                <c:pt idx="25">
                  <c:v>79.344099999999997</c:v>
                </c:pt>
                <c:pt idx="26">
                  <c:v>77.674000000000007</c:v>
                </c:pt>
                <c:pt idx="27">
                  <c:v>97.813000000000002</c:v>
                </c:pt>
                <c:pt idx="28">
                  <c:v>74.254999999999995</c:v>
                </c:pt>
                <c:pt idx="29">
                  <c:v>80.671999999999997</c:v>
                </c:pt>
                <c:pt idx="30">
                  <c:v>79.222999999999999</c:v>
                </c:pt>
                <c:pt idx="31">
                  <c:v>78.152000000000001</c:v>
                </c:pt>
                <c:pt idx="32">
                  <c:v>84.022999999999996</c:v>
                </c:pt>
                <c:pt idx="33">
                  <c:v>90.686000000000007</c:v>
                </c:pt>
                <c:pt idx="34">
                  <c:v>74.272999999999996</c:v>
                </c:pt>
                <c:pt idx="35">
                  <c:v>76.893000000000001</c:v>
                </c:pt>
                <c:pt idx="36">
                  <c:v>72.114999999999995</c:v>
                </c:pt>
                <c:pt idx="37" formatCode="0.00">
                  <c:v>77.296000000000006</c:v>
                </c:pt>
                <c:pt idx="38" formatCode="0.00">
                  <c:v>89.287999999999997</c:v>
                </c:pt>
                <c:pt idx="39" formatCode="0.00">
                  <c:v>77.903999999999996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A78-4F30-AC35-D3733C0EA4CF}"/>
            </c:ext>
          </c:extLst>
        </c:ser>
        <c:ser>
          <c:idx val="5"/>
          <c:order val="2"/>
          <c:tx>
            <c:strRef>
              <c:f>'17-Hydroxypregnenolone'!$Y$10</c:f>
              <c:strCache>
                <c:ptCount val="1"/>
                <c:pt idx="0">
                  <c:v>+2SD UCL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FF0000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5-8196-404A-8884-90A7079F23E0}"/>
              </c:ext>
            </c:extLst>
          </c:dPt>
          <c:xVal>
            <c:numRef>
              <c:f>('17-Hydroxypregnenolone'!$R$4,'17-Hydroxypregnenolone'!$T$4)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40</c:v>
                </c:pt>
              </c:numCache>
            </c:numRef>
          </c:xVal>
          <c:yVal>
            <c:numRef>
              <c:f>('17-Hydroxypregnenolone'!$Y$11,'17-Hydroxypregnenolone'!$Y$11)</c:f>
              <c:numCache>
                <c:formatCode>0.00</c:formatCode>
                <c:ptCount val="2"/>
                <c:pt idx="0">
                  <c:v>99.662869086778201</c:v>
                </c:pt>
                <c:pt idx="1">
                  <c:v>99.662869086778201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1A78-4F30-AC35-D3733C0EA4CF}"/>
            </c:ext>
          </c:extLst>
        </c:ser>
        <c:ser>
          <c:idx val="2"/>
          <c:order val="3"/>
          <c:tx>
            <c:v>Mean</c:v>
          </c:tx>
          <c:spPr>
            <a:ln>
              <a:solidFill>
                <a:schemeClr val="accent1"/>
              </a:solidFill>
              <a:prstDash val="sysDash"/>
            </a:ln>
          </c:spPr>
          <c:dPt>
            <c:idx val="0"/>
            <c:marker>
              <c:symbol val="none"/>
            </c:marker>
            <c:bubble3D val="0"/>
            <c:spPr>
              <a:ln w="28575">
                <a:solidFill>
                  <a:schemeClr val="accent1"/>
                </a:solidFill>
                <a:prstDash val="sysDot"/>
              </a:ln>
            </c:spPr>
            <c:extLst>
              <c:ext xmlns:c16="http://schemas.microsoft.com/office/drawing/2014/chart" uri="{C3380CC4-5D6E-409C-BE32-E72D297353CC}">
                <c16:uniqueId val="{00000007-8196-404A-8884-90A7079F23E0}"/>
              </c:ext>
            </c:extLst>
          </c:dPt>
          <c:xVal>
            <c:numRef>
              <c:f>('17-Hydroxypregnenolone'!$R$4,'17-Hydroxypregnenolone'!$T$4)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40</c:v>
                </c:pt>
              </c:numCache>
            </c:numRef>
          </c:xVal>
          <c:yVal>
            <c:numRef>
              <c:f>('17-Hydroxypregnenolone'!$U$11,'17-Hydroxypregnenolone'!$U$11)</c:f>
              <c:numCache>
                <c:formatCode>0.00</c:formatCode>
                <c:ptCount val="2"/>
                <c:pt idx="0">
                  <c:v>82.009302500000018</c:v>
                </c:pt>
                <c:pt idx="1">
                  <c:v>82.009302500000018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1A78-4F30-AC35-D3733C0EA4CF}"/>
            </c:ext>
          </c:extLst>
        </c:ser>
        <c:ser>
          <c:idx val="6"/>
          <c:order val="4"/>
          <c:tx>
            <c:strRef>
              <c:f>'17-Hydroxypregnenolone'!$X$10</c:f>
              <c:strCache>
                <c:ptCount val="1"/>
                <c:pt idx="0">
                  <c:v>-2SD LCL</c:v>
                </c:pt>
              </c:strCache>
            </c:strRef>
          </c:tx>
          <c:spPr>
            <a:ln w="25400">
              <a:solidFill>
                <a:schemeClr val="accent6">
                  <a:lumMod val="60000"/>
                  <a:lumOff val="40000"/>
                </a:schemeClr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chemeClr val="accent6">
                    <a:lumMod val="60000"/>
                    <a:lumOff val="40000"/>
                  </a:scheme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9-8196-404A-8884-90A7079F23E0}"/>
              </c:ext>
            </c:extLst>
          </c:dPt>
          <c:xVal>
            <c:numRef>
              <c:f>('17-Hydroxypregnenolone'!$R$4,'17-Hydroxypregnenolone'!$T$4)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40</c:v>
                </c:pt>
              </c:numCache>
            </c:numRef>
          </c:xVal>
          <c:yVal>
            <c:numRef>
              <c:f>('17-Hydroxypregnenolone'!$X$11,'17-Hydroxypregnenolone'!$X$11)</c:f>
              <c:numCache>
                <c:formatCode>0.00</c:formatCode>
                <c:ptCount val="2"/>
                <c:pt idx="0">
                  <c:v>64.355735913221835</c:v>
                </c:pt>
                <c:pt idx="1">
                  <c:v>64.355735913221835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1A78-4F30-AC35-D3733C0EA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catAx>
        <c:axId val="1414825479"/>
        <c:scaling>
          <c:orientation val="minMax"/>
        </c:scaling>
        <c:delete val="0"/>
        <c:axPos val="b"/>
        <c:numFmt formatCode="[$-409]d/mmm/yy;@" sourceLinked="0"/>
        <c:majorTickMark val="out"/>
        <c:minorTickMark val="out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664720785"/>
        <c:crosses val="autoZero"/>
        <c:auto val="0"/>
        <c:lblAlgn val="ctr"/>
        <c:lblOffset val="100"/>
        <c:noMultiLvlLbl val="1"/>
      </c:catAx>
      <c:valAx>
        <c:axId val="1664720785"/>
        <c:scaling>
          <c:orientation val="minMax"/>
          <c:max val="12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HQC [nmol/L]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/>
        </c:spPr>
        <c:crossAx val="1414825479"/>
        <c:crosses val="autoZero"/>
        <c:crossBetween val="between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</c:spPr>
      <c:txPr>
        <a:bodyPr anchor="ctr" anchorCtr="1"/>
        <a:lstStyle/>
        <a:p>
          <a:pPr rtl="0">
            <a:defRPr sz="1200"/>
          </a:pPr>
          <a:endParaRPr lang="en-US"/>
        </a:p>
      </c:txPr>
    </c:legend>
    <c:plotVisOnly val="1"/>
    <c:dispBlanksAs val="span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noFill/>
    </a:ln>
  </c:spPr>
  <c:txPr>
    <a:bodyPr/>
    <a:lstStyle/>
    <a:p>
      <a:pPr>
        <a:defRPr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SG">
                <a:solidFill>
                  <a:schemeClr val="accent6"/>
                </a:solidFill>
              </a:rPr>
              <a:t>LQC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041856212537431E-2"/>
          <c:y val="0.13692552474352129"/>
          <c:w val="0.85499174011352508"/>
          <c:h val="0.6503580352696221"/>
        </c:manualLayout>
      </c:layout>
      <c:lineChart>
        <c:grouping val="standard"/>
        <c:varyColors val="1"/>
        <c:ser>
          <c:idx val="4"/>
          <c:order val="6"/>
          <c:tx>
            <c:v>date</c:v>
          </c:tx>
          <c:marker>
            <c:symbol val="none"/>
          </c:marker>
          <c:cat>
            <c:numRef>
              <c:f>'17-Hydroxypregnenolone'!$R$14:$R$55</c:f>
              <c:numCache>
                <c:formatCode>yyyy/mm/dd;@</c:formatCode>
                <c:ptCount val="42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  <c:pt idx="38">
                  <c:v>46044</c:v>
                </c:pt>
                <c:pt idx="39">
                  <c:v>46065</c:v>
                </c:pt>
              </c:numCache>
            </c:numRef>
          </c:cat>
          <c:val>
            <c:numRef>
              <c:f>'17-Hydroxypregnenolone'!$R$14:$R$51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A3-4C40-B29C-29D29A227F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4825479"/>
        <c:axId val="1664720785"/>
      </c:lineChart>
      <c:scatterChart>
        <c:scatterStyle val="smoothMarker"/>
        <c:varyColors val="1"/>
        <c:ser>
          <c:idx val="3"/>
          <c:order val="1"/>
          <c:tx>
            <c:strRef>
              <c:f>'17-Hydroxypregnenolone'!$AH$10</c:f>
              <c:strCache>
                <c:ptCount val="1"/>
                <c:pt idx="0">
                  <c:v>+3SD UCL</c:v>
                </c:pt>
              </c:strCache>
            </c:strRef>
          </c:tx>
          <c:spPr>
            <a:ln>
              <a:solidFill>
                <a:srgbClr val="C00000"/>
              </a:solidFill>
              <a:prstDash val="solid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C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5BE-4970-A34E-635D2F5FF288}"/>
              </c:ext>
            </c:extLst>
          </c:dPt>
          <c:xVal>
            <c:numRef>
              <c:f>('17-Hydroxypregnenolone'!$R$4,'17-Hydroxypregnenolone'!$T$4)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40</c:v>
                </c:pt>
              </c:numCache>
            </c:numRef>
          </c:xVal>
          <c:yVal>
            <c:numRef>
              <c:f>('17-Hydroxypregnenolone'!$AH$11,'17-Hydroxypregnenolone'!$AH$11)</c:f>
              <c:numCache>
                <c:formatCode>0.00</c:formatCode>
                <c:ptCount val="2"/>
                <c:pt idx="0">
                  <c:v>5.947481399650715</c:v>
                </c:pt>
                <c:pt idx="1">
                  <c:v>5.947481399650715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DA3-4C40-B29C-29D29A227FB9}"/>
            </c:ext>
          </c:extLst>
        </c:ser>
        <c:ser>
          <c:idx val="1"/>
          <c:order val="2"/>
          <c:tx>
            <c:strRef>
              <c:f>'17-Hydroxypregnenolone'!$AG$10</c:f>
              <c:strCache>
                <c:ptCount val="1"/>
                <c:pt idx="0">
                  <c:v>+2SD UCL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00B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E5BE-4970-A34E-635D2F5FF288}"/>
              </c:ext>
            </c:extLst>
          </c:dPt>
          <c:xVal>
            <c:numRef>
              <c:f>('17-Hydroxypregnenolone'!$R$4,'17-Hydroxypregnenolone'!$T$4)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40</c:v>
                </c:pt>
              </c:numCache>
            </c:numRef>
          </c:xVal>
          <c:yVal>
            <c:numRef>
              <c:f>('17-Hydroxypregnenolone'!$AG$11,'17-Hydroxypregnenolone'!$AG$11)</c:f>
              <c:numCache>
                <c:formatCode>0.00</c:formatCode>
                <c:ptCount val="2"/>
                <c:pt idx="0">
                  <c:v>5.4021042664338106</c:v>
                </c:pt>
                <c:pt idx="1">
                  <c:v>5.4021042664338106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DA3-4C40-B29C-29D29A227F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scatterChart>
        <c:scatterStyle val="lineMarker"/>
        <c:varyColors val="1"/>
        <c:ser>
          <c:idx val="0"/>
          <c:order val="0"/>
          <c:tx>
            <c:v>LQC</c:v>
          </c:tx>
          <c:marker>
            <c:symbol val="circle"/>
            <c:size val="10"/>
            <c:spPr>
              <a:solidFill>
                <a:schemeClr val="tx1">
                  <a:lumMod val="50000"/>
                  <a:lumOff val="50000"/>
                </a:schemeClr>
              </a:solidFill>
              <a:ln cmpd="sng">
                <a:solidFill>
                  <a:schemeClr val="tx1"/>
                </a:solidFill>
              </a:ln>
            </c:spPr>
          </c:marker>
          <c:xVal>
            <c:strRef>
              <c:f>'17-Hydroxypregnenolone'!$P$14:$P$268</c:f>
              <c:str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strCache>
            </c:strRef>
          </c:xVal>
          <c:yVal>
            <c:numRef>
              <c:f>'17-Hydroxypregnenolone'!$AC$14:$AC$268</c:f>
              <c:numCache>
                <c:formatCode>0.000</c:formatCode>
                <c:ptCount val="255"/>
                <c:pt idx="0">
                  <c:v>3.3759999999999999</c:v>
                </c:pt>
                <c:pt idx="1">
                  <c:v>4.4720000000000004</c:v>
                </c:pt>
                <c:pt idx="2">
                  <c:v>3.83</c:v>
                </c:pt>
                <c:pt idx="3">
                  <c:v>3.585</c:v>
                </c:pt>
                <c:pt idx="4">
                  <c:v>3.5960000000000001</c:v>
                </c:pt>
                <c:pt idx="5">
                  <c:v>4.0279999999999996</c:v>
                </c:pt>
                <c:pt idx="6">
                  <c:v>4.5960000000000001</c:v>
                </c:pt>
                <c:pt idx="7">
                  <c:v>4.2759999999999998</c:v>
                </c:pt>
                <c:pt idx="8">
                  <c:v>4.343</c:v>
                </c:pt>
                <c:pt idx="9">
                  <c:v>5.7039999999999997</c:v>
                </c:pt>
                <c:pt idx="10">
                  <c:v>4.59</c:v>
                </c:pt>
                <c:pt idx="11">
                  <c:v>3.5529999999999999</c:v>
                </c:pt>
                <c:pt idx="12">
                  <c:v>4.3259999999999996</c:v>
                </c:pt>
                <c:pt idx="13">
                  <c:v>4.4160000000000004</c:v>
                </c:pt>
                <c:pt idx="14">
                  <c:v>5.2169999999999996</c:v>
                </c:pt>
                <c:pt idx="15">
                  <c:v>5.0650000000000004</c:v>
                </c:pt>
                <c:pt idx="16">
                  <c:v>5.798</c:v>
                </c:pt>
                <c:pt idx="17">
                  <c:v>4.7839999999999998</c:v>
                </c:pt>
                <c:pt idx="18">
                  <c:v>3.6829999999999998</c:v>
                </c:pt>
                <c:pt idx="19">
                  <c:v>4.7489999999999997</c:v>
                </c:pt>
                <c:pt idx="20">
                  <c:v>3.6640000000000001</c:v>
                </c:pt>
                <c:pt idx="21">
                  <c:v>4.0010000000000003</c:v>
                </c:pt>
                <c:pt idx="22">
                  <c:v>4.0994999999999999</c:v>
                </c:pt>
                <c:pt idx="23">
                  <c:v>3.9308000000000001</c:v>
                </c:pt>
                <c:pt idx="24">
                  <c:v>4.1849999999999996</c:v>
                </c:pt>
                <c:pt idx="25">
                  <c:v>4.1957000000000004</c:v>
                </c:pt>
                <c:pt idx="26">
                  <c:v>4.6429999999999998</c:v>
                </c:pt>
                <c:pt idx="27">
                  <c:v>5.069</c:v>
                </c:pt>
                <c:pt idx="28">
                  <c:v>4.0090000000000003</c:v>
                </c:pt>
                <c:pt idx="29">
                  <c:v>4.2190000000000003</c:v>
                </c:pt>
                <c:pt idx="30">
                  <c:v>4.4909999999999997</c:v>
                </c:pt>
                <c:pt idx="31">
                  <c:v>4.2919999999999998</c:v>
                </c:pt>
                <c:pt idx="32">
                  <c:v>4.5629999999999997</c:v>
                </c:pt>
                <c:pt idx="33">
                  <c:v>4.0140000000000002</c:v>
                </c:pt>
                <c:pt idx="34">
                  <c:v>3.7330000000000001</c:v>
                </c:pt>
                <c:pt idx="35">
                  <c:v>3.9129999999999998</c:v>
                </c:pt>
                <c:pt idx="36">
                  <c:v>4.4640000000000004</c:v>
                </c:pt>
                <c:pt idx="37">
                  <c:v>4.4029999999999996</c:v>
                </c:pt>
                <c:pt idx="38">
                  <c:v>4.4000000000000004</c:v>
                </c:pt>
                <c:pt idx="39" formatCode="0.00">
                  <c:v>4.1779999999999999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DA3-4C40-B29C-29D29A227FB9}"/>
            </c:ext>
          </c:extLst>
        </c:ser>
        <c:ser>
          <c:idx val="2"/>
          <c:order val="3"/>
          <c:tx>
            <c:v>Mean</c:v>
          </c:tx>
          <c:spPr>
            <a:ln>
              <a:solidFill>
                <a:schemeClr val="accent1"/>
              </a:solidFill>
              <a:prstDash val="sysDash"/>
            </a:ln>
          </c:spPr>
          <c:dPt>
            <c:idx val="0"/>
            <c:marker>
              <c:symbol val="none"/>
            </c:marker>
            <c:bubble3D val="0"/>
            <c:spPr>
              <a:ln w="28575">
                <a:solidFill>
                  <a:schemeClr val="accent1"/>
                </a:solidFill>
                <a:prstDash val="sysDot"/>
              </a:ln>
            </c:spPr>
            <c:extLst>
              <c:ext xmlns:c16="http://schemas.microsoft.com/office/drawing/2014/chart" uri="{C3380CC4-5D6E-409C-BE32-E72D297353CC}">
                <c16:uniqueId val="{00000005-E5BE-4970-A34E-635D2F5FF288}"/>
              </c:ext>
            </c:extLst>
          </c:dPt>
          <c:xVal>
            <c:numRef>
              <c:f>('17-Hydroxypregnenolone'!$R$4,'17-Hydroxypregnenolone'!$T$4)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40</c:v>
                </c:pt>
              </c:numCache>
            </c:numRef>
          </c:xVal>
          <c:yVal>
            <c:numRef>
              <c:f>('17-Hydroxypregnenolone'!$AC$11,'17-Hydroxypregnenolone'!$AC$11)</c:f>
              <c:numCache>
                <c:formatCode>0.00</c:formatCode>
                <c:ptCount val="2"/>
                <c:pt idx="0">
                  <c:v>4.3113500000000009</c:v>
                </c:pt>
                <c:pt idx="1">
                  <c:v>4.3113500000000009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DA3-4C40-B29C-29D29A227FB9}"/>
            </c:ext>
          </c:extLst>
        </c:ser>
        <c:ser>
          <c:idx val="6"/>
          <c:order val="4"/>
          <c:tx>
            <c:strRef>
              <c:f>'17-Hydroxypregnenolone'!$AF$10</c:f>
              <c:strCache>
                <c:ptCount val="1"/>
                <c:pt idx="0">
                  <c:v>-2SD LCL</c:v>
                </c:pt>
              </c:strCache>
            </c:strRef>
          </c:tx>
          <c:spPr>
            <a:ln w="25400">
              <a:solidFill>
                <a:schemeClr val="accent6">
                  <a:lumMod val="60000"/>
                  <a:lumOff val="40000"/>
                </a:schemeClr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chemeClr val="accent6">
                    <a:lumMod val="60000"/>
                    <a:lumOff val="40000"/>
                  </a:scheme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7-E5BE-4970-A34E-635D2F5FF288}"/>
              </c:ext>
            </c:extLst>
          </c:dPt>
          <c:xVal>
            <c:numRef>
              <c:f>('17-Hydroxypregnenolone'!$R$4,'17-Hydroxypregnenolone'!$T$4)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40</c:v>
                </c:pt>
              </c:numCache>
            </c:numRef>
          </c:xVal>
          <c:yVal>
            <c:numRef>
              <c:f>('17-Hydroxypregnenolone'!$AF$11,'17-Hydroxypregnenolone'!$AF$11)</c:f>
              <c:numCache>
                <c:formatCode>0.00</c:formatCode>
                <c:ptCount val="2"/>
                <c:pt idx="0">
                  <c:v>3.2205957335661912</c:v>
                </c:pt>
                <c:pt idx="1">
                  <c:v>3.2205957335661912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DA3-4C40-B29C-29D29A227FB9}"/>
            </c:ext>
          </c:extLst>
        </c:ser>
        <c:ser>
          <c:idx val="5"/>
          <c:order val="5"/>
          <c:tx>
            <c:strRef>
              <c:f>'17-Hydroxypregnenolone'!$AE$10</c:f>
              <c:strCache>
                <c:ptCount val="1"/>
                <c:pt idx="0">
                  <c:v>-3SD LCL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FF0000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9-E5BE-4970-A34E-635D2F5FF288}"/>
              </c:ext>
            </c:extLst>
          </c:dPt>
          <c:xVal>
            <c:numRef>
              <c:f>('17-Hydroxypregnenolone'!$R$4,'17-Hydroxypregnenolone'!$T$4)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40</c:v>
                </c:pt>
              </c:numCache>
            </c:numRef>
          </c:xVal>
          <c:yVal>
            <c:numRef>
              <c:f>('17-Hydroxypregnenolone'!$AE$11,'17-Hydroxypregnenolone'!$AE$11)</c:f>
              <c:numCache>
                <c:formatCode>0.00</c:formatCode>
                <c:ptCount val="2"/>
                <c:pt idx="0">
                  <c:v>2.6752186003492868</c:v>
                </c:pt>
                <c:pt idx="1">
                  <c:v>2.6752186003492868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DA3-4C40-B29C-29D29A227F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catAx>
        <c:axId val="1414825479"/>
        <c:scaling>
          <c:orientation val="minMax"/>
        </c:scaling>
        <c:delete val="0"/>
        <c:axPos val="b"/>
        <c:numFmt formatCode="[$-409]d/mmm/yy;@" sourceLinked="0"/>
        <c:majorTickMark val="out"/>
        <c:minorTickMark val="out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664720785"/>
        <c:crosses val="autoZero"/>
        <c:auto val="0"/>
        <c:lblAlgn val="ctr"/>
        <c:lblOffset val="100"/>
        <c:noMultiLvlLbl val="1"/>
      </c:catAx>
      <c:valAx>
        <c:axId val="1664720785"/>
        <c:scaling>
          <c:orientation val="minMax"/>
          <c:max val="7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200">
                    <a:solidFill>
                      <a:schemeClr val="accent6"/>
                    </a:solidFill>
                  </a:rPr>
                  <a:t>LQC [nmol/L]</a:t>
                </a:r>
              </a:p>
            </c:rich>
          </c:tx>
          <c:layout>
            <c:manualLayout>
              <c:xMode val="edge"/>
              <c:yMode val="edge"/>
              <c:x val="1.2907702223661067E-2"/>
              <c:y val="0.40450724699866752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/>
        </c:spPr>
        <c:crossAx val="1414825479"/>
        <c:crosses val="autoZero"/>
        <c:crossBetween val="between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</c:spPr>
      <c:txPr>
        <a:bodyPr anchor="ctr" anchorCtr="1"/>
        <a:lstStyle/>
        <a:p>
          <a:pPr rtl="0">
            <a:defRPr sz="1200"/>
          </a:pPr>
          <a:endParaRPr lang="en-US"/>
        </a:p>
      </c:txPr>
    </c:legend>
    <c:plotVisOnly val="1"/>
    <c:dispBlanksAs val="span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noFill/>
    </a:ln>
  </c:spPr>
  <c:txPr>
    <a:bodyPr/>
    <a:lstStyle/>
    <a:p>
      <a:pPr>
        <a:defRPr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SG">
                <a:solidFill>
                  <a:sysClr val="windowText" lastClr="000000"/>
                </a:solidFill>
              </a:rPr>
              <a:t>ACCURACY</a:t>
            </a:r>
          </a:p>
        </c:rich>
      </c:tx>
      <c:overlay val="0"/>
      <c:spPr>
        <a:noFill/>
      </c:spPr>
    </c:title>
    <c:autoTitleDeleted val="0"/>
    <c:plotArea>
      <c:layout>
        <c:manualLayout>
          <c:layoutTarget val="inner"/>
          <c:xMode val="edge"/>
          <c:yMode val="edge"/>
          <c:x val="9.7388134921387773E-2"/>
          <c:y val="0.12595373243973218"/>
          <c:w val="0.85499174011352508"/>
          <c:h val="0.6503580352696221"/>
        </c:manualLayout>
      </c:layout>
      <c:lineChart>
        <c:grouping val="standard"/>
        <c:varyColors val="1"/>
        <c:ser>
          <c:idx val="4"/>
          <c:order val="4"/>
          <c:tx>
            <c:v>date</c:v>
          </c:tx>
          <c:marker>
            <c:symbol val="none"/>
          </c:marker>
          <c:cat>
            <c:numRef>
              <c:f>'17-Hydroxypregnenolone'!$R$14:$R$51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</c:numCache>
            </c:numRef>
          </c:cat>
          <c:val>
            <c:numRef>
              <c:f>'17-Hydroxypregnenolone'!$R$14:$R$51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A4-4734-8AC8-26D83546BC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4825479"/>
        <c:axId val="1664720785"/>
      </c:lineChart>
      <c:scatterChart>
        <c:scatterStyle val="lineMarker"/>
        <c:varyColors val="1"/>
        <c:ser>
          <c:idx val="1"/>
          <c:order val="0"/>
          <c:tx>
            <c:v>LQC Acc</c:v>
          </c:tx>
          <c:spPr>
            <a:ln>
              <a:solidFill>
                <a:schemeClr val="accent6">
                  <a:lumMod val="50000"/>
                </a:schemeClr>
              </a:solidFill>
            </a:ln>
          </c:spPr>
          <c:marker>
            <c:symbol val="circle"/>
            <c:size val="10"/>
            <c:spPr>
              <a:solidFill>
                <a:schemeClr val="accent6"/>
              </a:solidFill>
              <a:ln>
                <a:solidFill>
                  <a:schemeClr val="accent6"/>
                </a:solidFill>
              </a:ln>
            </c:spPr>
          </c:marker>
          <c:xVal>
            <c:strRef>
              <c:f>'17-Hydroxypregnenolone'!$P$14:$P$268</c:f>
              <c:str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strCache>
            </c:strRef>
          </c:xVal>
          <c:yVal>
            <c:numRef>
              <c:f>'17-Hydroxypregnenolone'!$AH$14:$AH$268</c:f>
              <c:numCache>
                <c:formatCode>0.0%</c:formatCode>
                <c:ptCount val="255"/>
                <c:pt idx="0">
                  <c:v>0.79435294117647059</c:v>
                </c:pt>
                <c:pt idx="1">
                  <c:v>1.0522352941176472</c:v>
                </c:pt>
                <c:pt idx="2">
                  <c:v>0.90117647058823536</c:v>
                </c:pt>
                <c:pt idx="3">
                  <c:v>0.84352941176470586</c:v>
                </c:pt>
                <c:pt idx="4">
                  <c:v>0.84611764705882353</c:v>
                </c:pt>
                <c:pt idx="5">
                  <c:v>0.94776470588235284</c:v>
                </c:pt>
                <c:pt idx="6">
                  <c:v>1.0814117647058823</c:v>
                </c:pt>
                <c:pt idx="7">
                  <c:v>1.0061176470588236</c:v>
                </c:pt>
                <c:pt idx="8">
                  <c:v>1.0218823529411765</c:v>
                </c:pt>
                <c:pt idx="9">
                  <c:v>1.3421176470588234</c:v>
                </c:pt>
                <c:pt idx="10">
                  <c:v>1.08</c:v>
                </c:pt>
                <c:pt idx="11">
                  <c:v>0.83599999999999997</c:v>
                </c:pt>
                <c:pt idx="12">
                  <c:v>1.0178823529411765</c:v>
                </c:pt>
                <c:pt idx="13">
                  <c:v>1.0390588235294118</c:v>
                </c:pt>
                <c:pt idx="14">
                  <c:v>1.2275294117647058</c:v>
                </c:pt>
                <c:pt idx="15">
                  <c:v>1.1917647058823531</c:v>
                </c:pt>
                <c:pt idx="16">
                  <c:v>1.364235294117647</c:v>
                </c:pt>
                <c:pt idx="17">
                  <c:v>1.1256470588235294</c:v>
                </c:pt>
                <c:pt idx="18">
                  <c:v>0.86658823529411766</c:v>
                </c:pt>
                <c:pt idx="19">
                  <c:v>1.1174117647058823</c:v>
                </c:pt>
                <c:pt idx="20">
                  <c:v>0.8289592760180996</c:v>
                </c:pt>
                <c:pt idx="21">
                  <c:v>0.90520361990950238</c:v>
                </c:pt>
                <c:pt idx="22">
                  <c:v>0.92748868778280547</c:v>
                </c:pt>
                <c:pt idx="23">
                  <c:v>0.88932126696832581</c:v>
                </c:pt>
                <c:pt idx="24">
                  <c:v>0.94683257918552033</c:v>
                </c:pt>
                <c:pt idx="25">
                  <c:v>0.94925339366515848</c:v>
                </c:pt>
                <c:pt idx="26">
                  <c:v>1.0504524886877828</c:v>
                </c:pt>
                <c:pt idx="27">
                  <c:v>1.1468325791855203</c:v>
                </c:pt>
                <c:pt idx="28">
                  <c:v>0.90701357466063359</c:v>
                </c:pt>
                <c:pt idx="29">
                  <c:v>0.9545248868778281</c:v>
                </c:pt>
                <c:pt idx="30">
                  <c:v>1.0160633484162895</c:v>
                </c:pt>
                <c:pt idx="31">
                  <c:v>0.97104072398190044</c:v>
                </c:pt>
                <c:pt idx="32">
                  <c:v>1.0323529411764705</c:v>
                </c:pt>
                <c:pt idx="33">
                  <c:v>0.9081447963800906</c:v>
                </c:pt>
                <c:pt idx="34">
                  <c:v>0.84457013574660633</c:v>
                </c:pt>
                <c:pt idx="35">
                  <c:v>0.88529411764705879</c:v>
                </c:pt>
                <c:pt idx="36">
                  <c:v>1.0099547511312219</c:v>
                </c:pt>
                <c:pt idx="37">
                  <c:v>0.99615384615384606</c:v>
                </c:pt>
                <c:pt idx="38">
                  <c:v>0.99547511312217207</c:v>
                </c:pt>
                <c:pt idx="39">
                  <c:v>0.94524886877828052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A4-4734-8AC8-26D83546BC8E}"/>
            </c:ext>
          </c:extLst>
        </c:ser>
        <c:ser>
          <c:idx val="0"/>
          <c:order val="1"/>
          <c:tx>
            <c:v>HQC Acc.</c:v>
          </c:tx>
          <c:spPr>
            <a:ln>
              <a:solidFill>
                <a:schemeClr val="accent2">
                  <a:lumMod val="50000"/>
                </a:schemeClr>
              </a:solidFill>
            </a:ln>
          </c:spPr>
          <c:marker>
            <c:symbol val="circle"/>
            <c:size val="10"/>
            <c:spPr>
              <a:solidFill>
                <a:srgbClr val="FFC000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'17-Hydroxypregnenolone'!$P$14:$P$51</c:f>
              <c:numCache>
                <c:formatCode>0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xVal>
          <c:yVal>
            <c:numRef>
              <c:f>'17-Hydroxypregnenolone'!$Z$14:$Z$50</c:f>
              <c:numCache>
                <c:formatCode>0.0%</c:formatCode>
                <c:ptCount val="37"/>
                <c:pt idx="0">
                  <c:v>1.1152493765586033</c:v>
                </c:pt>
                <c:pt idx="1">
                  <c:v>1.0753615960099749</c:v>
                </c:pt>
                <c:pt idx="2">
                  <c:v>1.0239775561097257</c:v>
                </c:pt>
                <c:pt idx="3">
                  <c:v>1.0828802992518702</c:v>
                </c:pt>
                <c:pt idx="4">
                  <c:v>1.0177556109725685</c:v>
                </c:pt>
                <c:pt idx="5">
                  <c:v>1.0572069825436408</c:v>
                </c:pt>
                <c:pt idx="6">
                  <c:v>1.1513341645885287</c:v>
                </c:pt>
                <c:pt idx="7">
                  <c:v>1.1018578553615959</c:v>
                </c:pt>
                <c:pt idx="8">
                  <c:v>1.2687032418952617</c:v>
                </c:pt>
                <c:pt idx="9">
                  <c:v>1.197281795511222</c:v>
                </c:pt>
                <c:pt idx="10">
                  <c:v>0.93749376558603481</c:v>
                </c:pt>
                <c:pt idx="11">
                  <c:v>0.86708229426433925</c:v>
                </c:pt>
                <c:pt idx="12">
                  <c:v>0.79350374064837903</c:v>
                </c:pt>
                <c:pt idx="13">
                  <c:v>1.2445635910224437</c:v>
                </c:pt>
                <c:pt idx="14">
                  <c:v>0.87815461346633406</c:v>
                </c:pt>
                <c:pt idx="15">
                  <c:v>0.98039900249376555</c:v>
                </c:pt>
                <c:pt idx="16">
                  <c:v>1.193441396508728</c:v>
                </c:pt>
                <c:pt idx="17">
                  <c:v>1.0846633416458853</c:v>
                </c:pt>
                <c:pt idx="18">
                  <c:v>0.95517456359102249</c:v>
                </c:pt>
                <c:pt idx="19">
                  <c:v>0.96911471321695752</c:v>
                </c:pt>
                <c:pt idx="20">
                  <c:v>0.91066909975669097</c:v>
                </c:pt>
                <c:pt idx="21">
                  <c:v>0.86579075425790764</c:v>
                </c:pt>
                <c:pt idx="22">
                  <c:v>0.98201946472019452</c:v>
                </c:pt>
                <c:pt idx="23">
                  <c:v>1.0324720194647203</c:v>
                </c:pt>
                <c:pt idx="24">
                  <c:v>0.91642092457420932</c:v>
                </c:pt>
                <c:pt idx="25">
                  <c:v>0.96525669099756684</c:v>
                </c:pt>
                <c:pt idx="26">
                  <c:v>0.94493917274939176</c:v>
                </c:pt>
                <c:pt idx="27">
                  <c:v>1.1899391727493918</c:v>
                </c:pt>
                <c:pt idx="28">
                  <c:v>0.90334549878345494</c:v>
                </c:pt>
                <c:pt idx="29">
                  <c:v>0.98141119221411188</c:v>
                </c:pt>
                <c:pt idx="30">
                  <c:v>0.96378345498783446</c:v>
                </c:pt>
                <c:pt idx="31">
                  <c:v>0.95075425790754253</c:v>
                </c:pt>
                <c:pt idx="32">
                  <c:v>1.0221776155717761</c:v>
                </c:pt>
                <c:pt idx="33">
                  <c:v>1.1032360097323601</c:v>
                </c:pt>
                <c:pt idx="34">
                  <c:v>0.90356447688564467</c:v>
                </c:pt>
                <c:pt idx="35">
                  <c:v>0.93543795620437953</c:v>
                </c:pt>
                <c:pt idx="36">
                  <c:v>0.8773114355231143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3A4-4734-8AC8-26D83546BC8E}"/>
            </c:ext>
          </c:extLst>
        </c:ser>
        <c:ser>
          <c:idx val="5"/>
          <c:order val="2"/>
          <c:tx>
            <c:v>UCL</c:v>
          </c:tx>
          <c:spPr>
            <a:ln>
              <a:prstDash val="dash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C00000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1-5793-4693-BBF0-08C3AB72AE82}"/>
              </c:ext>
            </c:extLst>
          </c:dPt>
          <c:xVal>
            <c:numRef>
              <c:f>('17-Hydroxypregnenolone'!$R$4,'17-Hydroxypregnenolone'!$T$4)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40</c:v>
                </c:pt>
              </c:numCache>
            </c:numRef>
          </c:xVal>
          <c:yVal>
            <c:numRef>
              <c:f>('17-Hydroxypregnenolone'!$Q$11,'17-Hydroxypregnenolone'!$Q$11)</c:f>
              <c:numCache>
                <c:formatCode>0%</c:formatCode>
                <c:ptCount val="2"/>
                <c:pt idx="0">
                  <c:v>1.1499999999999999</c:v>
                </c:pt>
                <c:pt idx="1">
                  <c:v>1.1499999999999999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3A4-4734-8AC8-26D83546BC8E}"/>
            </c:ext>
          </c:extLst>
        </c:ser>
        <c:ser>
          <c:idx val="6"/>
          <c:order val="3"/>
          <c:tx>
            <c:v>LCL</c:v>
          </c:tx>
          <c:spPr>
            <a:ln w="25400"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chemeClr val="accent6">
                    <a:lumMod val="75000"/>
                  </a:scheme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3-5793-4693-BBF0-08C3AB72AE82}"/>
              </c:ext>
            </c:extLst>
          </c:dPt>
          <c:xVal>
            <c:numRef>
              <c:f>('17-Hydroxypregnenolone'!$R$4,'17-Hydroxypregnenolone'!$T$4)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40</c:v>
                </c:pt>
              </c:numCache>
            </c:numRef>
          </c:xVal>
          <c:yVal>
            <c:numRef>
              <c:f>('17-Hydroxypregnenolone'!$R$11,'17-Hydroxypregnenolone'!$R$11)</c:f>
              <c:numCache>
                <c:formatCode>0%</c:formatCode>
                <c:ptCount val="2"/>
                <c:pt idx="0">
                  <c:v>0.8</c:v>
                </c:pt>
                <c:pt idx="1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3A4-4734-8AC8-26D83546BC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catAx>
        <c:axId val="1414825479"/>
        <c:scaling>
          <c:orientation val="minMax"/>
        </c:scaling>
        <c:delete val="0"/>
        <c:axPos val="b"/>
        <c:numFmt formatCode="[$-409]d/mmm/yy;@" sourceLinked="0"/>
        <c:majorTickMark val="out"/>
        <c:minorTickMark val="out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664720785"/>
        <c:crosses val="autoZero"/>
        <c:auto val="0"/>
        <c:lblAlgn val="ctr"/>
        <c:lblOffset val="100"/>
        <c:noMultiLvlLbl val="1"/>
      </c:catAx>
      <c:valAx>
        <c:axId val="1664720785"/>
        <c:scaling>
          <c:orientation val="minMax"/>
          <c:max val="1.8"/>
          <c:min val="0.4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ACCURACY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/>
            </a:pPr>
            <a:endParaRPr lang="en-US"/>
          </a:p>
        </c:txPr>
        <c:crossAx val="1414825479"/>
        <c:crosses val="autoZero"/>
        <c:crossBetween val="between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</c:spPr>
      <c:txPr>
        <a:bodyPr anchor="ctr" anchorCtr="1"/>
        <a:lstStyle/>
        <a:p>
          <a:pPr rtl="0">
            <a:defRPr sz="1400" b="0"/>
          </a:pPr>
          <a:endParaRPr lang="en-US"/>
        </a:p>
      </c:txPr>
    </c:legend>
    <c:plotVisOnly val="1"/>
    <c:dispBlanksAs val="span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noFill/>
    </a:ln>
  </c:spPr>
  <c:txPr>
    <a:bodyPr/>
    <a:lstStyle/>
    <a:p>
      <a:pPr>
        <a:defRPr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SG">
                <a:solidFill>
                  <a:schemeClr val="accent2"/>
                </a:solidFill>
              </a:rPr>
              <a:t>HQC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041856212537431E-2"/>
          <c:y val="0.13692552474352129"/>
          <c:w val="0.85499174011352508"/>
          <c:h val="0.6503580352696221"/>
        </c:manualLayout>
      </c:layout>
      <c:lineChart>
        <c:grouping val="standard"/>
        <c:varyColors val="1"/>
        <c:ser>
          <c:idx val="4"/>
          <c:order val="6"/>
          <c:tx>
            <c:v>date</c:v>
          </c:tx>
          <c:marker>
            <c:symbol val="none"/>
          </c:marker>
          <c:cat>
            <c:numRef>
              <c:f>Estradiol!$R$14:$R$55</c:f>
              <c:numCache>
                <c:formatCode>yyyy/mm/dd;@</c:formatCode>
                <c:ptCount val="42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  <c:pt idx="38">
                  <c:v>46044</c:v>
                </c:pt>
                <c:pt idx="39">
                  <c:v>46065</c:v>
                </c:pt>
              </c:numCache>
            </c:numRef>
          </c:cat>
          <c:val>
            <c:numRef>
              <c:f>Estradiol!$R$14:$R$51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F3-4C98-BDC4-96B5E3378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4825479"/>
        <c:axId val="1664720785"/>
      </c:lineChart>
      <c:scatterChart>
        <c:scatterStyle val="smoothMarker"/>
        <c:varyColors val="1"/>
        <c:ser>
          <c:idx val="3"/>
          <c:order val="1"/>
          <c:tx>
            <c:strRef>
              <c:f>Estradiol!$Z$10</c:f>
              <c:strCache>
                <c:ptCount val="1"/>
                <c:pt idx="0">
                  <c:v>+3SD UCL</c:v>
                </c:pt>
              </c:strCache>
            </c:strRef>
          </c:tx>
          <c:spPr>
            <a:ln>
              <a:solidFill>
                <a:srgbClr val="C00000"/>
              </a:solidFill>
              <a:prstDash val="solid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C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2AA-4270-9A00-ED054B00FD4B}"/>
              </c:ext>
            </c:extLst>
          </c:dPt>
          <c:xVal>
            <c:numRef>
              <c:f>(Estradiol!$R$4,Estradiol!$T$4)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40</c:v>
                </c:pt>
              </c:numCache>
            </c:numRef>
          </c:xVal>
          <c:yVal>
            <c:numRef>
              <c:f>(Estradiol!$Z$11,Estradiol!$Z$11)</c:f>
              <c:numCache>
                <c:formatCode>0.00</c:formatCode>
                <c:ptCount val="2"/>
                <c:pt idx="0">
                  <c:v>11.779450631440499</c:v>
                </c:pt>
                <c:pt idx="1">
                  <c:v>11.779450631440499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AF3-4C98-BDC4-96B5E33781F3}"/>
            </c:ext>
          </c:extLst>
        </c:ser>
        <c:ser>
          <c:idx val="1"/>
          <c:order val="5"/>
          <c:tx>
            <c:strRef>
              <c:f>Estradiol!$W$10</c:f>
              <c:strCache>
                <c:ptCount val="1"/>
                <c:pt idx="0">
                  <c:v>-3SD LCL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00B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A2AA-4270-9A00-ED054B00FD4B}"/>
              </c:ext>
            </c:extLst>
          </c:dPt>
          <c:xVal>
            <c:numRef>
              <c:f>(Estradiol!$R$4,Estradiol!$T$4)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40</c:v>
                </c:pt>
              </c:numCache>
            </c:numRef>
          </c:xVal>
          <c:yVal>
            <c:numRef>
              <c:f>(Estradiol!$W$11,Estradiol!$W$11)</c:f>
              <c:numCache>
                <c:formatCode>0.00</c:formatCode>
                <c:ptCount val="2"/>
                <c:pt idx="0">
                  <c:v>7.3558443685595005</c:v>
                </c:pt>
                <c:pt idx="1">
                  <c:v>7.3558443685595005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AF3-4C98-BDC4-96B5E3378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scatterChart>
        <c:scatterStyle val="lineMarker"/>
        <c:varyColors val="1"/>
        <c:ser>
          <c:idx val="0"/>
          <c:order val="0"/>
          <c:tx>
            <c:v>HQC</c:v>
          </c:tx>
          <c:marker>
            <c:symbol val="circle"/>
            <c:size val="10"/>
            <c:spPr>
              <a:solidFill>
                <a:schemeClr val="tx1">
                  <a:lumMod val="50000"/>
                  <a:lumOff val="50000"/>
                </a:schemeClr>
              </a:solidFill>
              <a:ln cmpd="sng">
                <a:solidFill>
                  <a:schemeClr val="tx1"/>
                </a:solidFill>
              </a:ln>
            </c:spPr>
          </c:marker>
          <c:xVal>
            <c:strRef>
              <c:f>Estradiol!$P$14:$P$268</c:f>
              <c:str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strCache>
            </c:strRef>
          </c:xVal>
          <c:yVal>
            <c:numRef>
              <c:f>Estradiol!$U$14:$U$268</c:f>
              <c:numCache>
                <c:formatCode>0.000</c:formatCode>
                <c:ptCount val="255"/>
                <c:pt idx="0">
                  <c:v>9.7379999999999995</c:v>
                </c:pt>
                <c:pt idx="1">
                  <c:v>9.2509999999999994</c:v>
                </c:pt>
                <c:pt idx="2">
                  <c:v>8.8119999999999994</c:v>
                </c:pt>
                <c:pt idx="3">
                  <c:v>9.6790000000000003</c:v>
                </c:pt>
                <c:pt idx="4">
                  <c:v>9.2970000000000006</c:v>
                </c:pt>
                <c:pt idx="5">
                  <c:v>9.2520000000000007</c:v>
                </c:pt>
                <c:pt idx="6">
                  <c:v>8.6010000000000009</c:v>
                </c:pt>
                <c:pt idx="7">
                  <c:v>8.9019999999999992</c:v>
                </c:pt>
                <c:pt idx="8">
                  <c:v>9.1940000000000008</c:v>
                </c:pt>
                <c:pt idx="9">
                  <c:v>8.968</c:v>
                </c:pt>
                <c:pt idx="10">
                  <c:v>10.613</c:v>
                </c:pt>
                <c:pt idx="11">
                  <c:v>10.6</c:v>
                </c:pt>
                <c:pt idx="12">
                  <c:v>9.9209999999999994</c:v>
                </c:pt>
                <c:pt idx="13">
                  <c:v>11.385999999999999</c:v>
                </c:pt>
                <c:pt idx="14">
                  <c:v>9.1959999999999997</c:v>
                </c:pt>
                <c:pt idx="15">
                  <c:v>9.9359999999999999</c:v>
                </c:pt>
                <c:pt idx="16">
                  <c:v>8.6809999999999992</c:v>
                </c:pt>
                <c:pt idx="17">
                  <c:v>9.4380000000000006</c:v>
                </c:pt>
                <c:pt idx="18">
                  <c:v>9.3620000000000001</c:v>
                </c:pt>
                <c:pt idx="19">
                  <c:v>10.224</c:v>
                </c:pt>
                <c:pt idx="20">
                  <c:v>10.282999999999999</c:v>
                </c:pt>
                <c:pt idx="21">
                  <c:v>7.7130000000000001</c:v>
                </c:pt>
                <c:pt idx="22">
                  <c:v>9.2908000000000008</c:v>
                </c:pt>
                <c:pt idx="23">
                  <c:v>9.6495999999999995</c:v>
                </c:pt>
                <c:pt idx="24">
                  <c:v>11.3101</c:v>
                </c:pt>
                <c:pt idx="25">
                  <c:v>9.4963999999999995</c:v>
                </c:pt>
                <c:pt idx="26">
                  <c:v>9.1170000000000009</c:v>
                </c:pt>
                <c:pt idx="27">
                  <c:v>10.923</c:v>
                </c:pt>
                <c:pt idx="28">
                  <c:v>10.334</c:v>
                </c:pt>
                <c:pt idx="29">
                  <c:v>9.9329999999999998</c:v>
                </c:pt>
                <c:pt idx="30">
                  <c:v>9.0429999999999993</c:v>
                </c:pt>
                <c:pt idx="31">
                  <c:v>9.25</c:v>
                </c:pt>
                <c:pt idx="32">
                  <c:v>9.3780000000000001</c:v>
                </c:pt>
                <c:pt idx="33">
                  <c:v>8.8849999999999998</c:v>
                </c:pt>
                <c:pt idx="34">
                  <c:v>9.375</c:v>
                </c:pt>
                <c:pt idx="35">
                  <c:v>9.2539999999999996</c:v>
                </c:pt>
                <c:pt idx="36">
                  <c:v>9.2230000000000008</c:v>
                </c:pt>
                <c:pt idx="37">
                  <c:v>10.106999999999999</c:v>
                </c:pt>
                <c:pt idx="38">
                  <c:v>9.6790000000000003</c:v>
                </c:pt>
                <c:pt idx="39">
                  <c:v>9.4109999999999996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AF3-4C98-BDC4-96B5E33781F3}"/>
            </c:ext>
          </c:extLst>
        </c:ser>
        <c:ser>
          <c:idx val="5"/>
          <c:order val="2"/>
          <c:tx>
            <c:strRef>
              <c:f>Estradiol!$Y$10</c:f>
              <c:strCache>
                <c:ptCount val="1"/>
                <c:pt idx="0">
                  <c:v>+2SD UCL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FF0000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5-A2AA-4270-9A00-ED054B00FD4B}"/>
              </c:ext>
            </c:extLst>
          </c:dPt>
          <c:xVal>
            <c:numRef>
              <c:f>(Estradiol!$R$4,Estradiol!$T$4)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40</c:v>
                </c:pt>
              </c:numCache>
            </c:numRef>
          </c:xVal>
          <c:yVal>
            <c:numRef>
              <c:f>(Estradiol!$Y$11,Estradiol!$Y$11)</c:f>
              <c:numCache>
                <c:formatCode>0.00</c:formatCode>
                <c:ptCount val="2"/>
                <c:pt idx="0">
                  <c:v>11.042182920960332</c:v>
                </c:pt>
                <c:pt idx="1">
                  <c:v>11.042182920960332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AF3-4C98-BDC4-96B5E33781F3}"/>
            </c:ext>
          </c:extLst>
        </c:ser>
        <c:ser>
          <c:idx val="2"/>
          <c:order val="3"/>
          <c:tx>
            <c:v>Mean</c:v>
          </c:tx>
          <c:spPr>
            <a:ln>
              <a:solidFill>
                <a:schemeClr val="accent1"/>
              </a:solidFill>
              <a:prstDash val="sysDash"/>
            </a:ln>
          </c:spPr>
          <c:dPt>
            <c:idx val="0"/>
            <c:marker>
              <c:symbol val="none"/>
            </c:marker>
            <c:bubble3D val="0"/>
            <c:spPr>
              <a:ln w="28575">
                <a:solidFill>
                  <a:schemeClr val="accent1"/>
                </a:solidFill>
                <a:prstDash val="sysDot"/>
              </a:ln>
            </c:spPr>
            <c:extLst>
              <c:ext xmlns:c16="http://schemas.microsoft.com/office/drawing/2014/chart" uri="{C3380CC4-5D6E-409C-BE32-E72D297353CC}">
                <c16:uniqueId val="{00000007-A2AA-4270-9A00-ED054B00FD4B}"/>
              </c:ext>
            </c:extLst>
          </c:dPt>
          <c:xVal>
            <c:numRef>
              <c:f>(Estradiol!$R$4,Estradiol!$T$4)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40</c:v>
                </c:pt>
              </c:numCache>
            </c:numRef>
          </c:xVal>
          <c:yVal>
            <c:numRef>
              <c:f>(Estradiol!$U$11,Estradiol!$U$11)</c:f>
              <c:numCache>
                <c:formatCode>0.00</c:formatCode>
                <c:ptCount val="2"/>
                <c:pt idx="0">
                  <c:v>9.5676474999999996</c:v>
                </c:pt>
                <c:pt idx="1">
                  <c:v>9.5676474999999996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BAF3-4C98-BDC4-96B5E33781F3}"/>
            </c:ext>
          </c:extLst>
        </c:ser>
        <c:ser>
          <c:idx val="6"/>
          <c:order val="4"/>
          <c:tx>
            <c:strRef>
              <c:f>Estradiol!$X$10</c:f>
              <c:strCache>
                <c:ptCount val="1"/>
                <c:pt idx="0">
                  <c:v>-2SD LCL</c:v>
                </c:pt>
              </c:strCache>
            </c:strRef>
          </c:tx>
          <c:spPr>
            <a:ln w="25400">
              <a:solidFill>
                <a:schemeClr val="accent6">
                  <a:lumMod val="60000"/>
                  <a:lumOff val="40000"/>
                </a:schemeClr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chemeClr val="accent6">
                    <a:lumMod val="60000"/>
                    <a:lumOff val="40000"/>
                  </a:scheme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9-A2AA-4270-9A00-ED054B00FD4B}"/>
              </c:ext>
            </c:extLst>
          </c:dPt>
          <c:xVal>
            <c:numRef>
              <c:f>(Estradiol!$R$4,Estradiol!$T$4)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40</c:v>
                </c:pt>
              </c:numCache>
            </c:numRef>
          </c:xVal>
          <c:yVal>
            <c:numRef>
              <c:f>(Estradiol!$X$11,Estradiol!$X$11)</c:f>
              <c:numCache>
                <c:formatCode>0.00</c:formatCode>
                <c:ptCount val="2"/>
                <c:pt idx="0">
                  <c:v>8.0931120790396669</c:v>
                </c:pt>
                <c:pt idx="1">
                  <c:v>8.0931120790396669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BAF3-4C98-BDC4-96B5E3378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catAx>
        <c:axId val="1414825479"/>
        <c:scaling>
          <c:orientation val="minMax"/>
        </c:scaling>
        <c:delete val="0"/>
        <c:axPos val="b"/>
        <c:numFmt formatCode="[$-409]d/mmm/yy;@" sourceLinked="0"/>
        <c:majorTickMark val="out"/>
        <c:minorTickMark val="out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664720785"/>
        <c:crosses val="autoZero"/>
        <c:auto val="0"/>
        <c:lblAlgn val="ctr"/>
        <c:lblOffset val="100"/>
        <c:noMultiLvlLbl val="1"/>
      </c:catAx>
      <c:valAx>
        <c:axId val="1664720785"/>
        <c:scaling>
          <c:orientation val="minMax"/>
          <c:max val="14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HQC [nmol/L]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/>
        </c:spPr>
        <c:crossAx val="1414825479"/>
        <c:crosses val="autoZero"/>
        <c:crossBetween val="between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</c:spPr>
      <c:txPr>
        <a:bodyPr anchor="ctr" anchorCtr="1"/>
        <a:lstStyle/>
        <a:p>
          <a:pPr rtl="0">
            <a:defRPr sz="1200"/>
          </a:pPr>
          <a:endParaRPr lang="en-US"/>
        </a:p>
      </c:txPr>
    </c:legend>
    <c:plotVisOnly val="1"/>
    <c:dispBlanksAs val="span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noFill/>
    </a:ln>
  </c:spPr>
  <c:txPr>
    <a:bodyPr/>
    <a:lstStyle/>
    <a:p>
      <a:pPr>
        <a:defRPr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SG">
                <a:solidFill>
                  <a:schemeClr val="accent6"/>
                </a:solidFill>
              </a:rPr>
              <a:t>LQC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041856212537431E-2"/>
          <c:y val="0.13692552474352129"/>
          <c:w val="0.85499174011352508"/>
          <c:h val="0.6503580352696221"/>
        </c:manualLayout>
      </c:layout>
      <c:lineChart>
        <c:grouping val="standard"/>
        <c:varyColors val="1"/>
        <c:ser>
          <c:idx val="4"/>
          <c:order val="6"/>
          <c:tx>
            <c:v>date</c:v>
          </c:tx>
          <c:marker>
            <c:symbol val="none"/>
          </c:marker>
          <c:cat>
            <c:numRef>
              <c:f>Estradiol!$R$14:$R$55</c:f>
              <c:numCache>
                <c:formatCode>yyyy/mm/dd;@</c:formatCode>
                <c:ptCount val="42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  <c:pt idx="38">
                  <c:v>46044</c:v>
                </c:pt>
                <c:pt idx="39">
                  <c:v>46065</c:v>
                </c:pt>
              </c:numCache>
            </c:numRef>
          </c:cat>
          <c:val>
            <c:numRef>
              <c:f>Estradiol!$R$14:$R$55</c:f>
              <c:numCache>
                <c:formatCode>yyyy/mm/dd;@</c:formatCode>
                <c:ptCount val="42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  <c:pt idx="38">
                  <c:v>46044</c:v>
                </c:pt>
                <c:pt idx="39">
                  <c:v>46065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0C-4BFE-A90F-9B0E65350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4825479"/>
        <c:axId val="1664720785"/>
      </c:lineChart>
      <c:scatterChart>
        <c:scatterStyle val="smoothMarker"/>
        <c:varyColors val="1"/>
        <c:ser>
          <c:idx val="3"/>
          <c:order val="1"/>
          <c:tx>
            <c:strRef>
              <c:f>Estradiol!$AH$10</c:f>
              <c:strCache>
                <c:ptCount val="1"/>
                <c:pt idx="0">
                  <c:v>+3SD UCL</c:v>
                </c:pt>
              </c:strCache>
            </c:strRef>
          </c:tx>
          <c:spPr>
            <a:ln>
              <a:solidFill>
                <a:srgbClr val="C00000"/>
              </a:solidFill>
              <a:prstDash val="solid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C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37F-4B92-8DAF-3ECEDA971D3E}"/>
              </c:ext>
            </c:extLst>
          </c:dPt>
          <c:xVal>
            <c:numRef>
              <c:f>(Estradiol!$R$4,Estradiol!$T$4)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40</c:v>
                </c:pt>
              </c:numCache>
            </c:numRef>
          </c:xVal>
          <c:yVal>
            <c:numRef>
              <c:f>(Estradiol!$AH$11,Estradiol!$AH$11)</c:f>
              <c:numCache>
                <c:formatCode>0.00</c:formatCode>
                <c:ptCount val="2"/>
                <c:pt idx="0">
                  <c:v>0.6437555308502374</c:v>
                </c:pt>
                <c:pt idx="1">
                  <c:v>0.6437555308502374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60C-4BFE-A90F-9B0E65350662}"/>
            </c:ext>
          </c:extLst>
        </c:ser>
        <c:ser>
          <c:idx val="1"/>
          <c:order val="2"/>
          <c:tx>
            <c:strRef>
              <c:f>Estradiol!$AG$10</c:f>
              <c:strCache>
                <c:ptCount val="1"/>
                <c:pt idx="0">
                  <c:v>+2SD UCL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00B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B37F-4B92-8DAF-3ECEDA971D3E}"/>
              </c:ext>
            </c:extLst>
          </c:dPt>
          <c:xVal>
            <c:numRef>
              <c:f>(Estradiol!$R$4,Estradiol!$T$4)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40</c:v>
                </c:pt>
              </c:numCache>
            </c:numRef>
          </c:xVal>
          <c:yVal>
            <c:numRef>
              <c:f>(Estradiol!$AG$11,Estradiol!$AG$11)</c:f>
              <c:numCache>
                <c:formatCode>0.00</c:formatCode>
                <c:ptCount val="2"/>
                <c:pt idx="0">
                  <c:v>0.60029785390015822</c:v>
                </c:pt>
                <c:pt idx="1">
                  <c:v>0.60029785390015822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60C-4BFE-A90F-9B0E65350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scatterChart>
        <c:scatterStyle val="lineMarker"/>
        <c:varyColors val="1"/>
        <c:ser>
          <c:idx val="0"/>
          <c:order val="0"/>
          <c:tx>
            <c:v>LQC</c:v>
          </c:tx>
          <c:marker>
            <c:symbol val="circle"/>
            <c:size val="10"/>
            <c:spPr>
              <a:solidFill>
                <a:schemeClr val="tx1">
                  <a:lumMod val="50000"/>
                  <a:lumOff val="50000"/>
                </a:schemeClr>
              </a:solidFill>
              <a:ln cmpd="sng">
                <a:solidFill>
                  <a:schemeClr val="tx1"/>
                </a:solidFill>
              </a:ln>
            </c:spPr>
          </c:marker>
          <c:xVal>
            <c:strRef>
              <c:f>Estradiol!$P$14:$P$268</c:f>
              <c:str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strCache>
            </c:strRef>
          </c:xVal>
          <c:yVal>
            <c:numRef>
              <c:f>Estradiol!$AC$14:$AC$268</c:f>
              <c:numCache>
                <c:formatCode>0.000</c:formatCode>
                <c:ptCount val="255"/>
                <c:pt idx="0">
                  <c:v>0.53300000000000003</c:v>
                </c:pt>
                <c:pt idx="1">
                  <c:v>0.60499999999999998</c:v>
                </c:pt>
                <c:pt idx="2">
                  <c:v>0.49299999999999999</c:v>
                </c:pt>
                <c:pt idx="3">
                  <c:v>0.46500000000000002</c:v>
                </c:pt>
                <c:pt idx="4">
                  <c:v>0.47299999999999998</c:v>
                </c:pt>
                <c:pt idx="5">
                  <c:v>0.52700000000000002</c:v>
                </c:pt>
                <c:pt idx="6">
                  <c:v>0.49299999999999999</c:v>
                </c:pt>
                <c:pt idx="7">
                  <c:v>0.58299999999999996</c:v>
                </c:pt>
                <c:pt idx="8">
                  <c:v>0.50700000000000001</c:v>
                </c:pt>
                <c:pt idx="9">
                  <c:v>0.55000000000000004</c:v>
                </c:pt>
                <c:pt idx="10">
                  <c:v>0.47799999999999998</c:v>
                </c:pt>
                <c:pt idx="11">
                  <c:v>0.56599999999999995</c:v>
                </c:pt>
                <c:pt idx="12">
                  <c:v>0.51700000000000002</c:v>
                </c:pt>
                <c:pt idx="13">
                  <c:v>0.42199999999999999</c:v>
                </c:pt>
                <c:pt idx="14">
                  <c:v>0.46600000000000003</c:v>
                </c:pt>
                <c:pt idx="15">
                  <c:v>0.51200000000000001</c:v>
                </c:pt>
                <c:pt idx="16">
                  <c:v>0.60199999999999998</c:v>
                </c:pt>
                <c:pt idx="17">
                  <c:v>0.46500000000000002</c:v>
                </c:pt>
                <c:pt idx="18">
                  <c:v>0.51400000000000001</c:v>
                </c:pt>
                <c:pt idx="19">
                  <c:v>0.435</c:v>
                </c:pt>
                <c:pt idx="20">
                  <c:v>0.53700000000000003</c:v>
                </c:pt>
                <c:pt idx="21">
                  <c:v>0.56599999999999995</c:v>
                </c:pt>
                <c:pt idx="22">
                  <c:v>0.47699999999999998</c:v>
                </c:pt>
                <c:pt idx="23">
                  <c:v>0.52090000000000003</c:v>
                </c:pt>
                <c:pt idx="24">
                  <c:v>0.54849999999999999</c:v>
                </c:pt>
                <c:pt idx="25">
                  <c:v>0.50590000000000002</c:v>
                </c:pt>
                <c:pt idx="26">
                  <c:v>0.51300000000000001</c:v>
                </c:pt>
                <c:pt idx="27">
                  <c:v>0.46899999999999997</c:v>
                </c:pt>
                <c:pt idx="28">
                  <c:v>0.53100000000000003</c:v>
                </c:pt>
                <c:pt idx="29">
                  <c:v>0.55600000000000005</c:v>
                </c:pt>
                <c:pt idx="30">
                  <c:v>0.47699999999999998</c:v>
                </c:pt>
                <c:pt idx="31">
                  <c:v>0.51700000000000002</c:v>
                </c:pt>
                <c:pt idx="32">
                  <c:v>0.48599999999999999</c:v>
                </c:pt>
                <c:pt idx="33">
                  <c:v>0.441</c:v>
                </c:pt>
                <c:pt idx="34">
                  <c:v>0.54200000000000004</c:v>
                </c:pt>
                <c:pt idx="35">
                  <c:v>0.53</c:v>
                </c:pt>
                <c:pt idx="36">
                  <c:v>0.497</c:v>
                </c:pt>
                <c:pt idx="37">
                  <c:v>0.56200000000000006</c:v>
                </c:pt>
                <c:pt idx="38">
                  <c:v>0.502</c:v>
                </c:pt>
                <c:pt idx="39">
                  <c:v>0.55100000000000005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60C-4BFE-A90F-9B0E65350662}"/>
            </c:ext>
          </c:extLst>
        </c:ser>
        <c:ser>
          <c:idx val="2"/>
          <c:order val="3"/>
          <c:tx>
            <c:v>Mean</c:v>
          </c:tx>
          <c:spPr>
            <a:ln>
              <a:solidFill>
                <a:schemeClr val="accent1"/>
              </a:solidFill>
              <a:prstDash val="sysDash"/>
            </a:ln>
          </c:spPr>
          <c:dPt>
            <c:idx val="0"/>
            <c:marker>
              <c:symbol val="none"/>
            </c:marker>
            <c:bubble3D val="0"/>
            <c:spPr>
              <a:ln w="28575">
                <a:solidFill>
                  <a:schemeClr val="accent1"/>
                </a:solidFill>
                <a:prstDash val="sysDot"/>
              </a:ln>
            </c:spPr>
            <c:extLst>
              <c:ext xmlns:c16="http://schemas.microsoft.com/office/drawing/2014/chart" uri="{C3380CC4-5D6E-409C-BE32-E72D297353CC}">
                <c16:uniqueId val="{00000005-B37F-4B92-8DAF-3ECEDA971D3E}"/>
              </c:ext>
            </c:extLst>
          </c:dPt>
          <c:xVal>
            <c:numRef>
              <c:f>(Estradiol!$R$4,Estradiol!$T$4)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40</c:v>
                </c:pt>
              </c:numCache>
            </c:numRef>
          </c:xVal>
          <c:yVal>
            <c:numRef>
              <c:f>(Estradiol!$AC$11,Estradiol!$AC$11)</c:f>
              <c:numCache>
                <c:formatCode>0.00</c:formatCode>
                <c:ptCount val="2"/>
                <c:pt idx="0">
                  <c:v>0.51338250000000007</c:v>
                </c:pt>
                <c:pt idx="1">
                  <c:v>0.51338250000000007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60C-4BFE-A90F-9B0E65350662}"/>
            </c:ext>
          </c:extLst>
        </c:ser>
        <c:ser>
          <c:idx val="6"/>
          <c:order val="4"/>
          <c:tx>
            <c:strRef>
              <c:f>Estradiol!$AF$10</c:f>
              <c:strCache>
                <c:ptCount val="1"/>
                <c:pt idx="0">
                  <c:v>-2SD LCL</c:v>
                </c:pt>
              </c:strCache>
            </c:strRef>
          </c:tx>
          <c:spPr>
            <a:ln w="25400">
              <a:solidFill>
                <a:schemeClr val="accent6">
                  <a:lumMod val="60000"/>
                  <a:lumOff val="40000"/>
                </a:schemeClr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chemeClr val="accent6">
                    <a:lumMod val="60000"/>
                    <a:lumOff val="40000"/>
                  </a:scheme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7-B37F-4B92-8DAF-3ECEDA971D3E}"/>
              </c:ext>
            </c:extLst>
          </c:dPt>
          <c:xVal>
            <c:numRef>
              <c:f>(Estradiol!$R$4,Estradiol!$T$4)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40</c:v>
                </c:pt>
              </c:numCache>
            </c:numRef>
          </c:xVal>
          <c:yVal>
            <c:numRef>
              <c:f>(Estradiol!$AF$11,Estradiol!$AF$11)</c:f>
              <c:numCache>
                <c:formatCode>0.00</c:formatCode>
                <c:ptCount val="2"/>
                <c:pt idx="0">
                  <c:v>0.42646714609984188</c:v>
                </c:pt>
                <c:pt idx="1">
                  <c:v>0.42646714609984188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60C-4BFE-A90F-9B0E65350662}"/>
            </c:ext>
          </c:extLst>
        </c:ser>
        <c:ser>
          <c:idx val="5"/>
          <c:order val="5"/>
          <c:tx>
            <c:strRef>
              <c:f>Estradiol!$AE$10</c:f>
              <c:strCache>
                <c:ptCount val="1"/>
                <c:pt idx="0">
                  <c:v>-3SD LCL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FF0000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9-B37F-4B92-8DAF-3ECEDA971D3E}"/>
              </c:ext>
            </c:extLst>
          </c:dPt>
          <c:xVal>
            <c:numRef>
              <c:f>(Estradiol!$R$4,Estradiol!$T$4)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40</c:v>
                </c:pt>
              </c:numCache>
            </c:numRef>
          </c:xVal>
          <c:yVal>
            <c:numRef>
              <c:f>(Estradiol!$AE$11,Estradiol!$AE$11)</c:f>
              <c:numCache>
                <c:formatCode>0.00</c:formatCode>
                <c:ptCount val="2"/>
                <c:pt idx="0">
                  <c:v>0.38300946914976275</c:v>
                </c:pt>
                <c:pt idx="1">
                  <c:v>0.38300946914976275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F60C-4BFE-A90F-9B0E65350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catAx>
        <c:axId val="1414825479"/>
        <c:scaling>
          <c:orientation val="minMax"/>
        </c:scaling>
        <c:delete val="0"/>
        <c:axPos val="b"/>
        <c:numFmt formatCode="[$-409]d/mmm/yy;@" sourceLinked="0"/>
        <c:majorTickMark val="out"/>
        <c:minorTickMark val="out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664720785"/>
        <c:crosses val="autoZero"/>
        <c:auto val="0"/>
        <c:lblAlgn val="ctr"/>
        <c:lblOffset val="100"/>
        <c:noMultiLvlLbl val="1"/>
      </c:catAx>
      <c:valAx>
        <c:axId val="1664720785"/>
        <c:scaling>
          <c:orientation val="minMax"/>
          <c:max val="0.8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200">
                    <a:solidFill>
                      <a:schemeClr val="accent6"/>
                    </a:solidFill>
                  </a:rPr>
                  <a:t>LQC [nmol/L]</a:t>
                </a:r>
              </a:p>
            </c:rich>
          </c:tx>
          <c:layout>
            <c:manualLayout>
              <c:xMode val="edge"/>
              <c:yMode val="edge"/>
              <c:x val="1.2907702223661067E-2"/>
              <c:y val="0.40450724699866752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/>
        </c:spPr>
        <c:crossAx val="1414825479"/>
        <c:crosses val="autoZero"/>
        <c:crossBetween val="between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</c:spPr>
      <c:txPr>
        <a:bodyPr anchor="ctr" anchorCtr="1"/>
        <a:lstStyle/>
        <a:p>
          <a:pPr rtl="0">
            <a:defRPr sz="1200"/>
          </a:pPr>
          <a:endParaRPr lang="en-US"/>
        </a:p>
      </c:txPr>
    </c:legend>
    <c:plotVisOnly val="1"/>
    <c:dispBlanksAs val="span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noFill/>
    </a:ln>
  </c:spPr>
  <c:txPr>
    <a:bodyPr/>
    <a:lstStyle/>
    <a:p>
      <a:pPr>
        <a:defRPr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SG">
                <a:solidFill>
                  <a:sysClr val="windowText" lastClr="000000"/>
                </a:solidFill>
              </a:rPr>
              <a:t>ACCURACY</a:t>
            </a:r>
          </a:p>
        </c:rich>
      </c:tx>
      <c:overlay val="0"/>
      <c:spPr>
        <a:noFill/>
      </c:spPr>
    </c:title>
    <c:autoTitleDeleted val="0"/>
    <c:plotArea>
      <c:layout>
        <c:manualLayout>
          <c:layoutTarget val="inner"/>
          <c:xMode val="edge"/>
          <c:yMode val="edge"/>
          <c:x val="9.7388134921387773E-2"/>
          <c:y val="0.12595373243973218"/>
          <c:w val="0.85499174011352508"/>
          <c:h val="0.6503580352696221"/>
        </c:manualLayout>
      </c:layout>
      <c:lineChart>
        <c:grouping val="standard"/>
        <c:varyColors val="1"/>
        <c:ser>
          <c:idx val="4"/>
          <c:order val="4"/>
          <c:tx>
            <c:v>date</c:v>
          </c:tx>
          <c:marker>
            <c:symbol val="none"/>
          </c:marker>
          <c:cat>
            <c:numRef>
              <c:f>Estradiol!$R$14:$R$51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</c:numCache>
            </c:numRef>
          </c:cat>
          <c:val>
            <c:numRef>
              <c:f>Estradiol!$R$14:$R$51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FB-476E-B869-3442554716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4825479"/>
        <c:axId val="1664720785"/>
      </c:lineChart>
      <c:scatterChart>
        <c:scatterStyle val="lineMarker"/>
        <c:varyColors val="1"/>
        <c:ser>
          <c:idx val="1"/>
          <c:order val="0"/>
          <c:tx>
            <c:v>LQC Acc</c:v>
          </c:tx>
          <c:spPr>
            <a:ln>
              <a:solidFill>
                <a:schemeClr val="accent6">
                  <a:lumMod val="50000"/>
                </a:schemeClr>
              </a:solidFill>
            </a:ln>
          </c:spPr>
          <c:marker>
            <c:symbol val="circle"/>
            <c:size val="10"/>
            <c:spPr>
              <a:solidFill>
                <a:schemeClr val="accent6"/>
              </a:solidFill>
              <a:ln>
                <a:solidFill>
                  <a:schemeClr val="accent6"/>
                </a:solidFill>
              </a:ln>
            </c:spPr>
          </c:marker>
          <c:xVal>
            <c:strRef>
              <c:f>Estradiol!$P$14:$P$268</c:f>
              <c:str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strCache>
            </c:strRef>
          </c:xVal>
          <c:yVal>
            <c:numRef>
              <c:f>Estradiol!$AH$14:$AH$268</c:f>
              <c:numCache>
                <c:formatCode>0.0%</c:formatCode>
                <c:ptCount val="255"/>
                <c:pt idx="0">
                  <c:v>1.0171755725190841</c:v>
                </c:pt>
                <c:pt idx="1">
                  <c:v>1.1545801526717556</c:v>
                </c:pt>
                <c:pt idx="2">
                  <c:v>0.94083969465648853</c:v>
                </c:pt>
                <c:pt idx="3">
                  <c:v>0.88740458015267176</c:v>
                </c:pt>
                <c:pt idx="4">
                  <c:v>0.90267175572519076</c:v>
                </c:pt>
                <c:pt idx="5">
                  <c:v>1.0057251908396947</c:v>
                </c:pt>
                <c:pt idx="6">
                  <c:v>0.94083969465648853</c:v>
                </c:pt>
                <c:pt idx="7">
                  <c:v>1.1125954198473282</c:v>
                </c:pt>
                <c:pt idx="8">
                  <c:v>0.96755725190839692</c:v>
                </c:pt>
                <c:pt idx="9">
                  <c:v>1.0496183206106871</c:v>
                </c:pt>
                <c:pt idx="10">
                  <c:v>0.91221374045801518</c:v>
                </c:pt>
                <c:pt idx="11">
                  <c:v>1.080152671755725</c:v>
                </c:pt>
                <c:pt idx="12">
                  <c:v>0.98664122137404575</c:v>
                </c:pt>
                <c:pt idx="13">
                  <c:v>0.80534351145038163</c:v>
                </c:pt>
                <c:pt idx="14">
                  <c:v>0.88931297709923662</c:v>
                </c:pt>
                <c:pt idx="15">
                  <c:v>0.97709923664122134</c:v>
                </c:pt>
                <c:pt idx="16">
                  <c:v>1.1488549618320609</c:v>
                </c:pt>
                <c:pt idx="17">
                  <c:v>0.88740458015267176</c:v>
                </c:pt>
                <c:pt idx="18">
                  <c:v>0.98091603053435117</c:v>
                </c:pt>
                <c:pt idx="19">
                  <c:v>0.80555555555555547</c:v>
                </c:pt>
                <c:pt idx="20">
                  <c:v>0.99444444444444446</c:v>
                </c:pt>
                <c:pt idx="21">
                  <c:v>1.080152671755725</c:v>
                </c:pt>
                <c:pt idx="22">
                  <c:v>0.88333333333333319</c:v>
                </c:pt>
                <c:pt idx="23">
                  <c:v>0.96462962962962961</c:v>
                </c:pt>
                <c:pt idx="24">
                  <c:v>1.0157407407407406</c:v>
                </c:pt>
                <c:pt idx="25">
                  <c:v>0.93685185185185182</c:v>
                </c:pt>
                <c:pt idx="26">
                  <c:v>0.95</c:v>
                </c:pt>
                <c:pt idx="27">
                  <c:v>0.86851851851851836</c:v>
                </c:pt>
                <c:pt idx="28">
                  <c:v>0.98333333333333328</c:v>
                </c:pt>
                <c:pt idx="29">
                  <c:v>1.0296296296296297</c:v>
                </c:pt>
                <c:pt idx="30">
                  <c:v>0.88333333333333319</c:v>
                </c:pt>
                <c:pt idx="31">
                  <c:v>0.95740740740740737</c:v>
                </c:pt>
                <c:pt idx="32">
                  <c:v>0.89999999999999991</c:v>
                </c:pt>
                <c:pt idx="33">
                  <c:v>0.81666666666666665</c:v>
                </c:pt>
                <c:pt idx="34">
                  <c:v>1.0037037037037038</c:v>
                </c:pt>
                <c:pt idx="35">
                  <c:v>0.98148148148148151</c:v>
                </c:pt>
                <c:pt idx="36">
                  <c:v>0.92037037037037028</c:v>
                </c:pt>
                <c:pt idx="37">
                  <c:v>1.0407407407407407</c:v>
                </c:pt>
                <c:pt idx="38">
                  <c:v>0.92962962962962958</c:v>
                </c:pt>
                <c:pt idx="39">
                  <c:v>1.0203703703703704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FB-476E-B869-34425547163A}"/>
            </c:ext>
          </c:extLst>
        </c:ser>
        <c:ser>
          <c:idx val="0"/>
          <c:order val="1"/>
          <c:tx>
            <c:v>HQC Acc.</c:v>
          </c:tx>
          <c:spPr>
            <a:ln>
              <a:solidFill>
                <a:schemeClr val="accent2">
                  <a:lumMod val="50000"/>
                </a:schemeClr>
              </a:solidFill>
            </a:ln>
          </c:spPr>
          <c:marker>
            <c:symbol val="circle"/>
            <c:size val="10"/>
            <c:spPr>
              <a:solidFill>
                <a:srgbClr val="FFC000"/>
              </a:solidFill>
              <a:ln cmpd="sng">
                <a:solidFill>
                  <a:schemeClr val="accent2"/>
                </a:solidFill>
              </a:ln>
            </c:spPr>
          </c:marker>
          <c:xVal>
            <c:strRef>
              <c:f>Estradiol!$P$14:$P$268</c:f>
              <c:str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strCache>
            </c:strRef>
          </c:xVal>
          <c:yVal>
            <c:numRef>
              <c:f>Estradiol!$Z$14:$Z$268</c:f>
              <c:numCache>
                <c:formatCode>0.0%</c:formatCode>
                <c:ptCount val="255"/>
                <c:pt idx="0">
                  <c:v>1.0448497854077252</c:v>
                </c:pt>
                <c:pt idx="1">
                  <c:v>0.99259656652360506</c:v>
                </c:pt>
                <c:pt idx="2">
                  <c:v>0.94549356223175951</c:v>
                </c:pt>
                <c:pt idx="3">
                  <c:v>1.038519313304721</c:v>
                </c:pt>
                <c:pt idx="4">
                  <c:v>0.99753218884120176</c:v>
                </c:pt>
                <c:pt idx="5">
                  <c:v>0.99270386266094424</c:v>
                </c:pt>
                <c:pt idx="6">
                  <c:v>0.922854077253219</c:v>
                </c:pt>
                <c:pt idx="7">
                  <c:v>0.95515021459227456</c:v>
                </c:pt>
                <c:pt idx="8">
                  <c:v>0.986480686695279</c:v>
                </c:pt>
                <c:pt idx="9">
                  <c:v>0.96223175965665231</c:v>
                </c:pt>
                <c:pt idx="10">
                  <c:v>1.138733905579399</c:v>
                </c:pt>
                <c:pt idx="11">
                  <c:v>1.1373390557939913</c:v>
                </c:pt>
                <c:pt idx="12">
                  <c:v>1.0644849785407724</c:v>
                </c:pt>
                <c:pt idx="13">
                  <c:v>1.2216738197424892</c:v>
                </c:pt>
                <c:pt idx="14">
                  <c:v>0.98669527896995701</c:v>
                </c:pt>
                <c:pt idx="15">
                  <c:v>1.0660944206008582</c:v>
                </c:pt>
                <c:pt idx="16">
                  <c:v>0.93143776824034319</c:v>
                </c:pt>
                <c:pt idx="17">
                  <c:v>1.0126609442060086</c:v>
                </c:pt>
                <c:pt idx="18">
                  <c:v>1.0045064377682402</c:v>
                </c:pt>
                <c:pt idx="19">
                  <c:v>1.0173134328358209</c:v>
                </c:pt>
                <c:pt idx="20">
                  <c:v>1.02318407960199</c:v>
                </c:pt>
                <c:pt idx="21">
                  <c:v>0.82757510729613737</c:v>
                </c:pt>
                <c:pt idx="22">
                  <c:v>0.9244577114427861</c:v>
                </c:pt>
                <c:pt idx="23">
                  <c:v>0.96015920398009935</c:v>
                </c:pt>
                <c:pt idx="24">
                  <c:v>1.1253830845771144</c:v>
                </c:pt>
                <c:pt idx="25">
                  <c:v>0.94491542288557206</c:v>
                </c:pt>
                <c:pt idx="26">
                  <c:v>0.90716417910447766</c:v>
                </c:pt>
                <c:pt idx="27">
                  <c:v>1.086865671641791</c:v>
                </c:pt>
                <c:pt idx="28">
                  <c:v>1.0282587064676616</c:v>
                </c:pt>
                <c:pt idx="29">
                  <c:v>0.98835820895522375</c:v>
                </c:pt>
                <c:pt idx="30">
                  <c:v>0.89980099502487554</c:v>
                </c:pt>
                <c:pt idx="31">
                  <c:v>0.92039800995024867</c:v>
                </c:pt>
                <c:pt idx="32">
                  <c:v>0.93313432835820886</c:v>
                </c:pt>
                <c:pt idx="33">
                  <c:v>0.88407960199004965</c:v>
                </c:pt>
                <c:pt idx="34">
                  <c:v>0.93283582089552231</c:v>
                </c:pt>
                <c:pt idx="35">
                  <c:v>0.92079601990049742</c:v>
                </c:pt>
                <c:pt idx="36">
                  <c:v>0.91771144278606964</c:v>
                </c:pt>
                <c:pt idx="37">
                  <c:v>1.0056716417910447</c:v>
                </c:pt>
                <c:pt idx="38">
                  <c:v>0.96308457711442785</c:v>
                </c:pt>
                <c:pt idx="39">
                  <c:v>0.93641791044776113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8FB-476E-B869-34425547163A}"/>
            </c:ext>
          </c:extLst>
        </c:ser>
        <c:ser>
          <c:idx val="5"/>
          <c:order val="2"/>
          <c:tx>
            <c:v>UCL</c:v>
          </c:tx>
          <c:spPr>
            <a:ln>
              <a:prstDash val="dash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C00000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1-2C98-4CBA-A964-4703BCE3A4F2}"/>
              </c:ext>
            </c:extLst>
          </c:dPt>
          <c:xVal>
            <c:numRef>
              <c:f>(Estradiol!$R$4,Estradiol!$T$4)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40</c:v>
                </c:pt>
              </c:numCache>
            </c:numRef>
          </c:xVal>
          <c:yVal>
            <c:numRef>
              <c:f>(Estradiol!$Q$11,Estradiol!$Q$11)</c:f>
              <c:numCache>
                <c:formatCode>0%</c:formatCode>
                <c:ptCount val="2"/>
                <c:pt idx="0">
                  <c:v>1.1499999999999999</c:v>
                </c:pt>
                <c:pt idx="1">
                  <c:v>1.1499999999999999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8FB-476E-B869-34425547163A}"/>
            </c:ext>
          </c:extLst>
        </c:ser>
        <c:ser>
          <c:idx val="6"/>
          <c:order val="3"/>
          <c:tx>
            <c:v>LCL</c:v>
          </c:tx>
          <c:spPr>
            <a:ln w="25400"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chemeClr val="accent6">
                    <a:lumMod val="75000"/>
                  </a:scheme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3-2C98-4CBA-A964-4703BCE3A4F2}"/>
              </c:ext>
            </c:extLst>
          </c:dPt>
          <c:xVal>
            <c:numRef>
              <c:f>(Estradiol!$R$4,Estradiol!$T$4)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40</c:v>
                </c:pt>
              </c:numCache>
            </c:numRef>
          </c:xVal>
          <c:yVal>
            <c:numRef>
              <c:f>(Estradiol!$R$11,Estradiol!$R$11)</c:f>
              <c:numCache>
                <c:formatCode>0%</c:formatCode>
                <c:ptCount val="2"/>
                <c:pt idx="0">
                  <c:v>0.8</c:v>
                </c:pt>
                <c:pt idx="1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8FB-476E-B869-3442554716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catAx>
        <c:axId val="1414825479"/>
        <c:scaling>
          <c:orientation val="minMax"/>
        </c:scaling>
        <c:delete val="0"/>
        <c:axPos val="b"/>
        <c:numFmt formatCode="[$-409]d/mmm/yy;@" sourceLinked="0"/>
        <c:majorTickMark val="out"/>
        <c:minorTickMark val="out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664720785"/>
        <c:crosses val="autoZero"/>
        <c:auto val="0"/>
        <c:lblAlgn val="ctr"/>
        <c:lblOffset val="100"/>
        <c:noMultiLvlLbl val="1"/>
      </c:catAx>
      <c:valAx>
        <c:axId val="1664720785"/>
        <c:scaling>
          <c:orientation val="minMax"/>
          <c:max val="1.8"/>
          <c:min val="0.4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ACCURACY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/>
            </a:pPr>
            <a:endParaRPr lang="en-US"/>
          </a:p>
        </c:txPr>
        <c:crossAx val="1414825479"/>
        <c:crosses val="autoZero"/>
        <c:crossBetween val="between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</c:spPr>
      <c:txPr>
        <a:bodyPr anchor="ctr" anchorCtr="1"/>
        <a:lstStyle/>
        <a:p>
          <a:pPr rtl="0">
            <a:defRPr sz="1400" b="0"/>
          </a:pPr>
          <a:endParaRPr lang="en-US"/>
        </a:p>
      </c:txPr>
    </c:legend>
    <c:plotVisOnly val="1"/>
    <c:dispBlanksAs val="span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noFill/>
    </a:ln>
  </c:spPr>
  <c:txPr>
    <a:bodyPr/>
    <a:lstStyle/>
    <a:p>
      <a:pPr>
        <a:defRPr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SG">
                <a:solidFill>
                  <a:schemeClr val="accent2"/>
                </a:solidFill>
              </a:rPr>
              <a:t>HQC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041856212537431E-2"/>
          <c:y val="0.13692552474352129"/>
          <c:w val="0.85499174011352508"/>
          <c:h val="0.6503580352696221"/>
        </c:manualLayout>
      </c:layout>
      <c:lineChart>
        <c:grouping val="standard"/>
        <c:varyColors val="1"/>
        <c:ser>
          <c:idx val="4"/>
          <c:order val="6"/>
          <c:tx>
            <c:v>date</c:v>
          </c:tx>
          <c:marker>
            <c:symbol val="none"/>
          </c:marker>
          <c:cat>
            <c:numRef>
              <c:f>Estrone!$R$14:$R$55</c:f>
              <c:numCache>
                <c:formatCode>yyyy/mm/dd;@</c:formatCode>
                <c:ptCount val="42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  <c:pt idx="38">
                  <c:v>46044</c:v>
                </c:pt>
                <c:pt idx="39">
                  <c:v>46065</c:v>
                </c:pt>
              </c:numCache>
            </c:numRef>
          </c:cat>
          <c:val>
            <c:numRef>
              <c:f>Estrone!$R$14:$R$51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CB-45C5-9478-115B56D4E6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4825479"/>
        <c:axId val="1664720785"/>
      </c:lineChart>
      <c:scatterChart>
        <c:scatterStyle val="smoothMarker"/>
        <c:varyColors val="1"/>
        <c:ser>
          <c:idx val="3"/>
          <c:order val="1"/>
          <c:tx>
            <c:strRef>
              <c:f>Estrone!$Z$10</c:f>
              <c:strCache>
                <c:ptCount val="1"/>
                <c:pt idx="0">
                  <c:v>+3SD UCL</c:v>
                </c:pt>
              </c:strCache>
            </c:strRef>
          </c:tx>
          <c:spPr>
            <a:ln>
              <a:solidFill>
                <a:srgbClr val="C00000"/>
              </a:solidFill>
              <a:prstDash val="solid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C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EFA-4733-9D79-3F25E9EF6818}"/>
              </c:ext>
            </c:extLst>
          </c:dPt>
          <c:xVal>
            <c:numRef>
              <c:f>(Estrone!$R$4,Estrone!$T$4)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40</c:v>
                </c:pt>
              </c:numCache>
            </c:numRef>
          </c:xVal>
          <c:yVal>
            <c:numRef>
              <c:f>(Estrone!$Z$11,Estrone!$Z$11)</c:f>
              <c:numCache>
                <c:formatCode>0.00</c:formatCode>
                <c:ptCount val="2"/>
                <c:pt idx="0">
                  <c:v>3.808700922260901</c:v>
                </c:pt>
                <c:pt idx="1">
                  <c:v>3.808700922260901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ECB-45C5-9478-115B56D4E668}"/>
            </c:ext>
          </c:extLst>
        </c:ser>
        <c:ser>
          <c:idx val="1"/>
          <c:order val="5"/>
          <c:tx>
            <c:strRef>
              <c:f>Estrone!$W$10</c:f>
              <c:strCache>
                <c:ptCount val="1"/>
                <c:pt idx="0">
                  <c:v>-3SD LCL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00B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8EFA-4733-9D79-3F25E9EF6818}"/>
              </c:ext>
            </c:extLst>
          </c:dPt>
          <c:xVal>
            <c:numRef>
              <c:f>(Estrone!$R$4,Estrone!$T$4)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40</c:v>
                </c:pt>
              </c:numCache>
            </c:numRef>
          </c:xVal>
          <c:yVal>
            <c:numRef>
              <c:f>(Estrone!$W$11,Estrone!$W$11)</c:f>
              <c:numCache>
                <c:formatCode>0.00</c:formatCode>
                <c:ptCount val="2"/>
                <c:pt idx="0">
                  <c:v>2.6216740777390997</c:v>
                </c:pt>
                <c:pt idx="1">
                  <c:v>2.6216740777390997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ECB-45C5-9478-115B56D4E6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scatterChart>
        <c:scatterStyle val="lineMarker"/>
        <c:varyColors val="1"/>
        <c:ser>
          <c:idx val="0"/>
          <c:order val="0"/>
          <c:tx>
            <c:v>HQC</c:v>
          </c:tx>
          <c:marker>
            <c:symbol val="circle"/>
            <c:size val="10"/>
            <c:spPr>
              <a:solidFill>
                <a:schemeClr val="tx1">
                  <a:lumMod val="50000"/>
                  <a:lumOff val="50000"/>
                </a:schemeClr>
              </a:solidFill>
              <a:ln cmpd="sng">
                <a:solidFill>
                  <a:schemeClr val="tx1"/>
                </a:solidFill>
              </a:ln>
            </c:spPr>
          </c:marker>
          <c:xVal>
            <c:strRef>
              <c:f>Estrone!$P$14:$P$268</c:f>
              <c:str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strCache>
            </c:strRef>
          </c:xVal>
          <c:yVal>
            <c:numRef>
              <c:f>Estrone!$U$14:$U$268</c:f>
              <c:numCache>
                <c:formatCode>0.000</c:formatCode>
                <c:ptCount val="255"/>
                <c:pt idx="0">
                  <c:v>3.1040000000000001</c:v>
                </c:pt>
                <c:pt idx="1">
                  <c:v>3.2440000000000002</c:v>
                </c:pt>
                <c:pt idx="2">
                  <c:v>3.16</c:v>
                </c:pt>
                <c:pt idx="3">
                  <c:v>3.17</c:v>
                </c:pt>
                <c:pt idx="4">
                  <c:v>3.17</c:v>
                </c:pt>
                <c:pt idx="5">
                  <c:v>3.1669999999999998</c:v>
                </c:pt>
                <c:pt idx="6">
                  <c:v>3.3980000000000001</c:v>
                </c:pt>
                <c:pt idx="7">
                  <c:v>3.157</c:v>
                </c:pt>
                <c:pt idx="8">
                  <c:v>3.73</c:v>
                </c:pt>
                <c:pt idx="9">
                  <c:v>3.1480000000000001</c:v>
                </c:pt>
                <c:pt idx="10">
                  <c:v>3.18</c:v>
                </c:pt>
                <c:pt idx="11">
                  <c:v>3.145</c:v>
                </c:pt>
                <c:pt idx="12">
                  <c:v>3.35</c:v>
                </c:pt>
                <c:pt idx="13">
                  <c:v>3.32</c:v>
                </c:pt>
                <c:pt idx="14">
                  <c:v>2.96</c:v>
                </c:pt>
                <c:pt idx="15">
                  <c:v>3.5760000000000001</c:v>
                </c:pt>
                <c:pt idx="16">
                  <c:v>3.0409999999999999</c:v>
                </c:pt>
                <c:pt idx="17">
                  <c:v>3.3519999999999999</c:v>
                </c:pt>
                <c:pt idx="18">
                  <c:v>3.04</c:v>
                </c:pt>
                <c:pt idx="19">
                  <c:v>2.8319999999999999</c:v>
                </c:pt>
                <c:pt idx="20">
                  <c:v>3.47</c:v>
                </c:pt>
                <c:pt idx="21">
                  <c:v>3.2679999999999998</c:v>
                </c:pt>
                <c:pt idx="22">
                  <c:v>2.9357000000000002</c:v>
                </c:pt>
                <c:pt idx="23">
                  <c:v>3.0939999999999999</c:v>
                </c:pt>
                <c:pt idx="24">
                  <c:v>2.9047999999999998</c:v>
                </c:pt>
                <c:pt idx="25">
                  <c:v>2.9350000000000001</c:v>
                </c:pt>
                <c:pt idx="26">
                  <c:v>3.2810000000000001</c:v>
                </c:pt>
                <c:pt idx="27">
                  <c:v>3.32</c:v>
                </c:pt>
                <c:pt idx="28">
                  <c:v>3.121</c:v>
                </c:pt>
                <c:pt idx="29">
                  <c:v>2.879</c:v>
                </c:pt>
                <c:pt idx="30">
                  <c:v>3.3879999999999999</c:v>
                </c:pt>
                <c:pt idx="31">
                  <c:v>3.1309999999999998</c:v>
                </c:pt>
                <c:pt idx="32">
                  <c:v>3.468</c:v>
                </c:pt>
                <c:pt idx="33">
                  <c:v>3.2029999999999998</c:v>
                </c:pt>
                <c:pt idx="34">
                  <c:v>3.2839999999999998</c:v>
                </c:pt>
                <c:pt idx="35">
                  <c:v>3.5150000000000001</c:v>
                </c:pt>
                <c:pt idx="36">
                  <c:v>3.35</c:v>
                </c:pt>
                <c:pt idx="37">
                  <c:v>3.3450000000000002</c:v>
                </c:pt>
                <c:pt idx="38">
                  <c:v>3.37</c:v>
                </c:pt>
                <c:pt idx="39">
                  <c:v>3.101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ECB-45C5-9478-115B56D4E668}"/>
            </c:ext>
          </c:extLst>
        </c:ser>
        <c:ser>
          <c:idx val="5"/>
          <c:order val="2"/>
          <c:tx>
            <c:strRef>
              <c:f>Estrone!$Y$10</c:f>
              <c:strCache>
                <c:ptCount val="1"/>
                <c:pt idx="0">
                  <c:v>+2SD UCL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FF0000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5-8EFA-4733-9D79-3F25E9EF6818}"/>
              </c:ext>
            </c:extLst>
          </c:dPt>
          <c:xVal>
            <c:numRef>
              <c:f>(Estrone!$R$4,Estrone!$T$4)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40</c:v>
                </c:pt>
              </c:numCache>
            </c:numRef>
          </c:xVal>
          <c:yVal>
            <c:numRef>
              <c:f>(Estrone!$Y$11,Estrone!$Y$11)</c:f>
              <c:numCache>
                <c:formatCode>0.00</c:formatCode>
                <c:ptCount val="2"/>
                <c:pt idx="0">
                  <c:v>3.6108631148406007</c:v>
                </c:pt>
                <c:pt idx="1">
                  <c:v>3.6108631148406007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EECB-45C5-9478-115B56D4E668}"/>
            </c:ext>
          </c:extLst>
        </c:ser>
        <c:ser>
          <c:idx val="2"/>
          <c:order val="3"/>
          <c:tx>
            <c:v>Mean</c:v>
          </c:tx>
          <c:spPr>
            <a:ln>
              <a:solidFill>
                <a:schemeClr val="accent1"/>
              </a:solidFill>
              <a:prstDash val="sysDash"/>
            </a:ln>
          </c:spPr>
          <c:dPt>
            <c:idx val="0"/>
            <c:marker>
              <c:symbol val="none"/>
            </c:marker>
            <c:bubble3D val="0"/>
            <c:spPr>
              <a:ln w="28575">
                <a:solidFill>
                  <a:schemeClr val="accent1"/>
                </a:solidFill>
                <a:prstDash val="sysDot"/>
              </a:ln>
            </c:spPr>
            <c:extLst>
              <c:ext xmlns:c16="http://schemas.microsoft.com/office/drawing/2014/chart" uri="{C3380CC4-5D6E-409C-BE32-E72D297353CC}">
                <c16:uniqueId val="{00000007-8EFA-4733-9D79-3F25E9EF6818}"/>
              </c:ext>
            </c:extLst>
          </c:dPt>
          <c:xVal>
            <c:numRef>
              <c:f>(Estrone!$R$4,Estrone!$T$4)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40</c:v>
                </c:pt>
              </c:numCache>
            </c:numRef>
          </c:xVal>
          <c:yVal>
            <c:numRef>
              <c:f>(Estrone!$U$11,Estrone!$U$11)</c:f>
              <c:numCache>
                <c:formatCode>0.00</c:formatCode>
                <c:ptCount val="2"/>
                <c:pt idx="0">
                  <c:v>3.2151875000000003</c:v>
                </c:pt>
                <c:pt idx="1">
                  <c:v>3.2151875000000003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EECB-45C5-9478-115B56D4E668}"/>
            </c:ext>
          </c:extLst>
        </c:ser>
        <c:ser>
          <c:idx val="6"/>
          <c:order val="4"/>
          <c:tx>
            <c:strRef>
              <c:f>Estrone!$X$10</c:f>
              <c:strCache>
                <c:ptCount val="1"/>
                <c:pt idx="0">
                  <c:v>-2SD LCL</c:v>
                </c:pt>
              </c:strCache>
            </c:strRef>
          </c:tx>
          <c:spPr>
            <a:ln w="25400">
              <a:solidFill>
                <a:schemeClr val="accent6">
                  <a:lumMod val="60000"/>
                  <a:lumOff val="40000"/>
                </a:schemeClr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chemeClr val="accent6">
                    <a:lumMod val="60000"/>
                    <a:lumOff val="40000"/>
                  </a:scheme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9-8EFA-4733-9D79-3F25E9EF6818}"/>
              </c:ext>
            </c:extLst>
          </c:dPt>
          <c:xVal>
            <c:numRef>
              <c:f>(Estrone!$R$4,Estrone!$T$4)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40</c:v>
                </c:pt>
              </c:numCache>
            </c:numRef>
          </c:xVal>
          <c:yVal>
            <c:numRef>
              <c:f>(Estrone!$X$11,Estrone!$X$11)</c:f>
              <c:numCache>
                <c:formatCode>0.00</c:formatCode>
                <c:ptCount val="2"/>
                <c:pt idx="0">
                  <c:v>2.8195118851593999</c:v>
                </c:pt>
                <c:pt idx="1">
                  <c:v>2.8195118851593999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EECB-45C5-9478-115B56D4E6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catAx>
        <c:axId val="1414825479"/>
        <c:scaling>
          <c:orientation val="minMax"/>
        </c:scaling>
        <c:delete val="0"/>
        <c:axPos val="b"/>
        <c:numFmt formatCode="[$-409]d/mmm/yy;@" sourceLinked="0"/>
        <c:majorTickMark val="out"/>
        <c:minorTickMark val="out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664720785"/>
        <c:crosses val="autoZero"/>
        <c:auto val="0"/>
        <c:lblAlgn val="ctr"/>
        <c:lblOffset val="100"/>
        <c:noMultiLvlLbl val="1"/>
      </c:catAx>
      <c:valAx>
        <c:axId val="1664720785"/>
        <c:scaling>
          <c:orientation val="minMax"/>
          <c:max val="5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HQC [nmol/L]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/>
        </c:spPr>
        <c:crossAx val="1414825479"/>
        <c:crosses val="autoZero"/>
        <c:crossBetween val="between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</c:spPr>
      <c:txPr>
        <a:bodyPr anchor="ctr" anchorCtr="1"/>
        <a:lstStyle/>
        <a:p>
          <a:pPr rtl="0">
            <a:defRPr sz="1200"/>
          </a:pPr>
          <a:endParaRPr lang="en-US"/>
        </a:p>
      </c:txPr>
    </c:legend>
    <c:plotVisOnly val="1"/>
    <c:dispBlanksAs val="span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noFill/>
    </a:ln>
  </c:spPr>
  <c:txPr>
    <a:bodyPr/>
    <a:lstStyle/>
    <a:p>
      <a:pPr>
        <a:defRPr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SG">
                <a:solidFill>
                  <a:schemeClr val="accent6"/>
                </a:solidFill>
              </a:rPr>
              <a:t>LQC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041856212537431E-2"/>
          <c:y val="0.13692552474352129"/>
          <c:w val="0.85499174011352508"/>
          <c:h val="0.6503580352696221"/>
        </c:manualLayout>
      </c:layout>
      <c:lineChart>
        <c:grouping val="standard"/>
        <c:varyColors val="1"/>
        <c:ser>
          <c:idx val="4"/>
          <c:order val="6"/>
          <c:tx>
            <c:v>date</c:v>
          </c:tx>
          <c:marker>
            <c:symbol val="none"/>
          </c:marker>
          <c:cat>
            <c:numRef>
              <c:f>Estrone!$R$14:$R$55</c:f>
              <c:numCache>
                <c:formatCode>yyyy/mm/dd;@</c:formatCode>
                <c:ptCount val="42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  <c:pt idx="38">
                  <c:v>46044</c:v>
                </c:pt>
                <c:pt idx="39">
                  <c:v>46065</c:v>
                </c:pt>
              </c:numCache>
            </c:numRef>
          </c:cat>
          <c:val>
            <c:numRef>
              <c:f>Estrone!$R$14:$R$55</c:f>
              <c:numCache>
                <c:formatCode>yyyy/mm/dd;@</c:formatCode>
                <c:ptCount val="42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  <c:pt idx="38">
                  <c:v>46044</c:v>
                </c:pt>
                <c:pt idx="39">
                  <c:v>46065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C4-4A0F-B628-1D3F9DB32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4825479"/>
        <c:axId val="1664720785"/>
      </c:lineChart>
      <c:scatterChart>
        <c:scatterStyle val="smoothMarker"/>
        <c:varyColors val="1"/>
        <c:ser>
          <c:idx val="3"/>
          <c:order val="1"/>
          <c:tx>
            <c:strRef>
              <c:f>Estrone!$AH$10</c:f>
              <c:strCache>
                <c:ptCount val="1"/>
                <c:pt idx="0">
                  <c:v>+3SD UCL</c:v>
                </c:pt>
              </c:strCache>
            </c:strRef>
          </c:tx>
          <c:spPr>
            <a:ln>
              <a:solidFill>
                <a:srgbClr val="C00000"/>
              </a:solidFill>
              <a:prstDash val="solid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C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571-4EDC-A4CF-7F0E79CAF636}"/>
              </c:ext>
            </c:extLst>
          </c:dPt>
          <c:xVal>
            <c:numRef>
              <c:f>(Estrone!$R$4,Estrone!$T$4)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40</c:v>
                </c:pt>
              </c:numCache>
            </c:numRef>
          </c:xVal>
          <c:yVal>
            <c:numRef>
              <c:f>(Estrone!$AH$11,Estrone!$AH$11)</c:f>
              <c:numCache>
                <c:formatCode>0.00</c:formatCode>
                <c:ptCount val="2"/>
                <c:pt idx="0">
                  <c:v>0.22628973108894629</c:v>
                </c:pt>
                <c:pt idx="1">
                  <c:v>0.22628973108894629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7C4-4A0F-B628-1D3F9DB32FD3}"/>
            </c:ext>
          </c:extLst>
        </c:ser>
        <c:ser>
          <c:idx val="1"/>
          <c:order val="2"/>
          <c:tx>
            <c:strRef>
              <c:f>Estrone!$AG$10</c:f>
              <c:strCache>
                <c:ptCount val="1"/>
                <c:pt idx="0">
                  <c:v>+2SD UCL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00B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4571-4EDC-A4CF-7F0E79CAF636}"/>
              </c:ext>
            </c:extLst>
          </c:dPt>
          <c:xVal>
            <c:numRef>
              <c:f>(Estrone!$R$4,Estrone!$T$4)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40</c:v>
                </c:pt>
              </c:numCache>
            </c:numRef>
          </c:xVal>
          <c:yVal>
            <c:numRef>
              <c:f>(Estrone!$AG$11,Estrone!$AG$11)</c:f>
              <c:numCache>
                <c:formatCode>0.00</c:formatCode>
                <c:ptCount val="2"/>
                <c:pt idx="0">
                  <c:v>0.21083898739263088</c:v>
                </c:pt>
                <c:pt idx="1">
                  <c:v>0.21083898739263088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7C4-4A0F-B628-1D3F9DB32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scatterChart>
        <c:scatterStyle val="lineMarker"/>
        <c:varyColors val="1"/>
        <c:ser>
          <c:idx val="0"/>
          <c:order val="0"/>
          <c:tx>
            <c:v>LQC</c:v>
          </c:tx>
          <c:marker>
            <c:symbol val="circle"/>
            <c:size val="10"/>
            <c:spPr>
              <a:solidFill>
                <a:schemeClr val="tx1">
                  <a:lumMod val="50000"/>
                  <a:lumOff val="50000"/>
                </a:schemeClr>
              </a:solidFill>
              <a:ln cmpd="sng">
                <a:solidFill>
                  <a:schemeClr val="tx1"/>
                </a:solidFill>
              </a:ln>
            </c:spPr>
          </c:marker>
          <c:xVal>
            <c:strRef>
              <c:f>Estrone!$P$14:$P$268</c:f>
              <c:str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strCache>
            </c:strRef>
          </c:xVal>
          <c:yVal>
            <c:numRef>
              <c:f>Estrone!$AC$14:$AC$268</c:f>
              <c:numCache>
                <c:formatCode>0.000</c:formatCode>
                <c:ptCount val="255"/>
                <c:pt idx="0">
                  <c:v>0.19400000000000001</c:v>
                </c:pt>
                <c:pt idx="1">
                  <c:v>0.19800000000000001</c:v>
                </c:pt>
                <c:pt idx="2">
                  <c:v>0.223</c:v>
                </c:pt>
                <c:pt idx="3">
                  <c:v>0.20499999999999999</c:v>
                </c:pt>
                <c:pt idx="4">
                  <c:v>0.186</c:v>
                </c:pt>
                <c:pt idx="5">
                  <c:v>0.185</c:v>
                </c:pt>
                <c:pt idx="6">
                  <c:v>0.16</c:v>
                </c:pt>
                <c:pt idx="7">
                  <c:v>0.16300000000000001</c:v>
                </c:pt>
                <c:pt idx="8">
                  <c:v>0.18099999999999999</c:v>
                </c:pt>
                <c:pt idx="9">
                  <c:v>0.17299999999999999</c:v>
                </c:pt>
                <c:pt idx="10">
                  <c:v>0.17299999999999999</c:v>
                </c:pt>
                <c:pt idx="11">
                  <c:v>0.16900000000000001</c:v>
                </c:pt>
                <c:pt idx="12">
                  <c:v>0.192</c:v>
                </c:pt>
                <c:pt idx="13">
                  <c:v>0.17199999999999999</c:v>
                </c:pt>
                <c:pt idx="14">
                  <c:v>0.159</c:v>
                </c:pt>
                <c:pt idx="15">
                  <c:v>0.16300000000000001</c:v>
                </c:pt>
                <c:pt idx="16">
                  <c:v>0.18</c:v>
                </c:pt>
                <c:pt idx="17">
                  <c:v>0.18099999999999999</c:v>
                </c:pt>
                <c:pt idx="18">
                  <c:v>0.185</c:v>
                </c:pt>
                <c:pt idx="19">
                  <c:v>0.17599999999999999</c:v>
                </c:pt>
                <c:pt idx="20">
                  <c:v>0.17</c:v>
                </c:pt>
                <c:pt idx="21">
                  <c:v>0.17100000000000001</c:v>
                </c:pt>
                <c:pt idx="22">
                  <c:v>0.19040000000000001</c:v>
                </c:pt>
                <c:pt idx="23">
                  <c:v>0.14779999999999999</c:v>
                </c:pt>
                <c:pt idx="24">
                  <c:v>0.17169999999999999</c:v>
                </c:pt>
                <c:pt idx="25">
                  <c:v>0.16159999999999999</c:v>
                </c:pt>
                <c:pt idx="26">
                  <c:v>0.188</c:v>
                </c:pt>
                <c:pt idx="27">
                  <c:v>0.183</c:v>
                </c:pt>
                <c:pt idx="28">
                  <c:v>0.18099999999999999</c:v>
                </c:pt>
                <c:pt idx="29">
                  <c:v>0.17199999999999999</c:v>
                </c:pt>
                <c:pt idx="30">
                  <c:v>0.19500000000000001</c:v>
                </c:pt>
                <c:pt idx="31">
                  <c:v>0.186</c:v>
                </c:pt>
                <c:pt idx="32">
                  <c:v>0.17399999999999999</c:v>
                </c:pt>
                <c:pt idx="33">
                  <c:v>0.17899999999999999</c:v>
                </c:pt>
                <c:pt idx="34">
                  <c:v>0.21099999999999999</c:v>
                </c:pt>
                <c:pt idx="35">
                  <c:v>0.193</c:v>
                </c:pt>
                <c:pt idx="36">
                  <c:v>0.16500000000000001</c:v>
                </c:pt>
                <c:pt idx="37">
                  <c:v>0.2</c:v>
                </c:pt>
                <c:pt idx="38">
                  <c:v>0.18099999999999999</c:v>
                </c:pt>
                <c:pt idx="39">
                  <c:v>0.159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7C4-4A0F-B628-1D3F9DB32FD3}"/>
            </c:ext>
          </c:extLst>
        </c:ser>
        <c:ser>
          <c:idx val="2"/>
          <c:order val="3"/>
          <c:tx>
            <c:v>Mean</c:v>
          </c:tx>
          <c:spPr>
            <a:ln>
              <a:solidFill>
                <a:schemeClr val="accent1"/>
              </a:solidFill>
              <a:prstDash val="sysDash"/>
            </a:ln>
          </c:spPr>
          <c:dPt>
            <c:idx val="0"/>
            <c:marker>
              <c:symbol val="none"/>
            </c:marker>
            <c:bubble3D val="0"/>
            <c:spPr>
              <a:ln w="28575">
                <a:solidFill>
                  <a:schemeClr val="accent1"/>
                </a:solidFill>
                <a:prstDash val="sysDot"/>
              </a:ln>
            </c:spPr>
            <c:extLst>
              <c:ext xmlns:c16="http://schemas.microsoft.com/office/drawing/2014/chart" uri="{C3380CC4-5D6E-409C-BE32-E72D297353CC}">
                <c16:uniqueId val="{00000005-4571-4EDC-A4CF-7F0E79CAF636}"/>
              </c:ext>
            </c:extLst>
          </c:dPt>
          <c:xVal>
            <c:numRef>
              <c:f>(Estrone!$R$4,Estrone!$T$4)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40</c:v>
                </c:pt>
              </c:numCache>
            </c:numRef>
          </c:xVal>
          <c:yVal>
            <c:numRef>
              <c:f>(Estrone!$AC$11,Estrone!$AC$11)</c:f>
              <c:numCache>
                <c:formatCode>0.00</c:formatCode>
                <c:ptCount val="2"/>
                <c:pt idx="0">
                  <c:v>0.17993750000000003</c:v>
                </c:pt>
                <c:pt idx="1">
                  <c:v>0.17993750000000003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7C4-4A0F-B628-1D3F9DB32FD3}"/>
            </c:ext>
          </c:extLst>
        </c:ser>
        <c:ser>
          <c:idx val="6"/>
          <c:order val="4"/>
          <c:tx>
            <c:strRef>
              <c:f>Estrone!$AF$10</c:f>
              <c:strCache>
                <c:ptCount val="1"/>
                <c:pt idx="0">
                  <c:v>-2SD LCL</c:v>
                </c:pt>
              </c:strCache>
            </c:strRef>
          </c:tx>
          <c:spPr>
            <a:ln w="25400">
              <a:solidFill>
                <a:schemeClr val="accent6">
                  <a:lumMod val="60000"/>
                  <a:lumOff val="40000"/>
                </a:schemeClr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chemeClr val="accent6">
                    <a:lumMod val="60000"/>
                    <a:lumOff val="40000"/>
                  </a:scheme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7-4571-4EDC-A4CF-7F0E79CAF636}"/>
              </c:ext>
            </c:extLst>
          </c:dPt>
          <c:xVal>
            <c:numRef>
              <c:f>(Estrone!$R$4,Estrone!$T$4)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40</c:v>
                </c:pt>
              </c:numCache>
            </c:numRef>
          </c:xVal>
          <c:yVal>
            <c:numRef>
              <c:f>(Estrone!$AF$11,Estrone!$AF$11)</c:f>
              <c:numCache>
                <c:formatCode>0.00</c:formatCode>
                <c:ptCount val="2"/>
                <c:pt idx="0">
                  <c:v>0.14903601260736918</c:v>
                </c:pt>
                <c:pt idx="1">
                  <c:v>0.14903601260736918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47C4-4A0F-B628-1D3F9DB32FD3}"/>
            </c:ext>
          </c:extLst>
        </c:ser>
        <c:ser>
          <c:idx val="5"/>
          <c:order val="5"/>
          <c:tx>
            <c:strRef>
              <c:f>Estrone!$AE$10</c:f>
              <c:strCache>
                <c:ptCount val="1"/>
                <c:pt idx="0">
                  <c:v>-3SD LCL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FF0000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9-4571-4EDC-A4CF-7F0E79CAF636}"/>
              </c:ext>
            </c:extLst>
          </c:dPt>
          <c:xVal>
            <c:numRef>
              <c:f>(Estrone!$R$4,Estrone!$T$4)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40</c:v>
                </c:pt>
              </c:numCache>
            </c:numRef>
          </c:xVal>
          <c:yVal>
            <c:numRef>
              <c:f>(Estrone!$AE$11,Estrone!$AE$11)</c:f>
              <c:numCache>
                <c:formatCode>0.00</c:formatCode>
                <c:ptCount val="2"/>
                <c:pt idx="0">
                  <c:v>0.13358526891105377</c:v>
                </c:pt>
                <c:pt idx="1">
                  <c:v>0.13358526891105377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47C4-4A0F-B628-1D3F9DB32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catAx>
        <c:axId val="1414825479"/>
        <c:scaling>
          <c:orientation val="minMax"/>
        </c:scaling>
        <c:delete val="0"/>
        <c:axPos val="b"/>
        <c:numFmt formatCode="[$-409]d/mmm/yy;@" sourceLinked="0"/>
        <c:majorTickMark val="out"/>
        <c:minorTickMark val="out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664720785"/>
        <c:crosses val="autoZero"/>
        <c:auto val="0"/>
        <c:lblAlgn val="ctr"/>
        <c:lblOffset val="100"/>
        <c:noMultiLvlLbl val="1"/>
      </c:catAx>
      <c:valAx>
        <c:axId val="1664720785"/>
        <c:scaling>
          <c:orientation val="minMax"/>
          <c:max val="0.30000000000000004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200">
                    <a:solidFill>
                      <a:schemeClr val="accent6"/>
                    </a:solidFill>
                  </a:rPr>
                  <a:t>LQC [nmol/L]</a:t>
                </a:r>
              </a:p>
            </c:rich>
          </c:tx>
          <c:layout>
            <c:manualLayout>
              <c:xMode val="edge"/>
              <c:yMode val="edge"/>
              <c:x val="1.2907702223661067E-2"/>
              <c:y val="0.40450724699866752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/>
        </c:spPr>
        <c:crossAx val="1414825479"/>
        <c:crosses val="autoZero"/>
        <c:crossBetween val="between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</c:spPr>
      <c:txPr>
        <a:bodyPr anchor="ctr" anchorCtr="1"/>
        <a:lstStyle/>
        <a:p>
          <a:pPr rtl="0">
            <a:defRPr sz="1200"/>
          </a:pPr>
          <a:endParaRPr lang="en-US"/>
        </a:p>
      </c:txPr>
    </c:legend>
    <c:plotVisOnly val="1"/>
    <c:dispBlanksAs val="span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noFill/>
    </a:ln>
  </c:spPr>
  <c:txPr>
    <a:bodyPr/>
    <a:lstStyle/>
    <a:p>
      <a:pPr>
        <a:defRPr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SG">
                <a:solidFill>
                  <a:sysClr val="windowText" lastClr="000000"/>
                </a:solidFill>
              </a:rPr>
              <a:t>ACCURACY</a:t>
            </a:r>
          </a:p>
        </c:rich>
      </c:tx>
      <c:overlay val="0"/>
      <c:spPr>
        <a:noFill/>
      </c:spPr>
    </c:title>
    <c:autoTitleDeleted val="0"/>
    <c:plotArea>
      <c:layout>
        <c:manualLayout>
          <c:layoutTarget val="inner"/>
          <c:xMode val="edge"/>
          <c:yMode val="edge"/>
          <c:x val="9.7388134921387773E-2"/>
          <c:y val="0.12595373243973218"/>
          <c:w val="0.85499174011352508"/>
          <c:h val="0.6503580352696221"/>
        </c:manualLayout>
      </c:layout>
      <c:lineChart>
        <c:grouping val="standard"/>
        <c:varyColors val="1"/>
        <c:ser>
          <c:idx val="4"/>
          <c:order val="4"/>
          <c:tx>
            <c:v>date</c:v>
          </c:tx>
          <c:marker>
            <c:symbol val="none"/>
          </c:marker>
          <c:cat>
            <c:numRef>
              <c:f>Estrone!$R$14:$R$51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</c:numCache>
            </c:numRef>
          </c:cat>
          <c:val>
            <c:numRef>
              <c:f>Estrone!$R$14:$R$51</c:f>
              <c:numCache>
                <c:formatCode>yyyy/mm/dd;@</c:formatCode>
                <c:ptCount val="38"/>
                <c:pt idx="0">
                  <c:v>45677</c:v>
                </c:pt>
                <c:pt idx="1">
                  <c:v>45677</c:v>
                </c:pt>
                <c:pt idx="2">
                  <c:v>45677</c:v>
                </c:pt>
                <c:pt idx="3">
                  <c:v>45677</c:v>
                </c:pt>
                <c:pt idx="4">
                  <c:v>45677</c:v>
                </c:pt>
                <c:pt idx="5">
                  <c:v>45678</c:v>
                </c:pt>
                <c:pt idx="6">
                  <c:v>45678</c:v>
                </c:pt>
                <c:pt idx="7">
                  <c:v>45678</c:v>
                </c:pt>
                <c:pt idx="8">
                  <c:v>45678</c:v>
                </c:pt>
                <c:pt idx="9">
                  <c:v>45678</c:v>
                </c:pt>
                <c:pt idx="10">
                  <c:v>45679</c:v>
                </c:pt>
                <c:pt idx="11">
                  <c:v>45679</c:v>
                </c:pt>
                <c:pt idx="12">
                  <c:v>45679</c:v>
                </c:pt>
                <c:pt idx="13">
                  <c:v>45679</c:v>
                </c:pt>
                <c:pt idx="14">
                  <c:v>45679</c:v>
                </c:pt>
                <c:pt idx="15">
                  <c:v>45681</c:v>
                </c:pt>
                <c:pt idx="16">
                  <c:v>45681</c:v>
                </c:pt>
                <c:pt idx="17">
                  <c:v>45681</c:v>
                </c:pt>
                <c:pt idx="18">
                  <c:v>45681</c:v>
                </c:pt>
                <c:pt idx="19">
                  <c:v>45681</c:v>
                </c:pt>
                <c:pt idx="20">
                  <c:v>45743</c:v>
                </c:pt>
                <c:pt idx="21">
                  <c:v>45743</c:v>
                </c:pt>
                <c:pt idx="22">
                  <c:v>45772</c:v>
                </c:pt>
                <c:pt idx="23">
                  <c:v>45772</c:v>
                </c:pt>
                <c:pt idx="24">
                  <c:v>45785</c:v>
                </c:pt>
                <c:pt idx="25">
                  <c:v>45785</c:v>
                </c:pt>
                <c:pt idx="26">
                  <c:v>45793</c:v>
                </c:pt>
                <c:pt idx="27">
                  <c:v>45793</c:v>
                </c:pt>
                <c:pt idx="28">
                  <c:v>45804</c:v>
                </c:pt>
                <c:pt idx="29">
                  <c:v>45804</c:v>
                </c:pt>
                <c:pt idx="30">
                  <c:v>45825</c:v>
                </c:pt>
                <c:pt idx="31">
                  <c:v>45825</c:v>
                </c:pt>
                <c:pt idx="32">
                  <c:v>45825</c:v>
                </c:pt>
                <c:pt idx="33">
                  <c:v>45825</c:v>
                </c:pt>
                <c:pt idx="34">
                  <c:v>45860</c:v>
                </c:pt>
                <c:pt idx="35">
                  <c:v>45860</c:v>
                </c:pt>
                <c:pt idx="36">
                  <c:v>45912</c:v>
                </c:pt>
                <c:pt idx="37">
                  <c:v>46044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B2-4DD6-9378-798F6A7D7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4825479"/>
        <c:axId val="1664720785"/>
      </c:lineChart>
      <c:scatterChart>
        <c:scatterStyle val="lineMarker"/>
        <c:varyColors val="1"/>
        <c:ser>
          <c:idx val="1"/>
          <c:order val="0"/>
          <c:tx>
            <c:v>LQC Acc</c:v>
          </c:tx>
          <c:spPr>
            <a:ln>
              <a:solidFill>
                <a:schemeClr val="accent6">
                  <a:lumMod val="50000"/>
                </a:schemeClr>
              </a:solidFill>
            </a:ln>
          </c:spPr>
          <c:marker>
            <c:symbol val="circle"/>
            <c:size val="10"/>
            <c:spPr>
              <a:solidFill>
                <a:schemeClr val="accent6"/>
              </a:solidFill>
              <a:ln>
                <a:solidFill>
                  <a:schemeClr val="accent6"/>
                </a:solidFill>
              </a:ln>
            </c:spPr>
          </c:marker>
          <c:xVal>
            <c:strRef>
              <c:f>Estrone!$P$14:$P$268</c:f>
              <c:str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strCache>
            </c:strRef>
          </c:xVal>
          <c:yVal>
            <c:numRef>
              <c:f>Estrone!$AH$14:$AH$268</c:f>
              <c:numCache>
                <c:formatCode>0.0%</c:formatCode>
                <c:ptCount val="255"/>
                <c:pt idx="0">
                  <c:v>1.1117478510028653</c:v>
                </c:pt>
                <c:pt idx="1">
                  <c:v>1.1346704871060174</c:v>
                </c:pt>
                <c:pt idx="2">
                  <c:v>1.2779369627507164</c:v>
                </c:pt>
                <c:pt idx="3">
                  <c:v>1.174785100286533</c:v>
                </c:pt>
                <c:pt idx="4">
                  <c:v>1.0659025787965617</c:v>
                </c:pt>
                <c:pt idx="5">
                  <c:v>1.0601719197707737</c:v>
                </c:pt>
                <c:pt idx="6">
                  <c:v>0.91690544412607455</c:v>
                </c:pt>
                <c:pt idx="7">
                  <c:v>0.93409742120343853</c:v>
                </c:pt>
                <c:pt idx="8">
                  <c:v>1.0372492836676217</c:v>
                </c:pt>
                <c:pt idx="9">
                  <c:v>0.99140401146131807</c:v>
                </c:pt>
                <c:pt idx="10">
                  <c:v>0.99140401146131807</c:v>
                </c:pt>
                <c:pt idx="11">
                  <c:v>0.96848137535816636</c:v>
                </c:pt>
                <c:pt idx="12">
                  <c:v>1.1002865329512894</c:v>
                </c:pt>
                <c:pt idx="13">
                  <c:v>0.98567335243553011</c:v>
                </c:pt>
                <c:pt idx="14">
                  <c:v>0.9111747851002866</c:v>
                </c:pt>
                <c:pt idx="15">
                  <c:v>0.93409742120343853</c:v>
                </c:pt>
                <c:pt idx="16">
                  <c:v>1.0315186246418337</c:v>
                </c:pt>
                <c:pt idx="17">
                  <c:v>1.0372492836676217</c:v>
                </c:pt>
                <c:pt idx="18">
                  <c:v>1.0601719197707737</c:v>
                </c:pt>
                <c:pt idx="19">
                  <c:v>1.0085959885386819</c:v>
                </c:pt>
                <c:pt idx="20">
                  <c:v>0.91299677765843179</c:v>
                </c:pt>
                <c:pt idx="21">
                  <c:v>0.91836734693877553</c:v>
                </c:pt>
                <c:pt idx="22">
                  <c:v>1.0225563909774436</c:v>
                </c:pt>
                <c:pt idx="23">
                  <c:v>0.79377013963480125</c:v>
                </c:pt>
                <c:pt idx="24">
                  <c:v>0.92212674543501605</c:v>
                </c:pt>
                <c:pt idx="25">
                  <c:v>0.86788399570354458</c:v>
                </c:pt>
                <c:pt idx="26">
                  <c:v>1.0096670247046187</c:v>
                </c:pt>
                <c:pt idx="27">
                  <c:v>0.98281417830290008</c:v>
                </c:pt>
                <c:pt idx="28">
                  <c:v>0.9720730397422126</c:v>
                </c:pt>
                <c:pt idx="29">
                  <c:v>0.92373791621911916</c:v>
                </c:pt>
                <c:pt idx="30">
                  <c:v>1.0472610096670247</c:v>
                </c:pt>
                <c:pt idx="31">
                  <c:v>0.99892588614393119</c:v>
                </c:pt>
                <c:pt idx="32">
                  <c:v>0.93447905477980653</c:v>
                </c:pt>
                <c:pt idx="33">
                  <c:v>0.96133190118152523</c:v>
                </c:pt>
                <c:pt idx="34">
                  <c:v>1.1331901181525241</c:v>
                </c:pt>
                <c:pt idx="35">
                  <c:v>1.0365198711063373</c:v>
                </c:pt>
                <c:pt idx="36">
                  <c:v>0.8861439312567132</c:v>
                </c:pt>
                <c:pt idx="37">
                  <c:v>1.0741138560687433</c:v>
                </c:pt>
                <c:pt idx="38">
                  <c:v>0.9720730397422126</c:v>
                </c:pt>
                <c:pt idx="39">
                  <c:v>0.85392051557465087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B2-4DD6-9378-798F6A7D7ED7}"/>
            </c:ext>
          </c:extLst>
        </c:ser>
        <c:ser>
          <c:idx val="0"/>
          <c:order val="1"/>
          <c:tx>
            <c:v>HQC Acc.</c:v>
          </c:tx>
          <c:spPr>
            <a:ln>
              <a:solidFill>
                <a:schemeClr val="accent2">
                  <a:lumMod val="50000"/>
                </a:schemeClr>
              </a:solidFill>
            </a:ln>
          </c:spPr>
          <c:marker>
            <c:symbol val="circle"/>
            <c:size val="10"/>
            <c:spPr>
              <a:solidFill>
                <a:srgbClr val="FFC000"/>
              </a:solidFill>
              <a:ln cmpd="sng">
                <a:solidFill>
                  <a:schemeClr val="accent2"/>
                </a:solidFill>
              </a:ln>
            </c:spPr>
          </c:marker>
          <c:xVal>
            <c:strRef>
              <c:f>Estrone!$P$14:$P$268</c:f>
              <c:str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strCache>
            </c:strRef>
          </c:xVal>
          <c:yVal>
            <c:numRef>
              <c:f>Estrone!$Z$14:$Z$268</c:f>
              <c:numCache>
                <c:formatCode>0.0%</c:formatCode>
                <c:ptCount val="255"/>
                <c:pt idx="0">
                  <c:v>1.0114043662430761</c:v>
                </c:pt>
                <c:pt idx="1">
                  <c:v>1.0570218312153796</c:v>
                </c:pt>
                <c:pt idx="2">
                  <c:v>1.0296513522319974</c:v>
                </c:pt>
                <c:pt idx="3">
                  <c:v>1.0329097425871618</c:v>
                </c:pt>
                <c:pt idx="4">
                  <c:v>1.0329097425871618</c:v>
                </c:pt>
                <c:pt idx="5">
                  <c:v>1.0319322254806125</c:v>
                </c:pt>
                <c:pt idx="6">
                  <c:v>1.1072010426849137</c:v>
                </c:pt>
                <c:pt idx="7">
                  <c:v>1.0286738351254481</c:v>
                </c:pt>
                <c:pt idx="8">
                  <c:v>1.2153796024763768</c:v>
                </c:pt>
                <c:pt idx="9">
                  <c:v>1.0257412838058</c:v>
                </c:pt>
                <c:pt idx="10">
                  <c:v>1.0361681329423265</c:v>
                </c:pt>
                <c:pt idx="11">
                  <c:v>1.0247637666992506</c:v>
                </c:pt>
                <c:pt idx="12">
                  <c:v>1.0915607689801239</c:v>
                </c:pt>
                <c:pt idx="13">
                  <c:v>1.0817855979146302</c:v>
                </c:pt>
                <c:pt idx="14">
                  <c:v>0.96448354512870638</c:v>
                </c:pt>
                <c:pt idx="15">
                  <c:v>1.1652003910068427</c:v>
                </c:pt>
                <c:pt idx="16">
                  <c:v>0.99087650700553931</c:v>
                </c:pt>
                <c:pt idx="17">
                  <c:v>1.0922124470511567</c:v>
                </c:pt>
                <c:pt idx="18">
                  <c:v>0.99055066797002289</c:v>
                </c:pt>
                <c:pt idx="19">
                  <c:v>0.92277614858260015</c:v>
                </c:pt>
                <c:pt idx="20">
                  <c:v>1.0367493277561997</c:v>
                </c:pt>
                <c:pt idx="21">
                  <c:v>0.97639677322975793</c:v>
                </c:pt>
                <c:pt idx="22">
                  <c:v>0.87711383328353754</c:v>
                </c:pt>
                <c:pt idx="23">
                  <c:v>0.9244099193307439</c:v>
                </c:pt>
                <c:pt idx="24">
                  <c:v>0.86788168509112629</c:v>
                </c:pt>
                <c:pt idx="25">
                  <c:v>0.87690469076785182</c:v>
                </c:pt>
                <c:pt idx="26">
                  <c:v>0.98028084852106367</c:v>
                </c:pt>
                <c:pt idx="27">
                  <c:v>0.99193307439498057</c:v>
                </c:pt>
                <c:pt idx="28">
                  <c:v>0.93247684493576333</c:v>
                </c:pt>
                <c:pt idx="29">
                  <c:v>0.86017328951299676</c:v>
                </c:pt>
                <c:pt idx="30">
                  <c:v>1.0122497759187332</c:v>
                </c:pt>
                <c:pt idx="31">
                  <c:v>0.93546459515984459</c:v>
                </c:pt>
                <c:pt idx="32">
                  <c:v>1.0361517777113833</c:v>
                </c:pt>
                <c:pt idx="33">
                  <c:v>0.95697639677322976</c:v>
                </c:pt>
                <c:pt idx="34">
                  <c:v>0.98117717358828793</c:v>
                </c:pt>
                <c:pt idx="35">
                  <c:v>1.0501942037645653</c:v>
                </c:pt>
                <c:pt idx="36">
                  <c:v>1.0008963250672245</c:v>
                </c:pt>
                <c:pt idx="37">
                  <c:v>0.99940244995518379</c:v>
                </c:pt>
                <c:pt idx="38">
                  <c:v>1.006871825515387</c:v>
                </c:pt>
                <c:pt idx="39">
                  <c:v>0.9265013444876008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9B2-4DD6-9378-798F6A7D7ED7}"/>
            </c:ext>
          </c:extLst>
        </c:ser>
        <c:ser>
          <c:idx val="5"/>
          <c:order val="2"/>
          <c:tx>
            <c:v>UCL</c:v>
          </c:tx>
          <c:spPr>
            <a:ln>
              <a:prstDash val="dash"/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rgbClr val="C00000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1-7E14-4309-804D-A170F53E81B6}"/>
              </c:ext>
            </c:extLst>
          </c:dPt>
          <c:xVal>
            <c:numRef>
              <c:f>(Estrone!$R$4,Estrone!$T$4)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40</c:v>
                </c:pt>
              </c:numCache>
            </c:numRef>
          </c:xVal>
          <c:yVal>
            <c:numRef>
              <c:f>(Estrone!$Q$11,Estrone!$Q$11)</c:f>
              <c:numCache>
                <c:formatCode>0%</c:formatCode>
                <c:ptCount val="2"/>
                <c:pt idx="0">
                  <c:v>1.1499999999999999</c:v>
                </c:pt>
                <c:pt idx="1">
                  <c:v>1.1499999999999999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9B2-4DD6-9378-798F6A7D7ED7}"/>
            </c:ext>
          </c:extLst>
        </c:ser>
        <c:ser>
          <c:idx val="6"/>
          <c:order val="3"/>
          <c:tx>
            <c:v>LCL</c:v>
          </c:tx>
          <c:spPr>
            <a:ln w="25400"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dPt>
            <c:idx val="0"/>
            <c:bubble3D val="0"/>
            <c:spPr>
              <a:ln w="25400">
                <a:solidFill>
                  <a:schemeClr val="accent6">
                    <a:lumMod val="75000"/>
                  </a:scheme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3-7E14-4309-804D-A170F53E81B6}"/>
              </c:ext>
            </c:extLst>
          </c:dPt>
          <c:xVal>
            <c:numRef>
              <c:f>(Estrone!$R$4,Estrone!$T$4)</c:f>
              <c:numCache>
                <c:formatCode>General</c:formatCode>
                <c:ptCount val="2"/>
                <c:pt idx="0" formatCode="0">
                  <c:v>1</c:v>
                </c:pt>
                <c:pt idx="1">
                  <c:v>40</c:v>
                </c:pt>
              </c:numCache>
            </c:numRef>
          </c:xVal>
          <c:yVal>
            <c:numRef>
              <c:f>(Estrone!$R$11,Estrone!$R$11)</c:f>
              <c:numCache>
                <c:formatCode>0%</c:formatCode>
                <c:ptCount val="2"/>
                <c:pt idx="0">
                  <c:v>0.8</c:v>
                </c:pt>
                <c:pt idx="1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9B2-4DD6-9378-798F6A7D7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25479"/>
        <c:axId val="1664720785"/>
      </c:scatterChart>
      <c:catAx>
        <c:axId val="1414825479"/>
        <c:scaling>
          <c:orientation val="minMax"/>
        </c:scaling>
        <c:delete val="0"/>
        <c:axPos val="b"/>
        <c:numFmt formatCode="[$-409]d/mmm/yy;@" sourceLinked="0"/>
        <c:majorTickMark val="out"/>
        <c:minorTickMark val="out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664720785"/>
        <c:crosses val="autoZero"/>
        <c:auto val="0"/>
        <c:lblAlgn val="ctr"/>
        <c:lblOffset val="100"/>
        <c:noMultiLvlLbl val="1"/>
      </c:catAx>
      <c:valAx>
        <c:axId val="1664720785"/>
        <c:scaling>
          <c:orientation val="minMax"/>
          <c:max val="1.8"/>
          <c:min val="0.4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ACCURACY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/>
            </a:pPr>
            <a:endParaRPr lang="en-US"/>
          </a:p>
        </c:txPr>
        <c:crossAx val="1414825479"/>
        <c:crosses val="autoZero"/>
        <c:crossBetween val="between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</c:spPr>
      <c:txPr>
        <a:bodyPr anchor="ctr" anchorCtr="1"/>
        <a:lstStyle/>
        <a:p>
          <a:pPr rtl="0">
            <a:defRPr sz="1400" b="0"/>
          </a:pPr>
          <a:endParaRPr lang="en-US"/>
        </a:p>
      </c:txPr>
    </c:legend>
    <c:plotVisOnly val="1"/>
    <c:dispBlanksAs val="span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noFill/>
    </a:ln>
  </c:spPr>
  <c:txPr>
    <a:bodyPr/>
    <a:lstStyle/>
    <a:p>
      <a:pPr>
        <a:defRPr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2.xml"/><Relationship Id="rId2" Type="http://schemas.openxmlformats.org/officeDocument/2006/relationships/chart" Target="../charts/chart41.xml"/><Relationship Id="rId1" Type="http://schemas.openxmlformats.org/officeDocument/2006/relationships/chart" Target="../charts/chart40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5.xml"/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8.xml"/><Relationship Id="rId2" Type="http://schemas.openxmlformats.org/officeDocument/2006/relationships/chart" Target="../charts/chart47.xml"/><Relationship Id="rId1" Type="http://schemas.openxmlformats.org/officeDocument/2006/relationships/chart" Target="../charts/chart46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1.xml"/><Relationship Id="rId2" Type="http://schemas.openxmlformats.org/officeDocument/2006/relationships/chart" Target="../charts/chart50.xml"/><Relationship Id="rId1" Type="http://schemas.openxmlformats.org/officeDocument/2006/relationships/chart" Target="../charts/chart49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4.xml"/><Relationship Id="rId2" Type="http://schemas.openxmlformats.org/officeDocument/2006/relationships/chart" Target="../charts/chart53.xml"/><Relationship Id="rId1" Type="http://schemas.openxmlformats.org/officeDocument/2006/relationships/chart" Target="../charts/chart5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122465</xdr:colOff>
      <xdr:row>4</xdr:row>
      <xdr:rowOff>171452</xdr:rowOff>
    </xdr:from>
    <xdr:to>
      <xdr:col>14</xdr:col>
      <xdr:colOff>0</xdr:colOff>
      <xdr:row>31</xdr:row>
      <xdr:rowOff>149679</xdr:rowOff>
    </xdr:to>
    <xdr:graphicFrame macro="">
      <xdr:nvGraphicFramePr>
        <xdr:cNvPr id="2" name="Chart 1" descr="Chart 0">
          <a:extLst>
            <a:ext uri="{FF2B5EF4-FFF2-40B4-BE49-F238E27FC236}">
              <a16:creationId xmlns:a16="http://schemas.microsoft.com/office/drawing/2014/main" id="{CF72B4B2-5B29-48E2-B078-EB5804DB9E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0</xdr:col>
      <xdr:colOff>0</xdr:colOff>
      <xdr:row>31</xdr:row>
      <xdr:rowOff>13608</xdr:rowOff>
    </xdr:from>
    <xdr:to>
      <xdr:col>15</xdr:col>
      <xdr:colOff>5102</xdr:colOff>
      <xdr:row>65</xdr:row>
      <xdr:rowOff>19048</xdr:rowOff>
    </xdr:to>
    <xdr:graphicFrame macro="">
      <xdr:nvGraphicFramePr>
        <xdr:cNvPr id="3" name="Chart 2" descr="Chart 0">
          <a:extLst>
            <a:ext uri="{FF2B5EF4-FFF2-40B4-BE49-F238E27FC236}">
              <a16:creationId xmlns:a16="http://schemas.microsoft.com/office/drawing/2014/main" id="{E5AD119A-713D-4DBB-A798-FF37FA58FD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0</xdr:col>
      <xdr:colOff>0</xdr:colOff>
      <xdr:row>63</xdr:row>
      <xdr:rowOff>0</xdr:rowOff>
    </xdr:from>
    <xdr:to>
      <xdr:col>15</xdr:col>
      <xdr:colOff>5102</xdr:colOff>
      <xdr:row>97</xdr:row>
      <xdr:rowOff>5439</xdr:rowOff>
    </xdr:to>
    <xdr:graphicFrame macro="">
      <xdr:nvGraphicFramePr>
        <xdr:cNvPr id="4" name="Chart 3" descr="Chart 0">
          <a:extLst>
            <a:ext uri="{FF2B5EF4-FFF2-40B4-BE49-F238E27FC236}">
              <a16:creationId xmlns:a16="http://schemas.microsoft.com/office/drawing/2014/main" id="{D8879518-C8CC-4107-8445-87EE5B9849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122465</xdr:colOff>
      <xdr:row>4</xdr:row>
      <xdr:rowOff>171452</xdr:rowOff>
    </xdr:from>
    <xdr:to>
      <xdr:col>14</xdr:col>
      <xdr:colOff>0</xdr:colOff>
      <xdr:row>31</xdr:row>
      <xdr:rowOff>149679</xdr:rowOff>
    </xdr:to>
    <xdr:graphicFrame macro="">
      <xdr:nvGraphicFramePr>
        <xdr:cNvPr id="2" name="Chart 1" descr="Chart 0">
          <a:extLst>
            <a:ext uri="{FF2B5EF4-FFF2-40B4-BE49-F238E27FC236}">
              <a16:creationId xmlns:a16="http://schemas.microsoft.com/office/drawing/2014/main" id="{5CA4481A-ADC3-4478-9FD4-8D3200BA27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0</xdr:col>
      <xdr:colOff>0</xdr:colOff>
      <xdr:row>31</xdr:row>
      <xdr:rowOff>13608</xdr:rowOff>
    </xdr:from>
    <xdr:to>
      <xdr:col>15</xdr:col>
      <xdr:colOff>5102</xdr:colOff>
      <xdr:row>65</xdr:row>
      <xdr:rowOff>19048</xdr:rowOff>
    </xdr:to>
    <xdr:graphicFrame macro="">
      <xdr:nvGraphicFramePr>
        <xdr:cNvPr id="3" name="Chart 2" descr="Chart 0">
          <a:extLst>
            <a:ext uri="{FF2B5EF4-FFF2-40B4-BE49-F238E27FC236}">
              <a16:creationId xmlns:a16="http://schemas.microsoft.com/office/drawing/2014/main" id="{47C1526F-FB98-4DBE-B725-1AE3E9C6B7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0</xdr:col>
      <xdr:colOff>0</xdr:colOff>
      <xdr:row>63</xdr:row>
      <xdr:rowOff>0</xdr:rowOff>
    </xdr:from>
    <xdr:to>
      <xdr:col>15</xdr:col>
      <xdr:colOff>5102</xdr:colOff>
      <xdr:row>97</xdr:row>
      <xdr:rowOff>5439</xdr:rowOff>
    </xdr:to>
    <xdr:graphicFrame macro="">
      <xdr:nvGraphicFramePr>
        <xdr:cNvPr id="4" name="Chart 3" descr="Chart 0">
          <a:extLst>
            <a:ext uri="{FF2B5EF4-FFF2-40B4-BE49-F238E27FC236}">
              <a16:creationId xmlns:a16="http://schemas.microsoft.com/office/drawing/2014/main" id="{95B287F6-FFB9-41B0-A75A-FCDE2AF713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122465</xdr:colOff>
      <xdr:row>4</xdr:row>
      <xdr:rowOff>171452</xdr:rowOff>
    </xdr:from>
    <xdr:to>
      <xdr:col>14</xdr:col>
      <xdr:colOff>0</xdr:colOff>
      <xdr:row>31</xdr:row>
      <xdr:rowOff>149679</xdr:rowOff>
    </xdr:to>
    <xdr:graphicFrame macro="">
      <xdr:nvGraphicFramePr>
        <xdr:cNvPr id="2" name="Chart 1" descr="Chart 0">
          <a:extLst>
            <a:ext uri="{FF2B5EF4-FFF2-40B4-BE49-F238E27FC236}">
              <a16:creationId xmlns:a16="http://schemas.microsoft.com/office/drawing/2014/main" id="{27068B45-BCD8-436C-86CC-EF89D24450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0</xdr:col>
      <xdr:colOff>0</xdr:colOff>
      <xdr:row>31</xdr:row>
      <xdr:rowOff>13608</xdr:rowOff>
    </xdr:from>
    <xdr:to>
      <xdr:col>15</xdr:col>
      <xdr:colOff>5102</xdr:colOff>
      <xdr:row>65</xdr:row>
      <xdr:rowOff>19048</xdr:rowOff>
    </xdr:to>
    <xdr:graphicFrame macro="">
      <xdr:nvGraphicFramePr>
        <xdr:cNvPr id="3" name="Chart 2" descr="Chart 0">
          <a:extLst>
            <a:ext uri="{FF2B5EF4-FFF2-40B4-BE49-F238E27FC236}">
              <a16:creationId xmlns:a16="http://schemas.microsoft.com/office/drawing/2014/main" id="{D36B47E0-A6DC-4EE9-A2F3-19D5FEB740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0</xdr:col>
      <xdr:colOff>0</xdr:colOff>
      <xdr:row>63</xdr:row>
      <xdr:rowOff>0</xdr:rowOff>
    </xdr:from>
    <xdr:to>
      <xdr:col>15</xdr:col>
      <xdr:colOff>5102</xdr:colOff>
      <xdr:row>97</xdr:row>
      <xdr:rowOff>5439</xdr:rowOff>
    </xdr:to>
    <xdr:graphicFrame macro="">
      <xdr:nvGraphicFramePr>
        <xdr:cNvPr id="4" name="Chart 3" descr="Chart 0">
          <a:extLst>
            <a:ext uri="{FF2B5EF4-FFF2-40B4-BE49-F238E27FC236}">
              <a16:creationId xmlns:a16="http://schemas.microsoft.com/office/drawing/2014/main" id="{AB36C47E-C29F-49FB-80F7-250144A172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122465</xdr:colOff>
      <xdr:row>4</xdr:row>
      <xdr:rowOff>171452</xdr:rowOff>
    </xdr:from>
    <xdr:to>
      <xdr:col>14</xdr:col>
      <xdr:colOff>0</xdr:colOff>
      <xdr:row>31</xdr:row>
      <xdr:rowOff>149679</xdr:rowOff>
    </xdr:to>
    <xdr:graphicFrame macro="">
      <xdr:nvGraphicFramePr>
        <xdr:cNvPr id="2" name="Chart 1" descr="Chart 0">
          <a:extLst>
            <a:ext uri="{FF2B5EF4-FFF2-40B4-BE49-F238E27FC236}">
              <a16:creationId xmlns:a16="http://schemas.microsoft.com/office/drawing/2014/main" id="{E6A8FF45-BAEA-4FDD-A0A3-D80195215C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0</xdr:col>
      <xdr:colOff>0</xdr:colOff>
      <xdr:row>31</xdr:row>
      <xdr:rowOff>13608</xdr:rowOff>
    </xdr:from>
    <xdr:to>
      <xdr:col>15</xdr:col>
      <xdr:colOff>5102</xdr:colOff>
      <xdr:row>65</xdr:row>
      <xdr:rowOff>19048</xdr:rowOff>
    </xdr:to>
    <xdr:graphicFrame macro="">
      <xdr:nvGraphicFramePr>
        <xdr:cNvPr id="3" name="Chart 2" descr="Chart 0">
          <a:extLst>
            <a:ext uri="{FF2B5EF4-FFF2-40B4-BE49-F238E27FC236}">
              <a16:creationId xmlns:a16="http://schemas.microsoft.com/office/drawing/2014/main" id="{9CC93357-D5A5-41E3-9C26-44C401089C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0</xdr:col>
      <xdr:colOff>0</xdr:colOff>
      <xdr:row>63</xdr:row>
      <xdr:rowOff>0</xdr:rowOff>
    </xdr:from>
    <xdr:to>
      <xdr:col>15</xdr:col>
      <xdr:colOff>5102</xdr:colOff>
      <xdr:row>97</xdr:row>
      <xdr:rowOff>5439</xdr:rowOff>
    </xdr:to>
    <xdr:graphicFrame macro="">
      <xdr:nvGraphicFramePr>
        <xdr:cNvPr id="4" name="Chart 3" descr="Chart 0">
          <a:extLst>
            <a:ext uri="{FF2B5EF4-FFF2-40B4-BE49-F238E27FC236}">
              <a16:creationId xmlns:a16="http://schemas.microsoft.com/office/drawing/2014/main" id="{661FA7FD-6410-4757-8D2D-AC66946426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122465</xdr:colOff>
      <xdr:row>4</xdr:row>
      <xdr:rowOff>171452</xdr:rowOff>
    </xdr:from>
    <xdr:to>
      <xdr:col>14</xdr:col>
      <xdr:colOff>0</xdr:colOff>
      <xdr:row>31</xdr:row>
      <xdr:rowOff>149679</xdr:rowOff>
    </xdr:to>
    <xdr:graphicFrame macro="">
      <xdr:nvGraphicFramePr>
        <xdr:cNvPr id="2" name="Chart 1" descr="Chart 0">
          <a:extLst>
            <a:ext uri="{FF2B5EF4-FFF2-40B4-BE49-F238E27FC236}">
              <a16:creationId xmlns:a16="http://schemas.microsoft.com/office/drawing/2014/main" id="{99BEB2B2-F9EB-4DDD-8EBC-D0759BE182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0</xdr:col>
      <xdr:colOff>0</xdr:colOff>
      <xdr:row>31</xdr:row>
      <xdr:rowOff>13608</xdr:rowOff>
    </xdr:from>
    <xdr:to>
      <xdr:col>15</xdr:col>
      <xdr:colOff>5102</xdr:colOff>
      <xdr:row>65</xdr:row>
      <xdr:rowOff>19048</xdr:rowOff>
    </xdr:to>
    <xdr:graphicFrame macro="">
      <xdr:nvGraphicFramePr>
        <xdr:cNvPr id="3" name="Chart 2" descr="Chart 0">
          <a:extLst>
            <a:ext uri="{FF2B5EF4-FFF2-40B4-BE49-F238E27FC236}">
              <a16:creationId xmlns:a16="http://schemas.microsoft.com/office/drawing/2014/main" id="{58AA7B77-C415-4413-8356-02BB1377D3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0</xdr:col>
      <xdr:colOff>0</xdr:colOff>
      <xdr:row>63</xdr:row>
      <xdr:rowOff>0</xdr:rowOff>
    </xdr:from>
    <xdr:to>
      <xdr:col>15</xdr:col>
      <xdr:colOff>5102</xdr:colOff>
      <xdr:row>97</xdr:row>
      <xdr:rowOff>5439</xdr:rowOff>
    </xdr:to>
    <xdr:graphicFrame macro="">
      <xdr:nvGraphicFramePr>
        <xdr:cNvPr id="4" name="Chart 3" descr="Chart 0">
          <a:extLst>
            <a:ext uri="{FF2B5EF4-FFF2-40B4-BE49-F238E27FC236}">
              <a16:creationId xmlns:a16="http://schemas.microsoft.com/office/drawing/2014/main" id="{9E43BC59-950D-48B6-84CD-A145A3D929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122465</xdr:colOff>
      <xdr:row>4</xdr:row>
      <xdr:rowOff>171452</xdr:rowOff>
    </xdr:from>
    <xdr:to>
      <xdr:col>14</xdr:col>
      <xdr:colOff>0</xdr:colOff>
      <xdr:row>31</xdr:row>
      <xdr:rowOff>149679</xdr:rowOff>
    </xdr:to>
    <xdr:graphicFrame macro="">
      <xdr:nvGraphicFramePr>
        <xdr:cNvPr id="2" name="Chart 1" descr="Chart 0">
          <a:extLst>
            <a:ext uri="{FF2B5EF4-FFF2-40B4-BE49-F238E27FC236}">
              <a16:creationId xmlns:a16="http://schemas.microsoft.com/office/drawing/2014/main" id="{1883F67A-9F7B-4594-9A8A-6600354423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0</xdr:col>
      <xdr:colOff>0</xdr:colOff>
      <xdr:row>31</xdr:row>
      <xdr:rowOff>13608</xdr:rowOff>
    </xdr:from>
    <xdr:to>
      <xdr:col>15</xdr:col>
      <xdr:colOff>5102</xdr:colOff>
      <xdr:row>65</xdr:row>
      <xdr:rowOff>19048</xdr:rowOff>
    </xdr:to>
    <xdr:graphicFrame macro="">
      <xdr:nvGraphicFramePr>
        <xdr:cNvPr id="3" name="Chart 2" descr="Chart 0">
          <a:extLst>
            <a:ext uri="{FF2B5EF4-FFF2-40B4-BE49-F238E27FC236}">
              <a16:creationId xmlns:a16="http://schemas.microsoft.com/office/drawing/2014/main" id="{0D641C8C-2447-4D56-A3E0-011473EC3D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0</xdr:col>
      <xdr:colOff>0</xdr:colOff>
      <xdr:row>63</xdr:row>
      <xdr:rowOff>0</xdr:rowOff>
    </xdr:from>
    <xdr:to>
      <xdr:col>15</xdr:col>
      <xdr:colOff>5102</xdr:colOff>
      <xdr:row>97</xdr:row>
      <xdr:rowOff>5439</xdr:rowOff>
    </xdr:to>
    <xdr:graphicFrame macro="">
      <xdr:nvGraphicFramePr>
        <xdr:cNvPr id="4" name="Chart 3" descr="Chart 0">
          <a:extLst>
            <a:ext uri="{FF2B5EF4-FFF2-40B4-BE49-F238E27FC236}">
              <a16:creationId xmlns:a16="http://schemas.microsoft.com/office/drawing/2014/main" id="{EC138F93-57A5-4E4B-979A-1DAC5A0D29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122465</xdr:colOff>
      <xdr:row>4</xdr:row>
      <xdr:rowOff>171452</xdr:rowOff>
    </xdr:from>
    <xdr:to>
      <xdr:col>14</xdr:col>
      <xdr:colOff>0</xdr:colOff>
      <xdr:row>31</xdr:row>
      <xdr:rowOff>149679</xdr:rowOff>
    </xdr:to>
    <xdr:graphicFrame macro="">
      <xdr:nvGraphicFramePr>
        <xdr:cNvPr id="2" name="Chart 1" descr="Chart 0">
          <a:extLst>
            <a:ext uri="{FF2B5EF4-FFF2-40B4-BE49-F238E27FC236}">
              <a16:creationId xmlns:a16="http://schemas.microsoft.com/office/drawing/2014/main" id="{5884B957-452A-4851-9C38-556F6B2341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0</xdr:col>
      <xdr:colOff>0</xdr:colOff>
      <xdr:row>30</xdr:row>
      <xdr:rowOff>185965</xdr:rowOff>
    </xdr:from>
    <xdr:to>
      <xdr:col>15</xdr:col>
      <xdr:colOff>5102</xdr:colOff>
      <xdr:row>64</xdr:row>
      <xdr:rowOff>191406</xdr:rowOff>
    </xdr:to>
    <xdr:graphicFrame macro="">
      <xdr:nvGraphicFramePr>
        <xdr:cNvPr id="3" name="Chart 2" descr="Chart 0">
          <a:extLst>
            <a:ext uri="{FF2B5EF4-FFF2-40B4-BE49-F238E27FC236}">
              <a16:creationId xmlns:a16="http://schemas.microsoft.com/office/drawing/2014/main" id="{A60F7949-FE67-43AD-B9FB-D462475BC12E}"/>
            </a:ext>
            <a:ext uri="{147F2762-F138-4A5C-976F-8EAC2B608ADB}">
              <a16:predDERef xmlns:a16="http://schemas.microsoft.com/office/drawing/2014/main" pred="{5884B957-452A-4851-9C38-556F6B2341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0</xdr:col>
      <xdr:colOff>0</xdr:colOff>
      <xdr:row>63</xdr:row>
      <xdr:rowOff>0</xdr:rowOff>
    </xdr:from>
    <xdr:to>
      <xdr:col>15</xdr:col>
      <xdr:colOff>5102</xdr:colOff>
      <xdr:row>97</xdr:row>
      <xdr:rowOff>5439</xdr:rowOff>
    </xdr:to>
    <xdr:graphicFrame macro="">
      <xdr:nvGraphicFramePr>
        <xdr:cNvPr id="4" name="Chart 3" descr="Chart 0">
          <a:extLst>
            <a:ext uri="{FF2B5EF4-FFF2-40B4-BE49-F238E27FC236}">
              <a16:creationId xmlns:a16="http://schemas.microsoft.com/office/drawing/2014/main" id="{27AA16AE-9907-4470-8FAE-FECDEA291767}"/>
            </a:ext>
            <a:ext uri="{147F2762-F138-4A5C-976F-8EAC2B608ADB}">
              <a16:predDERef xmlns:a16="http://schemas.microsoft.com/office/drawing/2014/main" pred="{A60F7949-FE67-43AD-B9FB-D462475BC1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122465</xdr:colOff>
      <xdr:row>4</xdr:row>
      <xdr:rowOff>171452</xdr:rowOff>
    </xdr:from>
    <xdr:to>
      <xdr:col>14</xdr:col>
      <xdr:colOff>0</xdr:colOff>
      <xdr:row>31</xdr:row>
      <xdr:rowOff>149679</xdr:rowOff>
    </xdr:to>
    <xdr:graphicFrame macro="">
      <xdr:nvGraphicFramePr>
        <xdr:cNvPr id="5" name="Chart 4" descr="Chart 0">
          <a:extLst>
            <a:ext uri="{FF2B5EF4-FFF2-40B4-BE49-F238E27FC236}">
              <a16:creationId xmlns:a16="http://schemas.microsoft.com/office/drawing/2014/main" id="{AF38E68F-D276-44CB-A0C5-19A87E8E6D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0</xdr:col>
      <xdr:colOff>0</xdr:colOff>
      <xdr:row>31</xdr:row>
      <xdr:rowOff>13608</xdr:rowOff>
    </xdr:from>
    <xdr:to>
      <xdr:col>15</xdr:col>
      <xdr:colOff>5102</xdr:colOff>
      <xdr:row>65</xdr:row>
      <xdr:rowOff>19048</xdr:rowOff>
    </xdr:to>
    <xdr:graphicFrame macro="">
      <xdr:nvGraphicFramePr>
        <xdr:cNvPr id="3" name="Chart 2" descr="Chart 0">
          <a:extLst>
            <a:ext uri="{FF2B5EF4-FFF2-40B4-BE49-F238E27FC236}">
              <a16:creationId xmlns:a16="http://schemas.microsoft.com/office/drawing/2014/main" id="{EC404596-2358-4F93-B3BF-CA8EAEFFB6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0</xdr:col>
      <xdr:colOff>0</xdr:colOff>
      <xdr:row>63</xdr:row>
      <xdr:rowOff>0</xdr:rowOff>
    </xdr:from>
    <xdr:to>
      <xdr:col>15</xdr:col>
      <xdr:colOff>5102</xdr:colOff>
      <xdr:row>97</xdr:row>
      <xdr:rowOff>5439</xdr:rowOff>
    </xdr:to>
    <xdr:graphicFrame macro="">
      <xdr:nvGraphicFramePr>
        <xdr:cNvPr id="4" name="Chart 3" descr="Chart 0">
          <a:extLst>
            <a:ext uri="{FF2B5EF4-FFF2-40B4-BE49-F238E27FC236}">
              <a16:creationId xmlns:a16="http://schemas.microsoft.com/office/drawing/2014/main" id="{CDA5A619-3B8D-45A7-B48E-3E3EE7EBD8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122465</xdr:colOff>
      <xdr:row>4</xdr:row>
      <xdr:rowOff>171452</xdr:rowOff>
    </xdr:from>
    <xdr:to>
      <xdr:col>14</xdr:col>
      <xdr:colOff>0</xdr:colOff>
      <xdr:row>31</xdr:row>
      <xdr:rowOff>149679</xdr:rowOff>
    </xdr:to>
    <xdr:graphicFrame macro="">
      <xdr:nvGraphicFramePr>
        <xdr:cNvPr id="2" name="Chart 1" descr="Chart 0">
          <a:extLst>
            <a:ext uri="{FF2B5EF4-FFF2-40B4-BE49-F238E27FC236}">
              <a16:creationId xmlns:a16="http://schemas.microsoft.com/office/drawing/2014/main" id="{7C49F9BC-02FD-427A-A780-75ED386B54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0</xdr:col>
      <xdr:colOff>0</xdr:colOff>
      <xdr:row>31</xdr:row>
      <xdr:rowOff>13608</xdr:rowOff>
    </xdr:from>
    <xdr:to>
      <xdr:col>15</xdr:col>
      <xdr:colOff>5102</xdr:colOff>
      <xdr:row>65</xdr:row>
      <xdr:rowOff>19048</xdr:rowOff>
    </xdr:to>
    <xdr:graphicFrame macro="">
      <xdr:nvGraphicFramePr>
        <xdr:cNvPr id="3" name="Chart 2" descr="Chart 0">
          <a:extLst>
            <a:ext uri="{FF2B5EF4-FFF2-40B4-BE49-F238E27FC236}">
              <a16:creationId xmlns:a16="http://schemas.microsoft.com/office/drawing/2014/main" id="{D29FE5DA-FD0D-4C33-835D-28841FB2A4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0</xdr:col>
      <xdr:colOff>0</xdr:colOff>
      <xdr:row>63</xdr:row>
      <xdr:rowOff>0</xdr:rowOff>
    </xdr:from>
    <xdr:to>
      <xdr:col>15</xdr:col>
      <xdr:colOff>5102</xdr:colOff>
      <xdr:row>97</xdr:row>
      <xdr:rowOff>5439</xdr:rowOff>
    </xdr:to>
    <xdr:graphicFrame macro="">
      <xdr:nvGraphicFramePr>
        <xdr:cNvPr id="4" name="Chart 3" descr="Chart 0">
          <a:extLst>
            <a:ext uri="{FF2B5EF4-FFF2-40B4-BE49-F238E27FC236}">
              <a16:creationId xmlns:a16="http://schemas.microsoft.com/office/drawing/2014/main" id="{6898FE72-38B0-4B07-851C-7D113B57D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122465</xdr:colOff>
      <xdr:row>4</xdr:row>
      <xdr:rowOff>171452</xdr:rowOff>
    </xdr:from>
    <xdr:to>
      <xdr:col>14</xdr:col>
      <xdr:colOff>0</xdr:colOff>
      <xdr:row>31</xdr:row>
      <xdr:rowOff>149679</xdr:rowOff>
    </xdr:to>
    <xdr:graphicFrame macro="">
      <xdr:nvGraphicFramePr>
        <xdr:cNvPr id="2" name="Chart 1" descr="Chart 0">
          <a:extLst>
            <a:ext uri="{FF2B5EF4-FFF2-40B4-BE49-F238E27FC236}">
              <a16:creationId xmlns:a16="http://schemas.microsoft.com/office/drawing/2014/main" id="{CCCE4616-0F22-4EFE-9EBF-AD0ACF3DCC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0</xdr:col>
      <xdr:colOff>0</xdr:colOff>
      <xdr:row>31</xdr:row>
      <xdr:rowOff>13608</xdr:rowOff>
    </xdr:from>
    <xdr:to>
      <xdr:col>15</xdr:col>
      <xdr:colOff>5102</xdr:colOff>
      <xdr:row>65</xdr:row>
      <xdr:rowOff>19048</xdr:rowOff>
    </xdr:to>
    <xdr:graphicFrame macro="">
      <xdr:nvGraphicFramePr>
        <xdr:cNvPr id="3" name="Chart 2" descr="Chart 0">
          <a:extLst>
            <a:ext uri="{FF2B5EF4-FFF2-40B4-BE49-F238E27FC236}">
              <a16:creationId xmlns:a16="http://schemas.microsoft.com/office/drawing/2014/main" id="{423DFD44-646E-46DC-9DCF-AE1D5BAD06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0</xdr:col>
      <xdr:colOff>0</xdr:colOff>
      <xdr:row>63</xdr:row>
      <xdr:rowOff>0</xdr:rowOff>
    </xdr:from>
    <xdr:to>
      <xdr:col>15</xdr:col>
      <xdr:colOff>5102</xdr:colOff>
      <xdr:row>97</xdr:row>
      <xdr:rowOff>5439</xdr:rowOff>
    </xdr:to>
    <xdr:graphicFrame macro="">
      <xdr:nvGraphicFramePr>
        <xdr:cNvPr id="4" name="Chart 3" descr="Chart 0">
          <a:extLst>
            <a:ext uri="{FF2B5EF4-FFF2-40B4-BE49-F238E27FC236}">
              <a16:creationId xmlns:a16="http://schemas.microsoft.com/office/drawing/2014/main" id="{91DE101F-EC68-42C3-820F-400EDDB723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122465</xdr:colOff>
      <xdr:row>4</xdr:row>
      <xdr:rowOff>171452</xdr:rowOff>
    </xdr:from>
    <xdr:to>
      <xdr:col>14</xdr:col>
      <xdr:colOff>0</xdr:colOff>
      <xdr:row>31</xdr:row>
      <xdr:rowOff>149679</xdr:rowOff>
    </xdr:to>
    <xdr:graphicFrame macro="">
      <xdr:nvGraphicFramePr>
        <xdr:cNvPr id="2" name="Chart 1" descr="Chart 0">
          <a:extLst>
            <a:ext uri="{FF2B5EF4-FFF2-40B4-BE49-F238E27FC236}">
              <a16:creationId xmlns:a16="http://schemas.microsoft.com/office/drawing/2014/main" id="{26F76E83-9FF0-4879-AD30-A98FA172E6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0</xdr:col>
      <xdr:colOff>0</xdr:colOff>
      <xdr:row>31</xdr:row>
      <xdr:rowOff>13608</xdr:rowOff>
    </xdr:from>
    <xdr:to>
      <xdr:col>15</xdr:col>
      <xdr:colOff>5102</xdr:colOff>
      <xdr:row>65</xdr:row>
      <xdr:rowOff>19048</xdr:rowOff>
    </xdr:to>
    <xdr:graphicFrame macro="">
      <xdr:nvGraphicFramePr>
        <xdr:cNvPr id="3" name="Chart 2" descr="Chart 0">
          <a:extLst>
            <a:ext uri="{FF2B5EF4-FFF2-40B4-BE49-F238E27FC236}">
              <a16:creationId xmlns:a16="http://schemas.microsoft.com/office/drawing/2014/main" id="{5E755277-2E5B-4E7E-9766-10255C03B0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0</xdr:col>
      <xdr:colOff>0</xdr:colOff>
      <xdr:row>63</xdr:row>
      <xdr:rowOff>0</xdr:rowOff>
    </xdr:from>
    <xdr:to>
      <xdr:col>15</xdr:col>
      <xdr:colOff>5102</xdr:colOff>
      <xdr:row>97</xdr:row>
      <xdr:rowOff>5439</xdr:rowOff>
    </xdr:to>
    <xdr:graphicFrame macro="">
      <xdr:nvGraphicFramePr>
        <xdr:cNvPr id="4" name="Chart 3" descr="Chart 0">
          <a:extLst>
            <a:ext uri="{FF2B5EF4-FFF2-40B4-BE49-F238E27FC236}">
              <a16:creationId xmlns:a16="http://schemas.microsoft.com/office/drawing/2014/main" id="{C49520CC-8081-44C9-B38E-BE9DF47224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122465</xdr:colOff>
      <xdr:row>4</xdr:row>
      <xdr:rowOff>171452</xdr:rowOff>
    </xdr:from>
    <xdr:to>
      <xdr:col>14</xdr:col>
      <xdr:colOff>0</xdr:colOff>
      <xdr:row>31</xdr:row>
      <xdr:rowOff>149679</xdr:rowOff>
    </xdr:to>
    <xdr:graphicFrame macro="">
      <xdr:nvGraphicFramePr>
        <xdr:cNvPr id="2" name="Chart 1" descr="Chart 0">
          <a:extLst>
            <a:ext uri="{FF2B5EF4-FFF2-40B4-BE49-F238E27FC236}">
              <a16:creationId xmlns:a16="http://schemas.microsoft.com/office/drawing/2014/main" id="{8E5870DF-E592-407E-9AC5-AFD74D7FA0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0</xdr:col>
      <xdr:colOff>0</xdr:colOff>
      <xdr:row>31</xdr:row>
      <xdr:rowOff>13608</xdr:rowOff>
    </xdr:from>
    <xdr:to>
      <xdr:col>15</xdr:col>
      <xdr:colOff>5102</xdr:colOff>
      <xdr:row>65</xdr:row>
      <xdr:rowOff>19048</xdr:rowOff>
    </xdr:to>
    <xdr:graphicFrame macro="">
      <xdr:nvGraphicFramePr>
        <xdr:cNvPr id="3" name="Chart 2" descr="Chart 0">
          <a:extLst>
            <a:ext uri="{FF2B5EF4-FFF2-40B4-BE49-F238E27FC236}">
              <a16:creationId xmlns:a16="http://schemas.microsoft.com/office/drawing/2014/main" id="{EEE84422-A000-4AA2-8765-CD6EED769F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0</xdr:col>
      <xdr:colOff>0</xdr:colOff>
      <xdr:row>63</xdr:row>
      <xdr:rowOff>0</xdr:rowOff>
    </xdr:from>
    <xdr:to>
      <xdr:col>15</xdr:col>
      <xdr:colOff>5102</xdr:colOff>
      <xdr:row>97</xdr:row>
      <xdr:rowOff>5439</xdr:rowOff>
    </xdr:to>
    <xdr:graphicFrame macro="">
      <xdr:nvGraphicFramePr>
        <xdr:cNvPr id="4" name="Chart 3" descr="Chart 0">
          <a:extLst>
            <a:ext uri="{FF2B5EF4-FFF2-40B4-BE49-F238E27FC236}">
              <a16:creationId xmlns:a16="http://schemas.microsoft.com/office/drawing/2014/main" id="{B0DB4613-1593-477E-A56C-5D96705B47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-1360</xdr:colOff>
      <xdr:row>5</xdr:row>
      <xdr:rowOff>295277</xdr:rowOff>
    </xdr:from>
    <xdr:to>
      <xdr:col>13</xdr:col>
      <xdr:colOff>180975</xdr:colOff>
      <xdr:row>33</xdr:row>
      <xdr:rowOff>149679</xdr:rowOff>
    </xdr:to>
    <xdr:graphicFrame macro="">
      <xdr:nvGraphicFramePr>
        <xdr:cNvPr id="2" name="Chart 1" descr="Chart 0">
          <a:extLst>
            <a:ext uri="{FF2B5EF4-FFF2-40B4-BE49-F238E27FC236}">
              <a16:creationId xmlns:a16="http://schemas.microsoft.com/office/drawing/2014/main" id="{763AA2BC-80C2-4267-83CE-E807B6DFB8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0</xdr:col>
      <xdr:colOff>0</xdr:colOff>
      <xdr:row>31</xdr:row>
      <xdr:rowOff>13608</xdr:rowOff>
    </xdr:from>
    <xdr:to>
      <xdr:col>15</xdr:col>
      <xdr:colOff>5102</xdr:colOff>
      <xdr:row>65</xdr:row>
      <xdr:rowOff>19048</xdr:rowOff>
    </xdr:to>
    <xdr:graphicFrame macro="">
      <xdr:nvGraphicFramePr>
        <xdr:cNvPr id="3" name="Chart 2" descr="Chart 0">
          <a:extLst>
            <a:ext uri="{FF2B5EF4-FFF2-40B4-BE49-F238E27FC236}">
              <a16:creationId xmlns:a16="http://schemas.microsoft.com/office/drawing/2014/main" id="{C6CFCB4C-B47D-4EE7-945D-0CF94DCF1B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0</xdr:col>
      <xdr:colOff>0</xdr:colOff>
      <xdr:row>63</xdr:row>
      <xdr:rowOff>0</xdr:rowOff>
    </xdr:from>
    <xdr:to>
      <xdr:col>15</xdr:col>
      <xdr:colOff>5102</xdr:colOff>
      <xdr:row>97</xdr:row>
      <xdr:rowOff>5439</xdr:rowOff>
    </xdr:to>
    <xdr:graphicFrame macro="">
      <xdr:nvGraphicFramePr>
        <xdr:cNvPr id="4" name="Chart 3" descr="Chart 0">
          <a:extLst>
            <a:ext uri="{FF2B5EF4-FFF2-40B4-BE49-F238E27FC236}">
              <a16:creationId xmlns:a16="http://schemas.microsoft.com/office/drawing/2014/main" id="{FFD3F1D1-E4BD-4971-8763-1741BEB9BE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122465</xdr:colOff>
      <xdr:row>4</xdr:row>
      <xdr:rowOff>171452</xdr:rowOff>
    </xdr:from>
    <xdr:to>
      <xdr:col>14</xdr:col>
      <xdr:colOff>0</xdr:colOff>
      <xdr:row>31</xdr:row>
      <xdr:rowOff>149679</xdr:rowOff>
    </xdr:to>
    <xdr:graphicFrame macro="">
      <xdr:nvGraphicFramePr>
        <xdr:cNvPr id="2" name="Chart 1" descr="Chart 0">
          <a:extLst>
            <a:ext uri="{FF2B5EF4-FFF2-40B4-BE49-F238E27FC236}">
              <a16:creationId xmlns:a16="http://schemas.microsoft.com/office/drawing/2014/main" id="{9517E0A4-4D20-4ACC-AC94-BED0C284AC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0</xdr:col>
      <xdr:colOff>0</xdr:colOff>
      <xdr:row>31</xdr:row>
      <xdr:rowOff>13608</xdr:rowOff>
    </xdr:from>
    <xdr:to>
      <xdr:col>15</xdr:col>
      <xdr:colOff>5102</xdr:colOff>
      <xdr:row>65</xdr:row>
      <xdr:rowOff>19048</xdr:rowOff>
    </xdr:to>
    <xdr:graphicFrame macro="">
      <xdr:nvGraphicFramePr>
        <xdr:cNvPr id="3" name="Chart 2" descr="Chart 0">
          <a:extLst>
            <a:ext uri="{FF2B5EF4-FFF2-40B4-BE49-F238E27FC236}">
              <a16:creationId xmlns:a16="http://schemas.microsoft.com/office/drawing/2014/main" id="{A37145EC-ADCE-42F8-B286-54E682DB0D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0</xdr:col>
      <xdr:colOff>0</xdr:colOff>
      <xdr:row>63</xdr:row>
      <xdr:rowOff>0</xdr:rowOff>
    </xdr:from>
    <xdr:to>
      <xdr:col>15</xdr:col>
      <xdr:colOff>5102</xdr:colOff>
      <xdr:row>97</xdr:row>
      <xdr:rowOff>5439</xdr:rowOff>
    </xdr:to>
    <xdr:graphicFrame macro="">
      <xdr:nvGraphicFramePr>
        <xdr:cNvPr id="4" name="Chart 3" descr="Chart 0">
          <a:extLst>
            <a:ext uri="{FF2B5EF4-FFF2-40B4-BE49-F238E27FC236}">
              <a16:creationId xmlns:a16="http://schemas.microsoft.com/office/drawing/2014/main" id="{B992DDFE-C134-4C43-B39C-7E7B5DF4B7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122465</xdr:colOff>
      <xdr:row>4</xdr:row>
      <xdr:rowOff>171452</xdr:rowOff>
    </xdr:from>
    <xdr:to>
      <xdr:col>14</xdr:col>
      <xdr:colOff>0</xdr:colOff>
      <xdr:row>31</xdr:row>
      <xdr:rowOff>149679</xdr:rowOff>
    </xdr:to>
    <xdr:graphicFrame macro="">
      <xdr:nvGraphicFramePr>
        <xdr:cNvPr id="2" name="Chart 1" descr="Chart 0">
          <a:extLst>
            <a:ext uri="{FF2B5EF4-FFF2-40B4-BE49-F238E27FC236}">
              <a16:creationId xmlns:a16="http://schemas.microsoft.com/office/drawing/2014/main" id="{25052041-D29F-4D85-BE57-9640BFE9BD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0</xdr:col>
      <xdr:colOff>0</xdr:colOff>
      <xdr:row>31</xdr:row>
      <xdr:rowOff>13608</xdr:rowOff>
    </xdr:from>
    <xdr:to>
      <xdr:col>15</xdr:col>
      <xdr:colOff>5102</xdr:colOff>
      <xdr:row>65</xdr:row>
      <xdr:rowOff>19048</xdr:rowOff>
    </xdr:to>
    <xdr:graphicFrame macro="">
      <xdr:nvGraphicFramePr>
        <xdr:cNvPr id="3" name="Chart 2" descr="Chart 0">
          <a:extLst>
            <a:ext uri="{FF2B5EF4-FFF2-40B4-BE49-F238E27FC236}">
              <a16:creationId xmlns:a16="http://schemas.microsoft.com/office/drawing/2014/main" id="{D7D4BD8B-4139-4897-8FD8-8BA38709B9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0</xdr:col>
      <xdr:colOff>0</xdr:colOff>
      <xdr:row>63</xdr:row>
      <xdr:rowOff>0</xdr:rowOff>
    </xdr:from>
    <xdr:to>
      <xdr:col>15</xdr:col>
      <xdr:colOff>5102</xdr:colOff>
      <xdr:row>97</xdr:row>
      <xdr:rowOff>5439</xdr:rowOff>
    </xdr:to>
    <xdr:graphicFrame macro="">
      <xdr:nvGraphicFramePr>
        <xdr:cNvPr id="4" name="Chart 3" descr="Chart 0">
          <a:extLst>
            <a:ext uri="{FF2B5EF4-FFF2-40B4-BE49-F238E27FC236}">
              <a16:creationId xmlns:a16="http://schemas.microsoft.com/office/drawing/2014/main" id="{471050F2-5946-424C-A2DB-6ED9BED675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122465</xdr:colOff>
      <xdr:row>4</xdr:row>
      <xdr:rowOff>171452</xdr:rowOff>
    </xdr:from>
    <xdr:to>
      <xdr:col>14</xdr:col>
      <xdr:colOff>0</xdr:colOff>
      <xdr:row>31</xdr:row>
      <xdr:rowOff>149679</xdr:rowOff>
    </xdr:to>
    <xdr:graphicFrame macro="">
      <xdr:nvGraphicFramePr>
        <xdr:cNvPr id="2" name="Chart 1" descr="Chart 0">
          <a:extLst>
            <a:ext uri="{FF2B5EF4-FFF2-40B4-BE49-F238E27FC236}">
              <a16:creationId xmlns:a16="http://schemas.microsoft.com/office/drawing/2014/main" id="{02FDAB69-9FAC-4B98-80C6-C9BF2DB6BF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0</xdr:col>
      <xdr:colOff>0</xdr:colOff>
      <xdr:row>31</xdr:row>
      <xdr:rowOff>13608</xdr:rowOff>
    </xdr:from>
    <xdr:to>
      <xdr:col>15</xdr:col>
      <xdr:colOff>5102</xdr:colOff>
      <xdr:row>65</xdr:row>
      <xdr:rowOff>19048</xdr:rowOff>
    </xdr:to>
    <xdr:graphicFrame macro="">
      <xdr:nvGraphicFramePr>
        <xdr:cNvPr id="3" name="Chart 2" descr="Chart 0">
          <a:extLst>
            <a:ext uri="{FF2B5EF4-FFF2-40B4-BE49-F238E27FC236}">
              <a16:creationId xmlns:a16="http://schemas.microsoft.com/office/drawing/2014/main" id="{3CE7E2A5-406E-4056-A88D-80AA846B24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0</xdr:col>
      <xdr:colOff>0</xdr:colOff>
      <xdr:row>63</xdr:row>
      <xdr:rowOff>0</xdr:rowOff>
    </xdr:from>
    <xdr:to>
      <xdr:col>15</xdr:col>
      <xdr:colOff>5102</xdr:colOff>
      <xdr:row>97</xdr:row>
      <xdr:rowOff>5439</xdr:rowOff>
    </xdr:to>
    <xdr:graphicFrame macro="">
      <xdr:nvGraphicFramePr>
        <xdr:cNvPr id="4" name="Chart 3" descr="Chart 0">
          <a:extLst>
            <a:ext uri="{FF2B5EF4-FFF2-40B4-BE49-F238E27FC236}">
              <a16:creationId xmlns:a16="http://schemas.microsoft.com/office/drawing/2014/main" id="{2E71EDF4-5353-4D94-8D30-AE239E8CE6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122465</xdr:colOff>
      <xdr:row>4</xdr:row>
      <xdr:rowOff>171452</xdr:rowOff>
    </xdr:from>
    <xdr:to>
      <xdr:col>14</xdr:col>
      <xdr:colOff>0</xdr:colOff>
      <xdr:row>31</xdr:row>
      <xdr:rowOff>149679</xdr:rowOff>
    </xdr:to>
    <xdr:graphicFrame macro="">
      <xdr:nvGraphicFramePr>
        <xdr:cNvPr id="2" name="Chart 1" descr="Chart 0">
          <a:extLst>
            <a:ext uri="{FF2B5EF4-FFF2-40B4-BE49-F238E27FC236}">
              <a16:creationId xmlns:a16="http://schemas.microsoft.com/office/drawing/2014/main" id="{1FD0DC62-E253-4D27-BD0A-C8A899993D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0</xdr:col>
      <xdr:colOff>0</xdr:colOff>
      <xdr:row>31</xdr:row>
      <xdr:rowOff>13608</xdr:rowOff>
    </xdr:from>
    <xdr:to>
      <xdr:col>15</xdr:col>
      <xdr:colOff>5102</xdr:colOff>
      <xdr:row>65</xdr:row>
      <xdr:rowOff>19048</xdr:rowOff>
    </xdr:to>
    <xdr:graphicFrame macro="">
      <xdr:nvGraphicFramePr>
        <xdr:cNvPr id="3" name="Chart 2" descr="Chart 0">
          <a:extLst>
            <a:ext uri="{FF2B5EF4-FFF2-40B4-BE49-F238E27FC236}">
              <a16:creationId xmlns:a16="http://schemas.microsoft.com/office/drawing/2014/main" id="{A53063D4-49B2-4F84-8F13-72CFA27D8B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0</xdr:col>
      <xdr:colOff>0</xdr:colOff>
      <xdr:row>63</xdr:row>
      <xdr:rowOff>0</xdr:rowOff>
    </xdr:from>
    <xdr:to>
      <xdr:col>15</xdr:col>
      <xdr:colOff>5102</xdr:colOff>
      <xdr:row>97</xdr:row>
      <xdr:rowOff>5439</xdr:rowOff>
    </xdr:to>
    <xdr:graphicFrame macro="">
      <xdr:nvGraphicFramePr>
        <xdr:cNvPr id="4" name="Chart 3" descr="Chart 0">
          <a:extLst>
            <a:ext uri="{FF2B5EF4-FFF2-40B4-BE49-F238E27FC236}">
              <a16:creationId xmlns:a16="http://schemas.microsoft.com/office/drawing/2014/main" id="{6C617C01-92CC-43BD-917E-CD9E34F0FB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122465</xdr:colOff>
      <xdr:row>4</xdr:row>
      <xdr:rowOff>171452</xdr:rowOff>
    </xdr:from>
    <xdr:to>
      <xdr:col>14</xdr:col>
      <xdr:colOff>0</xdr:colOff>
      <xdr:row>31</xdr:row>
      <xdr:rowOff>149679</xdr:rowOff>
    </xdr:to>
    <xdr:graphicFrame macro="">
      <xdr:nvGraphicFramePr>
        <xdr:cNvPr id="2" name="Chart 1" descr="Chart 0">
          <a:extLst>
            <a:ext uri="{FF2B5EF4-FFF2-40B4-BE49-F238E27FC236}">
              <a16:creationId xmlns:a16="http://schemas.microsoft.com/office/drawing/2014/main" id="{84B73A3D-9213-44B0-A928-CF9E7C85BA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0</xdr:col>
      <xdr:colOff>0</xdr:colOff>
      <xdr:row>31</xdr:row>
      <xdr:rowOff>13608</xdr:rowOff>
    </xdr:from>
    <xdr:to>
      <xdr:col>15</xdr:col>
      <xdr:colOff>5102</xdr:colOff>
      <xdr:row>65</xdr:row>
      <xdr:rowOff>19048</xdr:rowOff>
    </xdr:to>
    <xdr:graphicFrame macro="">
      <xdr:nvGraphicFramePr>
        <xdr:cNvPr id="3" name="Chart 2" descr="Chart 0">
          <a:extLst>
            <a:ext uri="{FF2B5EF4-FFF2-40B4-BE49-F238E27FC236}">
              <a16:creationId xmlns:a16="http://schemas.microsoft.com/office/drawing/2014/main" id="{2C19B37D-D906-4610-9E04-173987CF1B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0</xdr:col>
      <xdr:colOff>0</xdr:colOff>
      <xdr:row>63</xdr:row>
      <xdr:rowOff>0</xdr:rowOff>
    </xdr:from>
    <xdr:to>
      <xdr:col>15</xdr:col>
      <xdr:colOff>5102</xdr:colOff>
      <xdr:row>97</xdr:row>
      <xdr:rowOff>5439</xdr:rowOff>
    </xdr:to>
    <xdr:graphicFrame macro="">
      <xdr:nvGraphicFramePr>
        <xdr:cNvPr id="4" name="Chart 3" descr="Chart 0">
          <a:extLst>
            <a:ext uri="{FF2B5EF4-FFF2-40B4-BE49-F238E27FC236}">
              <a16:creationId xmlns:a16="http://schemas.microsoft.com/office/drawing/2014/main" id="{066F4B6D-1A71-46E4-BE3F-0DE1D43BB2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bchbpi/Downloads/Steroid_panel_QC-chart.xlsx" TargetMode="External"/><Relationship Id="rId1" Type="http://schemas.openxmlformats.org/officeDocument/2006/relationships/externalLinkPath" Target="/Users/bchbpi/Downloads/Steroid_panel_QC-char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bchbpi/Downloads/(Tecan_Steroid_Panel)_QC-charts%20(4).xlsx" TargetMode="External"/><Relationship Id="rId1" Type="http://schemas.openxmlformats.org/officeDocument/2006/relationships/externalLinkPath" Target="/Users/bchbpi/Downloads/(Tecan_Steroid_Panel)_QC-charts%20(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dex"/>
      <sheetName val="TECAN concentrations"/>
      <sheetName val="11-deoxycorticosterone"/>
      <sheetName val="11-deoxycortisol"/>
      <sheetName val="17-Hydroxyprogesterone"/>
      <sheetName val="21-deoxycortisol"/>
      <sheetName val="Aldosterone"/>
      <sheetName val="Androstenedione"/>
      <sheetName val="Corticosterone"/>
      <sheetName val="Cortisol"/>
      <sheetName val="Cortisone"/>
      <sheetName val="Dexamethasone"/>
      <sheetName val="DHEA"/>
      <sheetName val="DHEAS"/>
      <sheetName val="DHT"/>
      <sheetName val="Progesterone"/>
      <sheetName val="Testosterone"/>
      <sheetName val="17-Hydroxypregnenolone"/>
      <sheetName val="Estradiol"/>
      <sheetName val="Estrone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DEX"/>
      <sheetName val="TECAN calibrants"/>
      <sheetName val="TECAN QC concentrations"/>
      <sheetName val="11-deoxycorticosterone"/>
      <sheetName val="11-deoxycortisol"/>
      <sheetName val="17-Hydroxyprogesterone"/>
      <sheetName val="21-Deoxycortisol"/>
      <sheetName val="Aldosterone"/>
      <sheetName val="Androstenedione"/>
      <sheetName val="Corticosterone"/>
      <sheetName val="Cortisol"/>
      <sheetName val="Cortisone"/>
      <sheetName val="Dexamethasone"/>
      <sheetName val="DHEA"/>
      <sheetName val="DHEA-S"/>
      <sheetName val="DHT"/>
      <sheetName val="Progesterone"/>
      <sheetName val="Testosterone"/>
      <sheetName val="17-Hydroxypregnenolone"/>
      <sheetName val="Estradiol"/>
      <sheetName val="Estro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49595-E28D-44ED-BA9C-29BA0D022438}">
  <sheetPr>
    <tabColor theme="0"/>
  </sheetPr>
  <dimension ref="A1:E23"/>
  <sheetViews>
    <sheetView topLeftCell="A11" workbookViewId="0">
      <selection activeCell="C11" sqref="C11"/>
    </sheetView>
  </sheetViews>
  <sheetFormatPr defaultColWidth="9" defaultRowHeight="15.75"/>
  <cols>
    <col min="1" max="1" width="9" style="78"/>
    <col min="2" max="2" width="36.375" style="80" customWidth="1"/>
    <col min="3" max="3" width="11.375" style="140" customWidth="1"/>
    <col min="4" max="4" width="9" style="139"/>
    <col min="5" max="16384" width="9" style="80"/>
  </cols>
  <sheetData>
    <row r="1" spans="1:5" ht="18.75">
      <c r="B1" s="79" t="s">
        <v>0</v>
      </c>
      <c r="C1" s="151" t="s">
        <v>1</v>
      </c>
      <c r="D1" s="147" t="s">
        <v>2</v>
      </c>
    </row>
    <row r="2" spans="1:5" ht="18.75">
      <c r="B2" s="79"/>
      <c r="C2" s="141"/>
    </row>
    <row r="3" spans="1:5" ht="18.75">
      <c r="B3" s="136" t="s">
        <v>3</v>
      </c>
      <c r="C3" s="142"/>
      <c r="D3" s="148"/>
      <c r="E3" s="137"/>
    </row>
    <row r="4" spans="1:5" ht="18.75">
      <c r="B4" s="136" t="s">
        <v>4</v>
      </c>
      <c r="C4" s="142"/>
      <c r="D4" s="148"/>
      <c r="E4" s="137"/>
    </row>
    <row r="5" spans="1:5" ht="18.75">
      <c r="B5" s="136"/>
      <c r="E5" s="79"/>
    </row>
    <row r="6" spans="1:5" ht="18.75">
      <c r="A6" s="78">
        <v>1</v>
      </c>
      <c r="B6" s="81" t="s">
        <v>5</v>
      </c>
      <c r="C6" s="143" t="s">
        <v>6</v>
      </c>
      <c r="D6" s="149" t="s">
        <v>7</v>
      </c>
      <c r="E6" s="79"/>
    </row>
    <row r="7" spans="1:5" ht="18.75">
      <c r="A7" s="78">
        <v>2</v>
      </c>
      <c r="B7" s="81" t="s">
        <v>8</v>
      </c>
      <c r="C7" s="143" t="s">
        <v>9</v>
      </c>
      <c r="D7" s="149" t="s">
        <v>7</v>
      </c>
      <c r="E7" s="79"/>
    </row>
    <row r="8" spans="1:5" ht="18.75">
      <c r="A8" s="78">
        <v>3</v>
      </c>
      <c r="B8" s="81" t="s">
        <v>10</v>
      </c>
      <c r="C8" s="143" t="s">
        <v>11</v>
      </c>
      <c r="D8" s="149" t="s">
        <v>7</v>
      </c>
      <c r="E8" s="79"/>
    </row>
    <row r="9" spans="1:5" ht="18.75">
      <c r="A9" s="78">
        <v>4</v>
      </c>
      <c r="B9" s="81" t="s">
        <v>12</v>
      </c>
      <c r="C9" s="143" t="s">
        <v>13</v>
      </c>
      <c r="D9" s="149" t="s">
        <v>7</v>
      </c>
      <c r="E9" s="79"/>
    </row>
    <row r="10" spans="1:5" ht="18.75">
      <c r="A10" s="78">
        <v>5</v>
      </c>
      <c r="B10" s="81" t="s">
        <v>14</v>
      </c>
      <c r="C10" s="143" t="s">
        <v>15</v>
      </c>
      <c r="D10" s="149" t="s">
        <v>7</v>
      </c>
      <c r="E10" s="79"/>
    </row>
    <row r="11" spans="1:5" ht="18.75">
      <c r="A11" s="78">
        <v>6</v>
      </c>
      <c r="B11" s="81" t="s">
        <v>16</v>
      </c>
      <c r="C11" s="143" t="s">
        <v>17</v>
      </c>
      <c r="D11" s="149" t="s">
        <v>7</v>
      </c>
      <c r="E11" s="79"/>
    </row>
    <row r="12" spans="1:5" ht="18.75">
      <c r="A12" s="78">
        <v>7</v>
      </c>
      <c r="B12" s="81" t="s">
        <v>18</v>
      </c>
      <c r="C12" s="143" t="s">
        <v>19</v>
      </c>
      <c r="D12" s="149" t="s">
        <v>7</v>
      </c>
      <c r="E12" s="79"/>
    </row>
    <row r="13" spans="1:5" ht="18.75">
      <c r="A13" s="78">
        <v>8</v>
      </c>
      <c r="B13" s="81" t="s">
        <v>20</v>
      </c>
      <c r="C13" s="143" t="s">
        <v>21</v>
      </c>
      <c r="D13" s="149" t="s">
        <v>7</v>
      </c>
      <c r="E13" s="79"/>
    </row>
    <row r="14" spans="1:5" ht="18.75">
      <c r="A14" s="78">
        <v>9</v>
      </c>
      <c r="B14" s="81" t="s">
        <v>22</v>
      </c>
      <c r="C14" s="143" t="s">
        <v>23</v>
      </c>
      <c r="D14" s="149" t="s">
        <v>7</v>
      </c>
      <c r="E14" s="79"/>
    </row>
    <row r="15" spans="1:5" ht="18.75">
      <c r="A15" s="78">
        <v>10</v>
      </c>
      <c r="B15" s="81" t="s">
        <v>24</v>
      </c>
      <c r="C15" s="143" t="s">
        <v>25</v>
      </c>
      <c r="D15" s="149" t="s">
        <v>7</v>
      </c>
      <c r="E15" s="79"/>
    </row>
    <row r="16" spans="1:5" ht="18.75">
      <c r="A16" s="78">
        <v>11</v>
      </c>
      <c r="B16" s="81" t="s">
        <v>26</v>
      </c>
      <c r="C16" s="143" t="s">
        <v>27</v>
      </c>
      <c r="D16" s="149" t="s">
        <v>7</v>
      </c>
      <c r="E16" s="79"/>
    </row>
    <row r="17" spans="1:5" ht="18.75">
      <c r="A17" s="78">
        <v>12</v>
      </c>
      <c r="B17" s="81" t="s">
        <v>28</v>
      </c>
      <c r="C17" s="143" t="s">
        <v>29</v>
      </c>
      <c r="D17" s="149" t="s">
        <v>7</v>
      </c>
      <c r="E17" s="79"/>
    </row>
    <row r="18" spans="1:5" ht="18.75">
      <c r="A18" s="78">
        <v>13</v>
      </c>
      <c r="B18" s="81" t="s">
        <v>30</v>
      </c>
      <c r="C18" s="143" t="s">
        <v>31</v>
      </c>
      <c r="D18" s="149" t="s">
        <v>7</v>
      </c>
      <c r="E18" s="79"/>
    </row>
    <row r="19" spans="1:5" ht="18.75">
      <c r="A19" s="78">
        <v>14</v>
      </c>
      <c r="B19" s="81" t="s">
        <v>32</v>
      </c>
      <c r="C19" s="143" t="s">
        <v>33</v>
      </c>
      <c r="D19" s="149" t="s">
        <v>7</v>
      </c>
      <c r="E19" s="79"/>
    </row>
    <row r="20" spans="1:5" ht="18.75">
      <c r="A20" s="78">
        <v>15</v>
      </c>
      <c r="B20" s="81" t="s">
        <v>34</v>
      </c>
      <c r="C20" s="143" t="s">
        <v>35</v>
      </c>
      <c r="D20" s="149" t="s">
        <v>7</v>
      </c>
      <c r="E20" s="79"/>
    </row>
    <row r="21" spans="1:5" ht="18.75">
      <c r="A21" s="78">
        <v>16</v>
      </c>
      <c r="B21" s="81" t="s">
        <v>36</v>
      </c>
      <c r="C21" s="144" t="s">
        <v>37</v>
      </c>
      <c r="D21" s="150" t="s">
        <v>38</v>
      </c>
      <c r="E21" s="79"/>
    </row>
    <row r="22" spans="1:5" ht="18.75">
      <c r="A22" s="78">
        <v>17</v>
      </c>
      <c r="B22" s="81" t="s">
        <v>39</v>
      </c>
      <c r="C22" s="144" t="s">
        <v>40</v>
      </c>
      <c r="D22" s="150" t="s">
        <v>38</v>
      </c>
      <c r="E22" s="79"/>
    </row>
    <row r="23" spans="1:5" ht="18.75">
      <c r="A23" s="78">
        <v>18</v>
      </c>
      <c r="B23" s="81" t="s">
        <v>41</v>
      </c>
      <c r="C23" s="144" t="s">
        <v>42</v>
      </c>
      <c r="D23" s="150" t="s">
        <v>38</v>
      </c>
      <c r="E23" s="79"/>
    </row>
  </sheetData>
  <hyperlinks>
    <hyperlink ref="B3" location="' TECAN QC concentrations'!A1" display="TECAN QC concentrations" xr:uid="{C993C255-EC22-4EA5-A9F9-0BA0645730C1}"/>
    <hyperlink ref="B6" location="'11-deoxycorticosterone'!A1" display="'11-deoxycorticosterone'!A1" xr:uid="{1709E3EF-DBBA-41B5-A4D0-3A271BFCB40B}"/>
    <hyperlink ref="B7" location="'11-deoxycortisol'!A1" display="'11-deoxycortisol'!A1" xr:uid="{32578247-61A3-47CC-8D28-C9B56623357F}"/>
    <hyperlink ref="B8" location="'17-Hydroxyprogesterone'!A1" display="'17-Hydroxyprogesterone'!A1" xr:uid="{11D26652-9D9A-4A87-98BF-43AB813EA1D8}"/>
    <hyperlink ref="B9" location="'21-Deoxycortisol'!A1" display="'21-Deoxycortisol'!A1" xr:uid="{EDE2813F-544F-41E6-A735-4F53CE4678D2}"/>
    <hyperlink ref="B10" location="'Aldosterone'!A1" display="'Aldosterone'!A1" xr:uid="{81C9041B-4C55-49B4-8E67-C457AE385888}"/>
    <hyperlink ref="B11" location="'Androstenedione'!A1" display="'Androstenedione'!A1" xr:uid="{1818D4D7-2BB8-4769-A536-F0CFD6B7470B}"/>
    <hyperlink ref="B12" location="'Corticosterone'!A1" display="'Corticosterone'!A1" xr:uid="{4EB373CB-3E28-43D4-BD00-73619282D985}"/>
    <hyperlink ref="B13" location="'Cortisol'!A1" display="'Cortisol'!A1" xr:uid="{20153B78-5DCC-4F1E-8328-BE6F3161561E}"/>
    <hyperlink ref="B14" location="'Cortisone'!A1" display="'Cortisone'!A1" xr:uid="{EDFBB609-43A4-474A-8568-659F3B2561C9}"/>
    <hyperlink ref="B15" location="'Dexamethasone'!A1" display="'Dexamethasone'!A1" xr:uid="{4E94AACD-5DF9-4CD3-B298-7C0EC70EFDDA}"/>
    <hyperlink ref="B16" location="DHEA!A1" display="Dehydroepiandrosterone" xr:uid="{E3E64D2C-2AE9-466E-A3C8-53DC5405CBF4}"/>
    <hyperlink ref="B17" location="'DHEA-S'!A1" display="Dehydroepiandrosterone sulfate" xr:uid="{A165C06A-9DA3-4DC2-8150-06377A9A74D2}"/>
    <hyperlink ref="B18" location="DHT!A1" display="5α-Dihydrotestosterone" xr:uid="{15688F0C-C28C-4615-8F36-6626741FC6CF}"/>
    <hyperlink ref="B19" location="'Progesterone'!A1" display="'Progesterone'!A1" xr:uid="{82E742F8-256C-477A-AB22-E3211BB67DF7}"/>
    <hyperlink ref="B20" location="'Testosterone'!A1" display="'Testosterone'!A1" xr:uid="{0714E8E1-15F0-406A-8B5C-EC596B30949A}"/>
    <hyperlink ref="B21" location="'17-Hydroxypregnenolone'!A1" display="'17-Hydroxypregnenolone'!A1" xr:uid="{5771B281-2C9B-49B2-9928-4DD694C46DF0}"/>
    <hyperlink ref="B22" location="'Estradiol'!A1" display="'Estradiol'!A1" xr:uid="{604B96A8-AC12-4C83-A479-12C7DA4176AD}"/>
    <hyperlink ref="B23" location="'Estrone'!A1" display="'Estrone'!A1" xr:uid="{049CB394-DFE9-42BD-AA2A-4287DDA28D34}"/>
    <hyperlink ref="B4" location="' TECAN calibrants'!A1" display="TECAN calibrants" xr:uid="{0CEE979F-B921-4E29-A9AB-932F8028050A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D1054-0196-4F81-842C-8E049243A4A8}">
  <sheetPr>
    <tabColor theme="5" tint="0.79998168889431442"/>
  </sheetPr>
  <dimension ref="A1:EB23"/>
  <sheetViews>
    <sheetView zoomScaleNormal="100" workbookViewId="0">
      <pane xSplit="1" ySplit="2" topLeftCell="B3" activePane="bottomRight" state="frozen"/>
      <selection pane="bottomRight" activeCell="A22" sqref="A22"/>
      <selection pane="bottomLeft" activeCell="G33" sqref="G33"/>
      <selection pane="topRight" activeCell="G33" sqref="G33"/>
    </sheetView>
  </sheetViews>
  <sheetFormatPr defaultColWidth="9" defaultRowHeight="15.75"/>
  <cols>
    <col min="1" max="1" width="12.625" style="106" customWidth="1"/>
    <col min="2" max="2" width="12.625" style="121" customWidth="1"/>
    <col min="3" max="3" width="39.125" style="106" customWidth="1"/>
    <col min="4" max="4" width="10.375" style="122" hidden="1" customWidth="1"/>
    <col min="5" max="5" width="3.125" customWidth="1"/>
    <col min="6" max="6" width="9" style="106"/>
    <col min="7" max="12" width="9.125" style="106" bestFit="1" customWidth="1"/>
    <col min="13" max="13" width="2.875" style="106" customWidth="1"/>
    <col min="14" max="14" width="9.5" style="106" bestFit="1" customWidth="1"/>
    <col min="15" max="16" width="9" style="106"/>
    <col min="17" max="17" width="41.5" style="106" customWidth="1"/>
    <col min="18" max="24" width="9" style="106"/>
    <col min="25" max="25" width="2.125" style="106" customWidth="1"/>
    <col min="26" max="16384" width="9" style="106"/>
  </cols>
  <sheetData>
    <row r="1" spans="1:27" s="86" customFormat="1" ht="19.5" customHeight="1">
      <c r="A1" s="172" t="s">
        <v>43</v>
      </c>
      <c r="B1" s="82"/>
      <c r="C1" s="83" t="s">
        <v>44</v>
      </c>
      <c r="D1" s="84"/>
      <c r="E1" s="85"/>
      <c r="F1" s="174" t="s">
        <v>45</v>
      </c>
      <c r="G1" s="175"/>
      <c r="H1" s="175"/>
      <c r="I1" s="175"/>
      <c r="J1" s="175"/>
      <c r="K1" s="175"/>
      <c r="L1" s="175"/>
      <c r="M1" s="175"/>
      <c r="N1" s="175"/>
      <c r="O1" s="176"/>
      <c r="R1" s="177" t="s">
        <v>46</v>
      </c>
      <c r="S1" s="178"/>
      <c r="T1" s="178"/>
      <c r="U1" s="178"/>
      <c r="V1" s="178"/>
      <c r="W1" s="178"/>
      <c r="X1" s="178"/>
      <c r="Y1" s="178"/>
      <c r="Z1" s="178"/>
      <c r="AA1" s="179"/>
    </row>
    <row r="2" spans="1:27" s="96" customFormat="1" ht="46.5" customHeight="1" thickBot="1">
      <c r="A2" s="173"/>
      <c r="B2" s="87" t="s">
        <v>47</v>
      </c>
      <c r="C2" s="88" t="s">
        <v>48</v>
      </c>
      <c r="D2" s="89" t="s">
        <v>49</v>
      </c>
      <c r="E2" s="90"/>
      <c r="F2" s="91" t="s">
        <v>50</v>
      </c>
      <c r="G2" s="92" t="s">
        <v>15</v>
      </c>
      <c r="H2" s="93" t="s">
        <v>19</v>
      </c>
      <c r="I2" s="92" t="s">
        <v>51</v>
      </c>
      <c r="J2" s="93" t="s">
        <v>52</v>
      </c>
      <c r="K2" s="92" t="s">
        <v>23</v>
      </c>
      <c r="L2" s="93" t="s">
        <v>21</v>
      </c>
      <c r="M2" s="91"/>
      <c r="N2" s="94" t="s">
        <v>53</v>
      </c>
      <c r="O2" s="95" t="s">
        <v>54</v>
      </c>
      <c r="R2" s="91" t="s">
        <v>50</v>
      </c>
      <c r="S2" s="92" t="s">
        <v>15</v>
      </c>
      <c r="T2" s="93" t="s">
        <v>19</v>
      </c>
      <c r="U2" s="92" t="s">
        <v>51</v>
      </c>
      <c r="V2" s="93" t="s">
        <v>52</v>
      </c>
      <c r="W2" s="92" t="s">
        <v>23</v>
      </c>
      <c r="X2" s="93" t="s">
        <v>21</v>
      </c>
      <c r="Y2" s="91"/>
      <c r="Z2" s="94" t="s">
        <v>53</v>
      </c>
      <c r="AA2" s="95" t="s">
        <v>54</v>
      </c>
    </row>
    <row r="3" spans="1:27" customFormat="1" ht="6" customHeight="1">
      <c r="Q3" s="97"/>
      <c r="R3" s="98"/>
      <c r="S3" s="98"/>
      <c r="T3" s="98"/>
      <c r="U3" s="98"/>
      <c r="V3" s="98"/>
      <c r="W3" s="98"/>
      <c r="X3" s="98"/>
      <c r="Y3" s="98"/>
      <c r="Z3" s="98"/>
      <c r="AA3" s="97"/>
    </row>
    <row r="4" spans="1:27" ht="20.25" customHeight="1">
      <c r="A4" s="99" t="s">
        <v>55</v>
      </c>
      <c r="B4" s="180"/>
      <c r="C4" s="100" t="s">
        <v>56</v>
      </c>
      <c r="D4" s="101">
        <v>346.21440000000001</v>
      </c>
      <c r="F4" s="102">
        <v>0</v>
      </c>
      <c r="G4" s="103">
        <v>0.121</v>
      </c>
      <c r="H4" s="103">
        <v>0.33300000000000002</v>
      </c>
      <c r="I4" s="103">
        <v>0.84899999999999998</v>
      </c>
      <c r="J4" s="103">
        <v>2.2400000000000002</v>
      </c>
      <c r="K4" s="103">
        <v>5.88</v>
      </c>
      <c r="L4" s="103">
        <v>15.5</v>
      </c>
      <c r="M4" s="53"/>
      <c r="N4" s="104">
        <v>3.03</v>
      </c>
      <c r="O4" s="105" t="s">
        <v>45</v>
      </c>
      <c r="Q4" s="100" t="s">
        <v>56</v>
      </c>
      <c r="R4" s="107">
        <v>0</v>
      </c>
      <c r="S4" s="108">
        <v>0.04</v>
      </c>
      <c r="T4" s="108">
        <v>0.11</v>
      </c>
      <c r="U4" s="108">
        <v>0.28000000000000003</v>
      </c>
      <c r="V4" s="108">
        <v>0.74</v>
      </c>
      <c r="W4" s="108">
        <v>1.94</v>
      </c>
      <c r="X4" s="108">
        <v>5.13</v>
      </c>
      <c r="Y4" s="107"/>
      <c r="Z4" s="109">
        <v>1</v>
      </c>
      <c r="AA4" s="110" t="s">
        <v>46</v>
      </c>
    </row>
    <row r="5" spans="1:27" ht="20.25" customHeight="1">
      <c r="A5" s="99" t="s">
        <v>55</v>
      </c>
      <c r="B5" s="180"/>
      <c r="C5" s="111" t="s">
        <v>57</v>
      </c>
      <c r="D5" s="112">
        <v>330.23509999999999</v>
      </c>
      <c r="F5" s="102">
        <v>0</v>
      </c>
      <c r="G5" s="103">
        <v>0.28899999999999998</v>
      </c>
      <c r="H5" s="103">
        <v>0.751</v>
      </c>
      <c r="I5" s="103">
        <v>2.02</v>
      </c>
      <c r="J5" s="103">
        <v>5.32</v>
      </c>
      <c r="K5" s="103">
        <v>14</v>
      </c>
      <c r="L5" s="103">
        <v>37</v>
      </c>
      <c r="M5" s="53"/>
      <c r="N5" s="104">
        <v>5.78</v>
      </c>
      <c r="O5" s="105" t="s">
        <v>45</v>
      </c>
      <c r="Q5" s="111" t="s">
        <v>57</v>
      </c>
      <c r="R5" s="107">
        <v>0</v>
      </c>
      <c r="S5" s="108">
        <v>0.1</v>
      </c>
      <c r="T5" s="108">
        <v>0.26</v>
      </c>
      <c r="U5" s="108">
        <v>0.7</v>
      </c>
      <c r="V5" s="108">
        <v>1.84</v>
      </c>
      <c r="W5" s="108">
        <v>4.8600000000000003</v>
      </c>
      <c r="X5" s="108">
        <v>12.8</v>
      </c>
      <c r="Y5" s="107"/>
      <c r="Z5" s="109">
        <v>2</v>
      </c>
      <c r="AA5" s="110" t="s">
        <v>46</v>
      </c>
    </row>
    <row r="6" spans="1:27" ht="20.25" customHeight="1">
      <c r="A6" s="99" t="s">
        <v>55</v>
      </c>
      <c r="B6" s="180"/>
      <c r="C6" s="100" t="s">
        <v>58</v>
      </c>
      <c r="D6" s="101">
        <v>346.21440000000001</v>
      </c>
      <c r="F6" s="102">
        <v>0</v>
      </c>
      <c r="G6" s="103">
        <v>0.30299999999999999</v>
      </c>
      <c r="H6" s="103">
        <v>0.78800000000000003</v>
      </c>
      <c r="I6" s="103">
        <v>2.12</v>
      </c>
      <c r="J6" s="103">
        <v>5.58</v>
      </c>
      <c r="K6" s="103">
        <v>14.7</v>
      </c>
      <c r="L6" s="103">
        <v>38.799999999999997</v>
      </c>
      <c r="M6" s="53"/>
      <c r="N6" s="104">
        <v>6.06</v>
      </c>
      <c r="O6" s="105" t="s">
        <v>45</v>
      </c>
      <c r="Q6" s="100" t="s">
        <v>58</v>
      </c>
      <c r="R6" s="107">
        <v>0</v>
      </c>
      <c r="S6" s="108">
        <v>0.1</v>
      </c>
      <c r="T6" s="108">
        <v>0.26</v>
      </c>
      <c r="U6" s="108">
        <v>0.7</v>
      </c>
      <c r="V6" s="108">
        <v>1.84</v>
      </c>
      <c r="W6" s="108">
        <v>4.8600000000000003</v>
      </c>
      <c r="X6" s="108">
        <v>12.8</v>
      </c>
      <c r="Y6" s="107"/>
      <c r="Z6" s="109">
        <v>2</v>
      </c>
      <c r="AA6" s="110" t="s">
        <v>46</v>
      </c>
    </row>
    <row r="7" spans="1:27" ht="20.25" customHeight="1">
      <c r="A7" s="99" t="s">
        <v>55</v>
      </c>
      <c r="B7" s="180"/>
      <c r="C7" s="111" t="s">
        <v>12</v>
      </c>
      <c r="D7" s="112">
        <v>360.19367</v>
      </c>
      <c r="F7" s="102">
        <v>0</v>
      </c>
      <c r="G7" s="103">
        <v>0.28899999999999998</v>
      </c>
      <c r="H7" s="103">
        <v>0.751</v>
      </c>
      <c r="I7" s="103">
        <v>2.02</v>
      </c>
      <c r="J7" s="103">
        <v>5.32</v>
      </c>
      <c r="K7" s="103">
        <v>14</v>
      </c>
      <c r="L7" s="103">
        <v>37</v>
      </c>
      <c r="M7" s="53"/>
      <c r="N7" s="104">
        <v>8.67</v>
      </c>
      <c r="O7" s="105" t="s">
        <v>45</v>
      </c>
      <c r="Q7" s="111" t="s">
        <v>12</v>
      </c>
      <c r="R7" s="107">
        <v>0</v>
      </c>
      <c r="S7" s="108">
        <v>0.1</v>
      </c>
      <c r="T7" s="108">
        <v>0.26</v>
      </c>
      <c r="U7" s="108">
        <v>0.7</v>
      </c>
      <c r="V7" s="108">
        <v>1.84</v>
      </c>
      <c r="W7" s="108">
        <v>4.8600000000000003</v>
      </c>
      <c r="X7" s="108">
        <v>12.8</v>
      </c>
      <c r="Y7" s="107"/>
      <c r="Z7" s="109">
        <v>3</v>
      </c>
      <c r="AA7" s="110" t="s">
        <v>46</v>
      </c>
    </row>
    <row r="8" spans="1:27" ht="20.25" customHeight="1">
      <c r="A8" s="99" t="s">
        <v>55</v>
      </c>
      <c r="B8" s="180"/>
      <c r="C8" s="100" t="s">
        <v>14</v>
      </c>
      <c r="D8" s="101">
        <v>286.19330000000002</v>
      </c>
      <c r="F8" s="102">
        <v>0</v>
      </c>
      <c r="G8" s="103">
        <v>0.27700000000000002</v>
      </c>
      <c r="H8" s="103">
        <v>0.60899999999999999</v>
      </c>
      <c r="I8" s="103">
        <v>1.27</v>
      </c>
      <c r="J8" s="103">
        <v>2.74</v>
      </c>
      <c r="K8" s="103">
        <v>5.93</v>
      </c>
      <c r="L8" s="103">
        <v>12.7</v>
      </c>
      <c r="M8" s="53"/>
      <c r="N8" s="104">
        <v>8.31</v>
      </c>
      <c r="O8" s="105" t="s">
        <v>45</v>
      </c>
      <c r="Q8" s="100" t="s">
        <v>14</v>
      </c>
      <c r="R8" s="107">
        <v>0</v>
      </c>
      <c r="S8" s="108">
        <v>0.1</v>
      </c>
      <c r="T8" s="108">
        <v>0.22</v>
      </c>
      <c r="U8" s="108">
        <v>0.46</v>
      </c>
      <c r="V8" s="108">
        <v>0.99</v>
      </c>
      <c r="W8" s="108">
        <v>2.14</v>
      </c>
      <c r="X8" s="108">
        <v>4.59</v>
      </c>
      <c r="Y8" s="107"/>
      <c r="Z8" s="109">
        <v>3</v>
      </c>
      <c r="AA8" s="110" t="s">
        <v>46</v>
      </c>
    </row>
    <row r="9" spans="1:27" ht="20.25" customHeight="1">
      <c r="A9" s="99" t="s">
        <v>55</v>
      </c>
      <c r="B9" s="180"/>
      <c r="C9" s="111" t="s">
        <v>16</v>
      </c>
      <c r="D9" s="112">
        <v>346.21440000000001</v>
      </c>
      <c r="F9" s="102">
        <v>0</v>
      </c>
      <c r="G9" s="103">
        <v>0.34899999999999998</v>
      </c>
      <c r="H9" s="103">
        <v>0.90700000000000003</v>
      </c>
      <c r="I9" s="103">
        <v>2.44</v>
      </c>
      <c r="J9" s="103">
        <v>6.42</v>
      </c>
      <c r="K9" s="103">
        <v>17</v>
      </c>
      <c r="L9" s="103">
        <v>42.6</v>
      </c>
      <c r="M9" s="53"/>
      <c r="N9" s="104">
        <v>6.98</v>
      </c>
      <c r="O9" s="105" t="s">
        <v>45</v>
      </c>
      <c r="Q9" s="111" t="s">
        <v>16</v>
      </c>
      <c r="R9" s="107">
        <v>0</v>
      </c>
      <c r="S9" s="108">
        <v>0.1</v>
      </c>
      <c r="T9" s="108">
        <v>0.26</v>
      </c>
      <c r="U9" s="108">
        <v>0.7</v>
      </c>
      <c r="V9" s="108">
        <v>1.84</v>
      </c>
      <c r="W9" s="108">
        <v>4.8600000000000003</v>
      </c>
      <c r="X9" s="108">
        <v>12.2</v>
      </c>
      <c r="Y9" s="107"/>
      <c r="Z9" s="109">
        <v>2</v>
      </c>
      <c r="AA9" s="110" t="s">
        <v>46</v>
      </c>
    </row>
    <row r="10" spans="1:27" ht="20.25" customHeight="1">
      <c r="A10" s="99" t="s">
        <v>55</v>
      </c>
      <c r="B10" s="180"/>
      <c r="C10" s="100" t="s">
        <v>18</v>
      </c>
      <c r="D10" s="101">
        <v>362.20929999999998</v>
      </c>
      <c r="F10" s="102">
        <v>0</v>
      </c>
      <c r="G10" s="103">
        <v>0.86699999999999999</v>
      </c>
      <c r="H10" s="103">
        <v>2.2799999999999998</v>
      </c>
      <c r="I10" s="103">
        <v>6.04</v>
      </c>
      <c r="J10" s="103">
        <v>16</v>
      </c>
      <c r="K10" s="103">
        <v>42.2</v>
      </c>
      <c r="L10" s="103">
        <v>111</v>
      </c>
      <c r="M10" s="53"/>
      <c r="N10" s="104">
        <v>14.4</v>
      </c>
      <c r="O10" s="105" t="s">
        <v>45</v>
      </c>
      <c r="Q10" s="100" t="s">
        <v>18</v>
      </c>
      <c r="R10" s="107">
        <v>0</v>
      </c>
      <c r="S10" s="108">
        <v>0.3</v>
      </c>
      <c r="T10" s="108">
        <v>0.79</v>
      </c>
      <c r="U10" s="108">
        <v>2.09</v>
      </c>
      <c r="V10" s="108">
        <v>5.52</v>
      </c>
      <c r="W10" s="108">
        <v>14.6</v>
      </c>
      <c r="X10" s="108">
        <v>38.5</v>
      </c>
      <c r="Y10" s="107"/>
      <c r="Z10" s="109">
        <v>5</v>
      </c>
      <c r="AA10" s="110" t="s">
        <v>46</v>
      </c>
    </row>
    <row r="11" spans="1:27" ht="20.25" customHeight="1">
      <c r="A11" s="99" t="s">
        <v>55</v>
      </c>
      <c r="B11" s="180"/>
      <c r="C11" s="111" t="s">
        <v>20</v>
      </c>
      <c r="D11" s="112">
        <v>360.19369999999998</v>
      </c>
      <c r="F11" s="102">
        <v>0</v>
      </c>
      <c r="G11" s="103">
        <v>5.52</v>
      </c>
      <c r="H11" s="103">
        <v>14.6</v>
      </c>
      <c r="I11" s="103">
        <v>38.4</v>
      </c>
      <c r="J11" s="103">
        <v>102</v>
      </c>
      <c r="K11" s="103">
        <v>268</v>
      </c>
      <c r="L11" s="103">
        <v>707</v>
      </c>
      <c r="M11" s="53"/>
      <c r="N11" s="104">
        <v>69</v>
      </c>
      <c r="O11" s="105" t="s">
        <v>45</v>
      </c>
      <c r="Q11" s="111" t="s">
        <v>20</v>
      </c>
      <c r="R11" s="107">
        <v>0</v>
      </c>
      <c r="S11" s="108">
        <v>2</v>
      </c>
      <c r="T11" s="108">
        <v>5.28</v>
      </c>
      <c r="U11" s="108">
        <v>13.9</v>
      </c>
      <c r="V11" s="108">
        <v>36.799999999999997</v>
      </c>
      <c r="W11" s="108">
        <v>97.2</v>
      </c>
      <c r="X11" s="108">
        <v>256</v>
      </c>
      <c r="Y11" s="107"/>
      <c r="Z11" s="109">
        <v>25</v>
      </c>
      <c r="AA11" s="110" t="s">
        <v>46</v>
      </c>
    </row>
    <row r="12" spans="1:27" ht="20.25" customHeight="1">
      <c r="A12" s="99" t="s">
        <v>55</v>
      </c>
      <c r="B12" s="180"/>
      <c r="C12" s="100" t="s">
        <v>22</v>
      </c>
      <c r="D12" s="101">
        <v>392.19990000000001</v>
      </c>
      <c r="F12" s="102">
        <v>0</v>
      </c>
      <c r="G12" s="103">
        <v>1.39</v>
      </c>
      <c r="H12" s="103">
        <v>3.66</v>
      </c>
      <c r="I12" s="103">
        <v>9.64</v>
      </c>
      <c r="J12" s="103">
        <v>25.5</v>
      </c>
      <c r="K12" s="103">
        <v>67.3</v>
      </c>
      <c r="L12" s="103">
        <v>178</v>
      </c>
      <c r="M12" s="53"/>
      <c r="N12" s="104">
        <v>13.9</v>
      </c>
      <c r="O12" s="105" t="s">
        <v>45</v>
      </c>
      <c r="Q12" s="100" t="s">
        <v>22</v>
      </c>
      <c r="R12" s="107">
        <v>0</v>
      </c>
      <c r="S12" s="108">
        <v>0.5</v>
      </c>
      <c r="T12" s="108">
        <v>1.32</v>
      </c>
      <c r="U12" s="108">
        <v>3.48</v>
      </c>
      <c r="V12" s="108">
        <v>9.1999999999999993</v>
      </c>
      <c r="W12" s="108">
        <v>24.3</v>
      </c>
      <c r="X12" s="108">
        <v>64.099999999999994</v>
      </c>
      <c r="Y12" s="107"/>
      <c r="Z12" s="109">
        <v>5</v>
      </c>
      <c r="AA12" s="110" t="s">
        <v>46</v>
      </c>
    </row>
    <row r="13" spans="1:27" ht="20.25" customHeight="1">
      <c r="A13" s="99" t="s">
        <v>55</v>
      </c>
      <c r="B13" s="180"/>
      <c r="C13" s="111" t="s">
        <v>24</v>
      </c>
      <c r="D13" s="112">
        <v>288.20890000000003</v>
      </c>
      <c r="F13" s="102">
        <v>0</v>
      </c>
      <c r="G13" s="103">
        <v>1.28</v>
      </c>
      <c r="H13" s="103">
        <v>3.37</v>
      </c>
      <c r="I13" s="103">
        <v>8.8699999999999992</v>
      </c>
      <c r="J13" s="103">
        <v>23.5</v>
      </c>
      <c r="K13" s="103">
        <v>62</v>
      </c>
      <c r="L13" s="103">
        <v>163</v>
      </c>
      <c r="M13" s="53"/>
      <c r="N13" s="104">
        <v>51</v>
      </c>
      <c r="O13" s="105" t="s">
        <v>45</v>
      </c>
      <c r="Q13" s="111" t="s">
        <v>24</v>
      </c>
      <c r="R13" s="107">
        <v>0</v>
      </c>
      <c r="S13" s="108">
        <v>0.5</v>
      </c>
      <c r="T13" s="108">
        <v>1.32</v>
      </c>
      <c r="U13" s="108">
        <v>3.48</v>
      </c>
      <c r="V13" s="108">
        <v>9.1999999999999993</v>
      </c>
      <c r="W13" s="108">
        <v>24.3</v>
      </c>
      <c r="X13" s="108">
        <v>64.099999999999994</v>
      </c>
      <c r="Y13" s="107"/>
      <c r="Z13" s="109">
        <v>20</v>
      </c>
      <c r="AA13" s="110" t="s">
        <v>46</v>
      </c>
    </row>
    <row r="14" spans="1:27" ht="20.25" customHeight="1">
      <c r="A14" s="99" t="s">
        <v>55</v>
      </c>
      <c r="B14" s="180"/>
      <c r="C14" s="100" t="s">
        <v>59</v>
      </c>
      <c r="D14" s="101">
        <v>368.16570000000002</v>
      </c>
      <c r="F14" s="102">
        <v>0</v>
      </c>
      <c r="G14" s="103">
        <v>3.47</v>
      </c>
      <c r="H14" s="103">
        <v>7.46</v>
      </c>
      <c r="I14" s="103">
        <v>16</v>
      </c>
      <c r="J14" s="103">
        <v>34.5</v>
      </c>
      <c r="K14" s="103">
        <v>74.3</v>
      </c>
      <c r="L14" s="103">
        <v>159</v>
      </c>
      <c r="M14" s="53"/>
      <c r="N14" s="104">
        <v>174</v>
      </c>
      <c r="O14" s="105" t="s">
        <v>45</v>
      </c>
      <c r="Q14" s="100" t="s">
        <v>59</v>
      </c>
      <c r="R14" s="107">
        <v>0</v>
      </c>
      <c r="S14" s="108">
        <v>1</v>
      </c>
      <c r="T14" s="108">
        <v>2.15</v>
      </c>
      <c r="U14" s="108">
        <v>4.62</v>
      </c>
      <c r="V14" s="108">
        <v>9.94</v>
      </c>
      <c r="W14" s="108">
        <v>21.4</v>
      </c>
      <c r="X14" s="108">
        <v>45.9</v>
      </c>
      <c r="Y14" s="107"/>
      <c r="Z14" s="109">
        <v>50</v>
      </c>
      <c r="AA14" s="110" t="s">
        <v>46</v>
      </c>
    </row>
    <row r="15" spans="1:27" ht="20.25" customHeight="1">
      <c r="A15" s="99" t="s">
        <v>55</v>
      </c>
      <c r="B15" s="180"/>
      <c r="C15" s="111" t="s">
        <v>60</v>
      </c>
      <c r="D15" s="112">
        <v>290.22460000000001</v>
      </c>
      <c r="F15" s="102">
        <v>0</v>
      </c>
      <c r="G15" s="113">
        <v>136</v>
      </c>
      <c r="H15" s="113">
        <v>358</v>
      </c>
      <c r="I15" s="113">
        <v>943</v>
      </c>
      <c r="J15" s="113">
        <v>2493</v>
      </c>
      <c r="K15" s="113">
        <v>6583</v>
      </c>
      <c r="L15" s="113">
        <v>17377</v>
      </c>
      <c r="M15" s="114"/>
      <c r="N15" s="115">
        <v>1355</v>
      </c>
      <c r="O15" s="105" t="s">
        <v>45</v>
      </c>
      <c r="Q15" s="111" t="s">
        <v>60</v>
      </c>
      <c r="R15" s="107">
        <v>0</v>
      </c>
      <c r="S15" s="108">
        <v>50</v>
      </c>
      <c r="T15" s="108">
        <v>132</v>
      </c>
      <c r="U15" s="108">
        <v>348</v>
      </c>
      <c r="V15" s="108">
        <v>920</v>
      </c>
      <c r="W15" s="108">
        <v>2429</v>
      </c>
      <c r="X15" s="108">
        <v>6412</v>
      </c>
      <c r="Y15" s="107"/>
      <c r="Z15" s="109">
        <v>500</v>
      </c>
      <c r="AA15" s="110" t="s">
        <v>46</v>
      </c>
    </row>
    <row r="16" spans="1:27" ht="20.25" customHeight="1">
      <c r="A16" s="99" t="s">
        <v>55</v>
      </c>
      <c r="B16" s="180"/>
      <c r="C16" s="100" t="s">
        <v>61</v>
      </c>
      <c r="D16" s="101">
        <v>314.22460000000001</v>
      </c>
      <c r="F16" s="102">
        <v>0</v>
      </c>
      <c r="G16" s="103">
        <v>0.51600000000000001</v>
      </c>
      <c r="H16" s="103">
        <v>0.82599999999999996</v>
      </c>
      <c r="I16" s="103">
        <v>1.31</v>
      </c>
      <c r="J16" s="103">
        <v>2.1</v>
      </c>
      <c r="K16" s="103">
        <v>3.37</v>
      </c>
      <c r="L16" s="103">
        <v>5.4</v>
      </c>
      <c r="M16" s="53"/>
      <c r="N16" s="104">
        <v>13.8</v>
      </c>
      <c r="O16" s="105" t="s">
        <v>45</v>
      </c>
      <c r="Q16" s="100" t="s">
        <v>61</v>
      </c>
      <c r="R16" s="107">
        <v>0</v>
      </c>
      <c r="S16" s="108">
        <v>0.15</v>
      </c>
      <c r="T16" s="108">
        <v>0.24</v>
      </c>
      <c r="U16" s="108">
        <v>0.38</v>
      </c>
      <c r="V16" s="108">
        <v>0.61</v>
      </c>
      <c r="W16" s="108">
        <v>0.98</v>
      </c>
      <c r="X16" s="108">
        <v>1.57</v>
      </c>
      <c r="Y16" s="107"/>
      <c r="Z16" s="109">
        <v>4</v>
      </c>
      <c r="AA16" s="110" t="s">
        <v>46</v>
      </c>
    </row>
    <row r="17" spans="1:132" ht="20.25" customHeight="1">
      <c r="A17" s="99" t="s">
        <v>55</v>
      </c>
      <c r="B17" s="180"/>
      <c r="C17" s="111" t="s">
        <v>32</v>
      </c>
      <c r="D17" s="112">
        <v>288.20890000000003</v>
      </c>
      <c r="F17" s="102">
        <v>0</v>
      </c>
      <c r="G17" s="103">
        <v>0.318</v>
      </c>
      <c r="H17" s="103">
        <v>0.82699999999999996</v>
      </c>
      <c r="I17" s="103">
        <v>2.23</v>
      </c>
      <c r="J17" s="103">
        <v>5.85</v>
      </c>
      <c r="K17" s="103">
        <v>15.5</v>
      </c>
      <c r="L17" s="103">
        <v>40.700000000000003</v>
      </c>
      <c r="M17" s="53"/>
      <c r="N17" s="104">
        <v>6.36</v>
      </c>
      <c r="O17" s="105" t="s">
        <v>45</v>
      </c>
      <c r="Q17" s="111" t="s">
        <v>32</v>
      </c>
      <c r="R17" s="107">
        <v>0</v>
      </c>
      <c r="S17" s="108">
        <v>0.1</v>
      </c>
      <c r="T17" s="108">
        <v>0.26</v>
      </c>
      <c r="U17" s="108">
        <v>0.7</v>
      </c>
      <c r="V17" s="108">
        <v>1.84</v>
      </c>
      <c r="W17" s="108">
        <v>4.8600000000000003</v>
      </c>
      <c r="X17" s="108">
        <v>12.8</v>
      </c>
      <c r="Y17" s="107"/>
      <c r="Z17" s="109">
        <v>2</v>
      </c>
      <c r="AA17" s="110" t="s">
        <v>46</v>
      </c>
    </row>
    <row r="18" spans="1:132" ht="20.25" customHeight="1">
      <c r="A18" s="99" t="s">
        <v>55</v>
      </c>
      <c r="B18" s="180"/>
      <c r="C18" s="100" t="s">
        <v>34</v>
      </c>
      <c r="D18" s="101">
        <v>332.23509999999999</v>
      </c>
      <c r="F18" s="102">
        <v>0</v>
      </c>
      <c r="G18" s="103">
        <v>0.13900000000000001</v>
      </c>
      <c r="H18" s="103">
        <v>0.45100000000000001</v>
      </c>
      <c r="I18" s="103">
        <v>1.42</v>
      </c>
      <c r="J18" s="103">
        <v>4.55</v>
      </c>
      <c r="K18" s="103">
        <v>14.5</v>
      </c>
      <c r="L18" s="103">
        <v>46.5</v>
      </c>
      <c r="M18" s="53"/>
      <c r="N18" s="104">
        <v>3.47</v>
      </c>
      <c r="O18" s="105" t="s">
        <v>45</v>
      </c>
      <c r="Q18" s="100" t="s">
        <v>34</v>
      </c>
      <c r="R18" s="107">
        <v>0</v>
      </c>
      <c r="S18" s="108">
        <v>0.04</v>
      </c>
      <c r="T18" s="108">
        <v>0.13</v>
      </c>
      <c r="U18" s="108">
        <v>0.41</v>
      </c>
      <c r="V18" s="108">
        <v>1.31</v>
      </c>
      <c r="W18" s="108">
        <v>4.1900000000000004</v>
      </c>
      <c r="X18" s="108">
        <v>13.4</v>
      </c>
      <c r="Y18" s="107"/>
      <c r="Z18" s="109">
        <v>1</v>
      </c>
      <c r="AA18" s="110" t="s">
        <v>46</v>
      </c>
    </row>
    <row r="19" spans="1:132" ht="20.25" customHeight="1">
      <c r="A19" s="99" t="s">
        <v>55</v>
      </c>
      <c r="B19" s="180"/>
      <c r="C19" s="116" t="s">
        <v>62</v>
      </c>
      <c r="D19" s="112">
        <v>272.17759999999998</v>
      </c>
      <c r="F19" s="102">
        <v>0</v>
      </c>
      <c r="G19" s="117">
        <v>0.90300000000000002</v>
      </c>
      <c r="H19" s="117">
        <v>2.38</v>
      </c>
      <c r="I19" s="117">
        <v>6.29</v>
      </c>
      <c r="J19" s="117">
        <v>16.600000000000001</v>
      </c>
      <c r="K19" s="117">
        <v>43.9</v>
      </c>
      <c r="L19" s="117">
        <v>116</v>
      </c>
      <c r="M19" s="53"/>
      <c r="N19" s="118">
        <v>12</v>
      </c>
      <c r="O19" s="105" t="s">
        <v>45</v>
      </c>
      <c r="Q19" s="116" t="s">
        <v>62</v>
      </c>
      <c r="R19" s="107">
        <v>0</v>
      </c>
      <c r="S19" s="119">
        <v>0.3</v>
      </c>
      <c r="T19" s="119">
        <v>0.79</v>
      </c>
      <c r="U19" s="119">
        <v>2.09</v>
      </c>
      <c r="V19" s="119">
        <v>5.52</v>
      </c>
      <c r="W19" s="119">
        <v>14.57</v>
      </c>
      <c r="X19" s="119">
        <v>38.47</v>
      </c>
      <c r="Y19" s="107"/>
      <c r="Z19" s="109">
        <v>4</v>
      </c>
      <c r="AA19" s="110" t="s">
        <v>46</v>
      </c>
    </row>
    <row r="20" spans="1:132" ht="20.25" customHeight="1">
      <c r="A20" s="99" t="s">
        <v>55</v>
      </c>
      <c r="B20" s="180"/>
      <c r="C20" s="120" t="s">
        <v>63</v>
      </c>
      <c r="D20" s="101">
        <v>270.16199999999998</v>
      </c>
      <c r="F20" s="102">
        <v>0</v>
      </c>
      <c r="G20" s="117">
        <v>0.11</v>
      </c>
      <c r="H20" s="117">
        <v>0.29399999999999998</v>
      </c>
      <c r="I20" s="117">
        <v>0.77200000000000002</v>
      </c>
      <c r="J20" s="117">
        <v>2.02</v>
      </c>
      <c r="K20" s="117">
        <v>5.36</v>
      </c>
      <c r="L20" s="117">
        <v>14.1</v>
      </c>
      <c r="M20" s="53"/>
      <c r="N20" s="118">
        <v>3.67</v>
      </c>
      <c r="O20" s="105" t="s">
        <v>45</v>
      </c>
      <c r="Q20" s="120" t="s">
        <v>63</v>
      </c>
      <c r="R20" s="107">
        <v>0</v>
      </c>
      <c r="S20" s="119">
        <v>0.03</v>
      </c>
      <c r="T20" s="119">
        <v>0.08</v>
      </c>
      <c r="U20" s="119">
        <v>0.21</v>
      </c>
      <c r="V20" s="119">
        <v>0.55000000000000004</v>
      </c>
      <c r="W20" s="119">
        <v>1.46</v>
      </c>
      <c r="X20" s="119">
        <v>3.85</v>
      </c>
      <c r="Y20" s="107"/>
      <c r="Z20" s="109">
        <v>1</v>
      </c>
      <c r="AA20" s="110" t="s">
        <v>46</v>
      </c>
    </row>
    <row r="21" spans="1:132" ht="20.25" customHeight="1">
      <c r="A21" s="99" t="s">
        <v>55</v>
      </c>
      <c r="C21" s="116" t="s">
        <v>41</v>
      </c>
      <c r="F21" s="102">
        <v>0</v>
      </c>
      <c r="G21" s="117">
        <v>3.6999999999999998E-2</v>
      </c>
      <c r="H21" s="117">
        <v>0.111</v>
      </c>
      <c r="I21" s="117">
        <v>0.26</v>
      </c>
      <c r="J21" s="117">
        <v>0.66600000000000004</v>
      </c>
      <c r="K21" s="117">
        <v>1.81</v>
      </c>
      <c r="L21" s="117">
        <v>4.74</v>
      </c>
      <c r="M21" s="53"/>
      <c r="N21" s="118">
        <v>3.7</v>
      </c>
      <c r="O21" s="105" t="s">
        <v>45</v>
      </c>
      <c r="Q21" s="116" t="s">
        <v>41</v>
      </c>
      <c r="R21" s="107">
        <v>0</v>
      </c>
      <c r="S21" s="119">
        <v>0.01</v>
      </c>
      <c r="T21" s="119">
        <v>0.03</v>
      </c>
      <c r="U21" s="119">
        <v>7.0000000000000007E-2</v>
      </c>
      <c r="V21" s="119">
        <v>0.18</v>
      </c>
      <c r="W21" s="119">
        <v>0.49</v>
      </c>
      <c r="X21" s="119">
        <v>1.28</v>
      </c>
      <c r="Y21" s="107"/>
      <c r="Z21" s="109">
        <v>1</v>
      </c>
      <c r="AA21" s="110" t="s">
        <v>46</v>
      </c>
    </row>
    <row r="22" spans="1:132">
      <c r="M22" s="102"/>
    </row>
    <row r="23" spans="1:132"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  <c r="AC23" s="123"/>
      <c r="AD23" s="123"/>
      <c r="AE23" s="123"/>
      <c r="AF23" s="123"/>
      <c r="AG23" s="123"/>
      <c r="AH23" s="123"/>
      <c r="AI23" s="123"/>
      <c r="AJ23" s="123"/>
      <c r="AK23" s="123"/>
      <c r="AL23" s="123"/>
      <c r="AM23" s="123"/>
      <c r="AN23" s="123"/>
      <c r="AO23" s="123"/>
      <c r="AP23" s="123"/>
      <c r="AQ23" s="123"/>
      <c r="AR23" s="123"/>
      <c r="AS23" s="123"/>
      <c r="AT23" s="123"/>
      <c r="AU23" s="123"/>
      <c r="AV23" s="123"/>
      <c r="AW23" s="123"/>
      <c r="AX23" s="123"/>
      <c r="AY23" s="123"/>
      <c r="AZ23" s="123"/>
      <c r="BA23" s="123"/>
      <c r="BB23" s="123"/>
      <c r="BC23" s="123"/>
      <c r="BD23" s="123"/>
      <c r="BE23" s="123"/>
      <c r="BF23" s="123"/>
      <c r="BG23" s="123"/>
      <c r="BH23" s="123"/>
      <c r="BI23" s="123"/>
      <c r="BJ23" s="123"/>
      <c r="BK23" s="123"/>
      <c r="BL23" s="123"/>
      <c r="BM23" s="123"/>
      <c r="BN23" s="123"/>
      <c r="BO23" s="123"/>
      <c r="BP23" s="123"/>
      <c r="BQ23" s="123"/>
      <c r="BR23" s="123"/>
      <c r="BS23" s="123"/>
      <c r="BT23" s="123"/>
      <c r="BU23" s="123"/>
      <c r="BV23" s="123"/>
      <c r="BW23" s="123"/>
      <c r="BX23" s="123"/>
      <c r="BY23" s="123"/>
      <c r="BZ23" s="123"/>
      <c r="CA23" s="123"/>
      <c r="CB23" s="123"/>
      <c r="CC23" s="123"/>
      <c r="CD23" s="123"/>
      <c r="CE23" s="123"/>
      <c r="CF23" s="123"/>
      <c r="CG23" s="123"/>
      <c r="CH23" s="123"/>
      <c r="CI23" s="123"/>
      <c r="CJ23" s="123"/>
      <c r="CK23" s="123"/>
      <c r="CL23" s="123"/>
      <c r="CM23" s="123"/>
      <c r="CN23" s="123"/>
      <c r="CO23" s="123"/>
      <c r="CP23" s="123"/>
      <c r="CQ23" s="123"/>
      <c r="CR23" s="123"/>
      <c r="CS23" s="123"/>
      <c r="CT23" s="123"/>
      <c r="CU23" s="123"/>
      <c r="CV23" s="123"/>
      <c r="CW23" s="123"/>
      <c r="CX23" s="123"/>
      <c r="CY23" s="123"/>
      <c r="CZ23" s="123"/>
      <c r="DA23" s="123"/>
      <c r="DB23" s="123"/>
      <c r="DC23" s="123"/>
      <c r="DD23" s="123"/>
      <c r="DE23" s="123"/>
      <c r="DF23" s="123"/>
      <c r="DG23" s="123"/>
      <c r="DH23" s="123"/>
      <c r="DI23" s="123"/>
      <c r="DJ23" s="123"/>
      <c r="DK23" s="123"/>
      <c r="DL23" s="123"/>
      <c r="DM23" s="123"/>
      <c r="DN23" s="123"/>
      <c r="DO23" s="123"/>
      <c r="DP23" s="123"/>
      <c r="DQ23" s="123"/>
      <c r="DR23" s="123"/>
      <c r="DS23" s="123"/>
      <c r="DT23" s="123"/>
      <c r="DU23" s="123"/>
      <c r="DV23" s="123"/>
      <c r="DW23" s="123"/>
      <c r="DX23" s="123"/>
      <c r="DY23" s="123"/>
      <c r="DZ23" s="123"/>
      <c r="EA23" s="123"/>
      <c r="EB23" s="123"/>
    </row>
  </sheetData>
  <autoFilter ref="A1:A21" xr:uid="{00000000-0009-0000-0000-000001000000}"/>
  <mergeCells count="4">
    <mergeCell ref="A1:A2"/>
    <mergeCell ref="F1:O1"/>
    <mergeCell ref="R1:AA1"/>
    <mergeCell ref="B4:B2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01EF1-4428-438D-9BAC-F54C0BEEEECE}">
  <sheetPr filterMode="1">
    <tabColor theme="5" tint="0.79998168889431442"/>
  </sheetPr>
  <dimension ref="A1:L78"/>
  <sheetViews>
    <sheetView zoomScaleNormal="100" workbookViewId="0">
      <pane xSplit="1" ySplit="2" topLeftCell="B41" activePane="bottomRight" state="frozen"/>
      <selection pane="bottomRight" activeCell="M71" sqref="M71"/>
      <selection pane="bottomLeft" activeCell="G33" sqref="G33"/>
      <selection pane="topRight" activeCell="G33" sqref="G33"/>
    </sheetView>
  </sheetViews>
  <sheetFormatPr defaultColWidth="9" defaultRowHeight="15.75"/>
  <cols>
    <col min="1" max="1" width="12.625" style="106" customWidth="1"/>
    <col min="2" max="2" width="12.625" style="121" customWidth="1"/>
    <col min="3" max="3" width="39.125" style="106" customWidth="1"/>
    <col min="4" max="4" width="10.375" style="122" hidden="1" customWidth="1"/>
    <col min="5" max="5" width="3.125" customWidth="1"/>
    <col min="6" max="6" width="10.625" style="123" customWidth="1"/>
    <col min="7" max="7" width="12.5" style="123" customWidth="1"/>
    <col min="8" max="8" width="10.875" style="123" customWidth="1"/>
    <col min="9" max="9" width="10.625" style="123" customWidth="1"/>
    <col min="10" max="10" width="11.75" style="123" customWidth="1"/>
    <col min="11" max="11" width="10.875" style="123" customWidth="1"/>
    <col min="12" max="12" width="11.25" style="135" customWidth="1"/>
    <col min="13" max="16384" width="9" style="106"/>
  </cols>
  <sheetData>
    <row r="1" spans="1:12" s="86" customFormat="1" ht="19.5" customHeight="1">
      <c r="A1" s="172" t="s">
        <v>43</v>
      </c>
      <c r="B1" s="82"/>
      <c r="C1" s="83" t="s">
        <v>44</v>
      </c>
      <c r="D1" s="84"/>
      <c r="E1" s="85"/>
      <c r="F1" s="181" t="s">
        <v>64</v>
      </c>
      <c r="G1" s="181"/>
      <c r="H1" s="181"/>
      <c r="I1" s="182" t="s">
        <v>65</v>
      </c>
      <c r="J1" s="182"/>
      <c r="K1" s="182"/>
      <c r="L1" s="85"/>
    </row>
    <row r="2" spans="1:12" s="96" customFormat="1" ht="46.5" customHeight="1" thickBot="1">
      <c r="A2" s="173"/>
      <c r="B2" s="87" t="s">
        <v>47</v>
      </c>
      <c r="C2" s="88" t="s">
        <v>48</v>
      </c>
      <c r="D2" s="89" t="s">
        <v>49</v>
      </c>
      <c r="E2" s="90"/>
      <c r="F2" s="124" t="s">
        <v>66</v>
      </c>
      <c r="G2" s="125" t="s">
        <v>67</v>
      </c>
      <c r="H2" s="126" t="s">
        <v>68</v>
      </c>
      <c r="I2" s="124" t="s">
        <v>69</v>
      </c>
      <c r="J2" s="127" t="s">
        <v>70</v>
      </c>
      <c r="K2" s="126" t="s">
        <v>68</v>
      </c>
      <c r="L2" s="95" t="s">
        <v>54</v>
      </c>
    </row>
    <row r="3" spans="1:12" customFormat="1" ht="6" customHeight="1"/>
    <row r="4" spans="1:12" customFormat="1">
      <c r="A4" s="99" t="s">
        <v>71</v>
      </c>
      <c r="B4" s="180">
        <v>45412</v>
      </c>
      <c r="C4" s="100" t="s">
        <v>56</v>
      </c>
      <c r="D4" s="112">
        <v>330.21899999999999</v>
      </c>
      <c r="F4" s="128">
        <v>7.48</v>
      </c>
      <c r="G4" s="129">
        <v>10.69</v>
      </c>
      <c r="H4" s="130">
        <v>13.9</v>
      </c>
      <c r="I4" s="128">
        <v>0.40600000000000003</v>
      </c>
      <c r="J4" s="129">
        <v>0.58099999999999996</v>
      </c>
      <c r="K4" s="130">
        <v>0.754</v>
      </c>
      <c r="L4" s="105" t="s">
        <v>45</v>
      </c>
    </row>
    <row r="5" spans="1:12" customFormat="1">
      <c r="A5" s="99" t="s">
        <v>71</v>
      </c>
      <c r="B5" s="180"/>
      <c r="C5" s="111" t="s">
        <v>57</v>
      </c>
      <c r="D5" s="101">
        <v>346.21440000000001</v>
      </c>
      <c r="F5" s="128">
        <v>16.838999999999999</v>
      </c>
      <c r="G5" s="129">
        <v>25.908999999999999</v>
      </c>
      <c r="H5" s="130">
        <v>34.948999999999998</v>
      </c>
      <c r="I5" s="128">
        <v>0.872</v>
      </c>
      <c r="J5" s="129">
        <v>1.343</v>
      </c>
      <c r="K5" s="130">
        <v>1.8140000000000001</v>
      </c>
      <c r="L5" s="105" t="s">
        <v>45</v>
      </c>
    </row>
    <row r="6" spans="1:12" customFormat="1">
      <c r="A6" s="99" t="s">
        <v>71</v>
      </c>
      <c r="B6" s="180"/>
      <c r="C6" s="100" t="s">
        <v>58</v>
      </c>
      <c r="D6" s="112">
        <v>330.23509999999999</v>
      </c>
      <c r="F6" s="128">
        <v>19.108000000000001</v>
      </c>
      <c r="G6" s="129">
        <v>27.314</v>
      </c>
      <c r="H6" s="130">
        <v>35.520000000000003</v>
      </c>
      <c r="I6" s="128">
        <v>0.92700000000000005</v>
      </c>
      <c r="J6" s="129">
        <v>1.323</v>
      </c>
      <c r="K6" s="130">
        <v>1.72</v>
      </c>
      <c r="L6" s="105" t="s">
        <v>45</v>
      </c>
    </row>
    <row r="7" spans="1:12">
      <c r="A7" s="99" t="s">
        <v>71</v>
      </c>
      <c r="B7" s="180"/>
      <c r="C7" s="111" t="s">
        <v>12</v>
      </c>
      <c r="D7" s="101">
        <v>346.21440000000001</v>
      </c>
      <c r="F7" s="128">
        <v>18.948</v>
      </c>
      <c r="G7" s="129">
        <v>27.093</v>
      </c>
      <c r="H7" s="130">
        <v>35.209000000000003</v>
      </c>
      <c r="I7" s="128">
        <v>0.90700000000000003</v>
      </c>
      <c r="J7" s="129">
        <v>1.294</v>
      </c>
      <c r="K7" s="130">
        <v>1.681</v>
      </c>
      <c r="L7" s="105" t="s">
        <v>45</v>
      </c>
    </row>
    <row r="8" spans="1:12">
      <c r="A8" s="99" t="s">
        <v>71</v>
      </c>
      <c r="B8" s="180"/>
      <c r="C8" s="100" t="s">
        <v>14</v>
      </c>
      <c r="D8" s="112">
        <v>360.19367</v>
      </c>
      <c r="F8" s="128">
        <v>6.4690000000000003</v>
      </c>
      <c r="G8" s="129">
        <v>9.2449999999999992</v>
      </c>
      <c r="H8" s="130">
        <v>12.021000000000001</v>
      </c>
      <c r="I8" s="128">
        <v>0.69399999999999995</v>
      </c>
      <c r="J8" s="129">
        <v>0.99099999999999999</v>
      </c>
      <c r="K8" s="130">
        <v>1.288</v>
      </c>
      <c r="L8" s="105" t="s">
        <v>45</v>
      </c>
    </row>
    <row r="9" spans="1:12">
      <c r="A9" s="99" t="s">
        <v>71</v>
      </c>
      <c r="B9" s="180"/>
      <c r="C9" s="111" t="s">
        <v>16</v>
      </c>
      <c r="D9" s="101">
        <v>286.19330000000002</v>
      </c>
      <c r="F9" s="128">
        <v>20.86</v>
      </c>
      <c r="G9" s="129">
        <v>29.805</v>
      </c>
      <c r="H9" s="130">
        <v>38.75</v>
      </c>
      <c r="I9" s="128">
        <v>1.143</v>
      </c>
      <c r="J9" s="129">
        <v>1.6319999999999999</v>
      </c>
      <c r="K9" s="130">
        <v>2.1240000000000001</v>
      </c>
      <c r="L9" s="105" t="s">
        <v>45</v>
      </c>
    </row>
    <row r="10" spans="1:12">
      <c r="A10" s="99" t="s">
        <v>71</v>
      </c>
      <c r="B10" s="180"/>
      <c r="C10" s="100" t="s">
        <v>18</v>
      </c>
      <c r="D10" s="112">
        <v>346.21440000000001</v>
      </c>
      <c r="F10" s="128">
        <v>54.302</v>
      </c>
      <c r="G10" s="129">
        <v>77.697999999999993</v>
      </c>
      <c r="H10" s="130">
        <v>101.093</v>
      </c>
      <c r="I10" s="128">
        <v>2.831</v>
      </c>
      <c r="J10" s="129">
        <v>4.0439999999999996</v>
      </c>
      <c r="K10" s="130">
        <v>5.2569999999999997</v>
      </c>
      <c r="L10" s="105" t="s">
        <v>45</v>
      </c>
    </row>
    <row r="11" spans="1:12">
      <c r="A11" s="99" t="s">
        <v>71</v>
      </c>
      <c r="B11" s="180"/>
      <c r="C11" s="111" t="s">
        <v>20</v>
      </c>
      <c r="D11" s="101">
        <v>362.20929999999998</v>
      </c>
      <c r="F11" s="128">
        <v>336.822</v>
      </c>
      <c r="G11" s="129">
        <v>480.38499999999999</v>
      </c>
      <c r="H11" s="130">
        <v>623.94899999999996</v>
      </c>
      <c r="I11" s="128">
        <v>18.579999999999998</v>
      </c>
      <c r="J11" s="129">
        <v>26.532</v>
      </c>
      <c r="K11" s="130">
        <v>34.482999999999997</v>
      </c>
      <c r="L11" s="105" t="s">
        <v>45</v>
      </c>
    </row>
    <row r="12" spans="1:12">
      <c r="A12" s="99" t="s">
        <v>71</v>
      </c>
      <c r="B12" s="180"/>
      <c r="C12" s="100" t="s">
        <v>22</v>
      </c>
      <c r="D12" s="112">
        <v>360.19369999999998</v>
      </c>
      <c r="F12" s="128">
        <v>86.341999999999999</v>
      </c>
      <c r="G12" s="129">
        <v>123.545</v>
      </c>
      <c r="H12" s="130">
        <v>160.46899999999999</v>
      </c>
      <c r="I12" s="128">
        <v>4.7469999999999999</v>
      </c>
      <c r="J12" s="129">
        <v>6.8019999999999996</v>
      </c>
      <c r="K12" s="130">
        <v>8.8290000000000006</v>
      </c>
      <c r="L12" s="105" t="s">
        <v>45</v>
      </c>
    </row>
    <row r="13" spans="1:12">
      <c r="A13" s="99" t="s">
        <v>71</v>
      </c>
      <c r="B13" s="180"/>
      <c r="C13" s="111" t="s">
        <v>24</v>
      </c>
      <c r="D13" s="101">
        <v>392.19990000000001</v>
      </c>
      <c r="F13" s="128">
        <v>80.061000000000007</v>
      </c>
      <c r="G13" s="129">
        <v>114.482</v>
      </c>
      <c r="H13" s="130">
        <v>148.649</v>
      </c>
      <c r="I13" s="128">
        <v>4.0540000000000003</v>
      </c>
      <c r="J13" s="129">
        <v>5.8129999999999997</v>
      </c>
      <c r="K13" s="130">
        <v>7.5469999999999997</v>
      </c>
      <c r="L13" s="105" t="s">
        <v>45</v>
      </c>
    </row>
    <row r="14" spans="1:12">
      <c r="A14" s="99" t="s">
        <v>71</v>
      </c>
      <c r="B14" s="180"/>
      <c r="C14" s="100" t="s">
        <v>59</v>
      </c>
      <c r="D14" s="112">
        <v>288.20890000000003</v>
      </c>
      <c r="F14" s="128">
        <v>79.456000000000003</v>
      </c>
      <c r="G14" s="129">
        <v>122.134</v>
      </c>
      <c r="H14" s="130">
        <v>164.81100000000001</v>
      </c>
      <c r="I14" s="128">
        <v>7.5640000000000001</v>
      </c>
      <c r="J14" s="129">
        <v>11.624000000000001</v>
      </c>
      <c r="K14" s="130">
        <v>15.683</v>
      </c>
      <c r="L14" s="105" t="s">
        <v>45</v>
      </c>
    </row>
    <row r="15" spans="1:12">
      <c r="A15" s="99" t="s">
        <v>71</v>
      </c>
      <c r="B15" s="180"/>
      <c r="C15" s="111" t="s">
        <v>60</v>
      </c>
      <c r="D15" s="101">
        <v>368.16570000000002</v>
      </c>
      <c r="F15" s="128">
        <v>7056.6049999999996</v>
      </c>
      <c r="G15" s="129">
        <v>10856.525</v>
      </c>
      <c r="H15" s="130">
        <v>14656.444</v>
      </c>
      <c r="I15" s="128">
        <v>459.03199999999998</v>
      </c>
      <c r="J15" s="129">
        <v>706.20399999999995</v>
      </c>
      <c r="K15" s="130">
        <v>953.375</v>
      </c>
      <c r="L15" s="105" t="s">
        <v>45</v>
      </c>
    </row>
    <row r="16" spans="1:12">
      <c r="A16" s="99" t="s">
        <v>71</v>
      </c>
      <c r="B16" s="180"/>
      <c r="C16" s="100" t="s">
        <v>61</v>
      </c>
      <c r="D16" s="112">
        <v>290.22460000000001</v>
      </c>
      <c r="F16" s="128">
        <v>3.0670000000000002</v>
      </c>
      <c r="G16" s="129">
        <v>4.383</v>
      </c>
      <c r="H16" s="130">
        <v>5.6989999999999998</v>
      </c>
      <c r="I16" s="128">
        <v>0.748</v>
      </c>
      <c r="J16" s="129">
        <v>1.0680000000000001</v>
      </c>
      <c r="K16" s="130">
        <v>1.389</v>
      </c>
      <c r="L16" s="105" t="s">
        <v>45</v>
      </c>
    </row>
    <row r="17" spans="1:12">
      <c r="A17" s="99" t="s">
        <v>71</v>
      </c>
      <c r="B17" s="180"/>
      <c r="C17" s="111" t="s">
        <v>32</v>
      </c>
      <c r="D17" s="101">
        <v>314.22460000000001</v>
      </c>
      <c r="F17" s="128">
        <v>20.335999999999999</v>
      </c>
      <c r="G17" s="129">
        <v>29.024000000000001</v>
      </c>
      <c r="H17" s="130">
        <v>37.744</v>
      </c>
      <c r="I17" s="128">
        <v>1.034</v>
      </c>
      <c r="J17" s="129">
        <v>1.48</v>
      </c>
      <c r="K17" s="130">
        <v>1.9219999999999999</v>
      </c>
      <c r="L17" s="105" t="s">
        <v>45</v>
      </c>
    </row>
    <row r="18" spans="1:12">
      <c r="A18" s="99" t="s">
        <v>71</v>
      </c>
      <c r="B18" s="180"/>
      <c r="C18" s="100" t="s">
        <v>34</v>
      </c>
      <c r="D18" s="112">
        <v>288.20890000000003</v>
      </c>
      <c r="F18" s="128">
        <v>21.026</v>
      </c>
      <c r="G18" s="129">
        <v>30.013000000000002</v>
      </c>
      <c r="H18" s="130">
        <v>39.033999999999999</v>
      </c>
      <c r="I18" s="128">
        <v>0.57899999999999996</v>
      </c>
      <c r="J18" s="129">
        <v>0.82899999999999996</v>
      </c>
      <c r="K18" s="130">
        <v>1.0760000000000001</v>
      </c>
      <c r="L18" s="105" t="s">
        <v>45</v>
      </c>
    </row>
    <row r="19" spans="1:12">
      <c r="A19" s="99" t="s">
        <v>71</v>
      </c>
      <c r="B19" s="180"/>
      <c r="C19" s="116" t="s">
        <v>62</v>
      </c>
      <c r="D19" s="101">
        <v>332.23509999999999</v>
      </c>
      <c r="F19" s="128">
        <v>55.683</v>
      </c>
      <c r="G19" s="129">
        <v>79.763000000000005</v>
      </c>
      <c r="H19" s="130">
        <v>103.541</v>
      </c>
      <c r="I19" s="128">
        <v>2.95</v>
      </c>
      <c r="J19" s="129">
        <v>4.2439999999999998</v>
      </c>
      <c r="K19" s="130">
        <v>5.508</v>
      </c>
      <c r="L19" s="105" t="s">
        <v>45</v>
      </c>
    </row>
    <row r="20" spans="1:12">
      <c r="A20" s="99" t="s">
        <v>71</v>
      </c>
      <c r="B20" s="180"/>
      <c r="C20" s="120" t="s">
        <v>63</v>
      </c>
      <c r="D20" s="112">
        <v>272.17759999999998</v>
      </c>
      <c r="F20" s="128">
        <v>6.65</v>
      </c>
      <c r="G20" s="129">
        <v>9.4789999999999992</v>
      </c>
      <c r="H20" s="130">
        <v>12.345000000000001</v>
      </c>
      <c r="I20" s="128">
        <v>0.36399999999999999</v>
      </c>
      <c r="J20" s="129">
        <v>0.52200000000000002</v>
      </c>
      <c r="K20" s="130">
        <v>0.67600000000000005</v>
      </c>
      <c r="L20" s="105" t="s">
        <v>45</v>
      </c>
    </row>
    <row r="21" spans="1:12">
      <c r="A21" s="99" t="s">
        <v>71</v>
      </c>
      <c r="B21" s="180"/>
      <c r="C21" s="116" t="s">
        <v>41</v>
      </c>
      <c r="D21" s="131">
        <v>270.16199999999998</v>
      </c>
      <c r="F21" s="128">
        <v>2.2250000000000001</v>
      </c>
      <c r="G21" s="129">
        <v>3.1760000000000002</v>
      </c>
      <c r="H21" s="130">
        <v>4.1269999999999998</v>
      </c>
      <c r="I21" s="128">
        <v>0.123</v>
      </c>
      <c r="J21" s="129">
        <v>0.17499999999999999</v>
      </c>
      <c r="K21" s="130">
        <v>0.22700000000000001</v>
      </c>
      <c r="L21" s="105" t="s">
        <v>45</v>
      </c>
    </row>
    <row r="22" spans="1:12">
      <c r="A22"/>
      <c r="C22"/>
      <c r="D22"/>
      <c r="F22" s="107"/>
      <c r="G22" s="132"/>
      <c r="H22" s="107"/>
      <c r="I22" s="107"/>
      <c r="J22" s="132"/>
      <c r="K22" s="107"/>
      <c r="L22"/>
    </row>
    <row r="23" spans="1:12">
      <c r="A23" s="133" t="s">
        <v>72</v>
      </c>
      <c r="B23" s="180">
        <v>45716</v>
      </c>
      <c r="C23" s="100" t="s">
        <v>56</v>
      </c>
      <c r="D23" s="112">
        <v>330.21899999999999</v>
      </c>
      <c r="F23" s="128">
        <v>7.53</v>
      </c>
      <c r="G23" s="129">
        <v>10.76</v>
      </c>
      <c r="H23" s="130">
        <v>13.99</v>
      </c>
      <c r="I23" s="128">
        <v>0.40699999999999997</v>
      </c>
      <c r="J23" s="129">
        <v>0.58099999999999996</v>
      </c>
      <c r="K23" s="130">
        <v>0.75600000000000001</v>
      </c>
      <c r="L23" s="105" t="s">
        <v>45</v>
      </c>
    </row>
    <row r="24" spans="1:12">
      <c r="A24" s="133" t="s">
        <v>72</v>
      </c>
      <c r="B24" s="180"/>
      <c r="C24" s="111" t="s">
        <v>57</v>
      </c>
      <c r="D24" s="101">
        <v>346.21440000000001</v>
      </c>
      <c r="F24" s="128">
        <v>16.68</v>
      </c>
      <c r="G24" s="129">
        <v>25.66</v>
      </c>
      <c r="H24" s="130">
        <v>34.65</v>
      </c>
      <c r="I24" s="128">
        <v>0.9</v>
      </c>
      <c r="J24" s="129">
        <v>1.385</v>
      </c>
      <c r="K24" s="130">
        <v>1.869</v>
      </c>
      <c r="L24" s="105" t="s">
        <v>45</v>
      </c>
    </row>
    <row r="25" spans="1:12">
      <c r="A25" s="133" t="s">
        <v>72</v>
      </c>
      <c r="B25" s="180"/>
      <c r="C25" s="100" t="s">
        <v>58</v>
      </c>
      <c r="D25" s="112">
        <v>330.23509999999999</v>
      </c>
      <c r="F25" s="128">
        <v>18.16</v>
      </c>
      <c r="G25" s="129">
        <v>25.94</v>
      </c>
      <c r="H25" s="130">
        <v>33.729999999999997</v>
      </c>
      <c r="I25" s="128">
        <v>1.1220000000000001</v>
      </c>
      <c r="J25" s="129">
        <v>1.603</v>
      </c>
      <c r="K25" s="130">
        <v>2.0840000000000001</v>
      </c>
      <c r="L25" s="105" t="s">
        <v>45</v>
      </c>
    </row>
    <row r="26" spans="1:12">
      <c r="A26" s="133" t="s">
        <v>72</v>
      </c>
      <c r="B26" s="180"/>
      <c r="C26" s="111" t="s">
        <v>12</v>
      </c>
      <c r="D26" s="101">
        <v>346.21440000000001</v>
      </c>
      <c r="F26" s="128">
        <v>17.43</v>
      </c>
      <c r="G26" s="129">
        <v>24.89</v>
      </c>
      <c r="H26" s="130">
        <v>32.36</v>
      </c>
      <c r="I26" s="128">
        <v>1.0389999999999999</v>
      </c>
      <c r="J26" s="129">
        <v>1.484</v>
      </c>
      <c r="K26" s="130">
        <v>1.929</v>
      </c>
      <c r="L26" s="105" t="s">
        <v>45</v>
      </c>
    </row>
    <row r="27" spans="1:12">
      <c r="A27" s="133" t="s">
        <v>72</v>
      </c>
      <c r="B27" s="180"/>
      <c r="C27" s="100" t="s">
        <v>14</v>
      </c>
      <c r="D27" s="112">
        <v>360.19367</v>
      </c>
      <c r="F27" s="128">
        <v>6.82</v>
      </c>
      <c r="G27" s="129">
        <v>9.74</v>
      </c>
      <c r="H27" s="130">
        <v>12.66</v>
      </c>
      <c r="I27" s="128">
        <v>0.63700000000000001</v>
      </c>
      <c r="J27" s="129">
        <v>0.91100000000000003</v>
      </c>
      <c r="K27" s="130">
        <v>1.1839999999999999</v>
      </c>
      <c r="L27" s="105" t="s">
        <v>45</v>
      </c>
    </row>
    <row r="28" spans="1:12">
      <c r="A28" s="133" t="s">
        <v>72</v>
      </c>
      <c r="B28" s="180"/>
      <c r="C28" s="111" t="s">
        <v>16</v>
      </c>
      <c r="D28" s="101">
        <v>286.19330000000002</v>
      </c>
      <c r="F28" s="128">
        <v>20.75</v>
      </c>
      <c r="G28" s="129">
        <v>29.64</v>
      </c>
      <c r="H28" s="130">
        <v>38.54</v>
      </c>
      <c r="I28" s="128">
        <v>1.1619999999999999</v>
      </c>
      <c r="J28" s="129">
        <v>1.659</v>
      </c>
      <c r="K28" s="130">
        <v>2.157</v>
      </c>
      <c r="L28" s="105" t="s">
        <v>45</v>
      </c>
    </row>
    <row r="29" spans="1:12">
      <c r="A29" s="133" t="s">
        <v>72</v>
      </c>
      <c r="B29" s="180"/>
      <c r="C29" s="100" t="s">
        <v>18</v>
      </c>
      <c r="D29" s="112">
        <v>346.21440000000001</v>
      </c>
      <c r="F29" s="128">
        <v>54.2</v>
      </c>
      <c r="G29" s="129">
        <v>77.5</v>
      </c>
      <c r="H29" s="130">
        <v>100.7</v>
      </c>
      <c r="I29" s="128">
        <v>2.88</v>
      </c>
      <c r="J29" s="129">
        <v>4.1100000000000003</v>
      </c>
      <c r="K29" s="130">
        <v>5.34</v>
      </c>
      <c r="L29" s="105" t="s">
        <v>45</v>
      </c>
    </row>
    <row r="30" spans="1:12">
      <c r="A30" s="133" t="s">
        <v>72</v>
      </c>
      <c r="B30" s="180"/>
      <c r="C30" s="111" t="s">
        <v>20</v>
      </c>
      <c r="D30" s="101">
        <v>362.20929999999998</v>
      </c>
      <c r="F30" s="128">
        <v>330</v>
      </c>
      <c r="G30" s="129">
        <v>472</v>
      </c>
      <c r="H30" s="130">
        <v>613</v>
      </c>
      <c r="I30" s="128">
        <v>17.649999999999999</v>
      </c>
      <c r="J30" s="129">
        <v>25.21</v>
      </c>
      <c r="K30" s="130">
        <v>32.78</v>
      </c>
      <c r="L30" s="105" t="s">
        <v>45</v>
      </c>
    </row>
    <row r="31" spans="1:12">
      <c r="A31" s="133" t="s">
        <v>72</v>
      </c>
      <c r="B31" s="180"/>
      <c r="C31" s="100" t="s">
        <v>22</v>
      </c>
      <c r="D31" s="112">
        <v>360.19369999999998</v>
      </c>
      <c r="F31" s="128">
        <v>83.1</v>
      </c>
      <c r="G31" s="129">
        <v>118.7</v>
      </c>
      <c r="H31" s="130">
        <v>154.30000000000001</v>
      </c>
      <c r="I31" s="128">
        <v>4.5599999999999996</v>
      </c>
      <c r="J31" s="129">
        <v>6.52</v>
      </c>
      <c r="K31" s="130">
        <v>8.4700000000000006</v>
      </c>
      <c r="L31" s="105" t="s">
        <v>45</v>
      </c>
    </row>
    <row r="32" spans="1:12">
      <c r="A32" s="133" t="s">
        <v>72</v>
      </c>
      <c r="B32" s="180"/>
      <c r="C32" s="111" t="s">
        <v>24</v>
      </c>
      <c r="D32" s="101">
        <v>392.19990000000001</v>
      </c>
      <c r="F32" s="128">
        <v>81.099999999999994</v>
      </c>
      <c r="G32" s="129">
        <v>115.9</v>
      </c>
      <c r="H32" s="130">
        <v>150.69999999999999</v>
      </c>
      <c r="I32" s="128">
        <v>4.43</v>
      </c>
      <c r="J32" s="129">
        <v>6.32</v>
      </c>
      <c r="K32" s="130">
        <v>8.2200000000000006</v>
      </c>
      <c r="L32" s="105" t="s">
        <v>45</v>
      </c>
    </row>
    <row r="33" spans="1:12">
      <c r="A33" s="133" t="s">
        <v>72</v>
      </c>
      <c r="B33" s="180"/>
      <c r="C33" s="100" t="s">
        <v>59</v>
      </c>
      <c r="D33" s="112">
        <v>288.20890000000003</v>
      </c>
      <c r="F33" s="128">
        <v>76.599999999999994</v>
      </c>
      <c r="G33" s="129">
        <v>117.8</v>
      </c>
      <c r="H33" s="130">
        <v>159.1</v>
      </c>
      <c r="I33" s="128">
        <v>7.81</v>
      </c>
      <c r="J33" s="129">
        <v>12.01</v>
      </c>
      <c r="K33" s="130">
        <v>16.22</v>
      </c>
      <c r="L33" s="105" t="s">
        <v>45</v>
      </c>
    </row>
    <row r="34" spans="1:12">
      <c r="A34" s="133" t="s">
        <v>72</v>
      </c>
      <c r="B34" s="180"/>
      <c r="C34" s="111" t="s">
        <v>60</v>
      </c>
      <c r="D34" s="101">
        <v>368.16570000000002</v>
      </c>
      <c r="F34" s="128">
        <v>7587</v>
      </c>
      <c r="G34" s="129">
        <v>11673</v>
      </c>
      <c r="H34" s="130">
        <v>15759</v>
      </c>
      <c r="I34" s="128">
        <v>404</v>
      </c>
      <c r="J34" s="129">
        <v>622</v>
      </c>
      <c r="K34" s="130">
        <v>840</v>
      </c>
      <c r="L34" s="105" t="s">
        <v>45</v>
      </c>
    </row>
    <row r="35" spans="1:12">
      <c r="A35" s="133" t="s">
        <v>72</v>
      </c>
      <c r="B35" s="180"/>
      <c r="C35" s="100" t="s">
        <v>61</v>
      </c>
      <c r="D35" s="112">
        <v>290.22460000000001</v>
      </c>
      <c r="F35" s="128">
        <v>3.1179999999999999</v>
      </c>
      <c r="G35" s="129">
        <v>4.4539999999999997</v>
      </c>
      <c r="H35" s="130">
        <v>5.79</v>
      </c>
      <c r="I35" s="128">
        <v>0.77300000000000002</v>
      </c>
      <c r="J35" s="129">
        <v>1.1040000000000001</v>
      </c>
      <c r="K35" s="130">
        <v>1.4350000000000001</v>
      </c>
      <c r="L35" s="105" t="s">
        <v>45</v>
      </c>
    </row>
    <row r="36" spans="1:12">
      <c r="A36" s="133" t="s">
        <v>72</v>
      </c>
      <c r="B36" s="180"/>
      <c r="C36" s="111" t="s">
        <v>32</v>
      </c>
      <c r="D36" s="101">
        <v>314.22460000000001</v>
      </c>
      <c r="F36" s="128">
        <v>19</v>
      </c>
      <c r="G36" s="129">
        <v>27.14</v>
      </c>
      <c r="H36" s="130">
        <v>35.29</v>
      </c>
      <c r="I36" s="128">
        <v>1.0720000000000001</v>
      </c>
      <c r="J36" s="129">
        <v>1.532</v>
      </c>
      <c r="K36" s="130">
        <v>1.9910000000000001</v>
      </c>
      <c r="L36" s="105" t="s">
        <v>45</v>
      </c>
    </row>
    <row r="37" spans="1:12">
      <c r="A37" s="133" t="s">
        <v>72</v>
      </c>
      <c r="B37" s="180"/>
      <c r="C37" s="100" t="s">
        <v>34</v>
      </c>
      <c r="D37" s="112">
        <v>288.20890000000003</v>
      </c>
      <c r="F37" s="128">
        <v>20.7</v>
      </c>
      <c r="G37" s="129">
        <v>29.57</v>
      </c>
      <c r="H37" s="130">
        <v>38.44</v>
      </c>
      <c r="I37" s="128">
        <v>0.68500000000000005</v>
      </c>
      <c r="J37" s="129">
        <v>0.97899999999999998</v>
      </c>
      <c r="K37" s="130">
        <v>1.2729999999999999</v>
      </c>
      <c r="L37" s="105" t="s">
        <v>45</v>
      </c>
    </row>
    <row r="38" spans="1:12">
      <c r="A38" s="133" t="s">
        <v>72</v>
      </c>
      <c r="B38" s="180"/>
      <c r="C38" s="116" t="s">
        <v>62</v>
      </c>
      <c r="D38" s="101">
        <v>332.23509999999999</v>
      </c>
      <c r="F38" s="128">
        <v>56.1</v>
      </c>
      <c r="G38" s="129">
        <v>80.2</v>
      </c>
      <c r="H38" s="130">
        <v>104.2</v>
      </c>
      <c r="I38" s="128">
        <v>2.98</v>
      </c>
      <c r="J38" s="129">
        <v>4.25</v>
      </c>
      <c r="K38" s="130">
        <v>5.53</v>
      </c>
      <c r="L38" s="105" t="s">
        <v>45</v>
      </c>
    </row>
    <row r="39" spans="1:12">
      <c r="A39" s="133" t="s">
        <v>72</v>
      </c>
      <c r="B39" s="180"/>
      <c r="C39" s="120" t="s">
        <v>63</v>
      </c>
      <c r="D39" s="112">
        <v>272.17759999999998</v>
      </c>
      <c r="F39" s="128">
        <v>6.52</v>
      </c>
      <c r="G39" s="129">
        <v>9.32</v>
      </c>
      <c r="H39" s="130">
        <v>12.12</v>
      </c>
      <c r="I39" s="128">
        <v>0.36699999999999999</v>
      </c>
      <c r="J39" s="129">
        <v>0.52400000000000002</v>
      </c>
      <c r="K39" s="130">
        <v>0.68100000000000005</v>
      </c>
      <c r="L39" s="105" t="s">
        <v>45</v>
      </c>
    </row>
    <row r="40" spans="1:12">
      <c r="A40" s="133" t="s">
        <v>72</v>
      </c>
      <c r="B40" s="180"/>
      <c r="C40" s="116" t="s">
        <v>41</v>
      </c>
      <c r="D40" s="101">
        <v>270.16199999999998</v>
      </c>
      <c r="F40" s="128">
        <v>2.149</v>
      </c>
      <c r="G40" s="129">
        <v>3.069</v>
      </c>
      <c r="H40" s="130">
        <v>3.99</v>
      </c>
      <c r="I40" s="128">
        <v>0.1221</v>
      </c>
      <c r="J40" s="129">
        <v>0.17449999999999999</v>
      </c>
      <c r="K40" s="130">
        <v>0.2268</v>
      </c>
      <c r="L40" s="105" t="s">
        <v>45</v>
      </c>
    </row>
    <row r="41" spans="1:12">
      <c r="A41"/>
      <c r="C41"/>
      <c r="D41" s="134"/>
      <c r="F41" s="107"/>
      <c r="H41" s="107"/>
      <c r="I41" s="107"/>
      <c r="K41" s="107"/>
      <c r="L41"/>
    </row>
    <row r="42" spans="1:12">
      <c r="A42" s="99" t="s">
        <v>55</v>
      </c>
      <c r="B42" s="180">
        <v>46142</v>
      </c>
      <c r="C42" s="100" t="s">
        <v>56</v>
      </c>
      <c r="D42" s="112">
        <v>330.21899999999999</v>
      </c>
      <c r="F42" s="128">
        <v>7.49</v>
      </c>
      <c r="G42" s="129">
        <v>10.69</v>
      </c>
      <c r="H42" s="130">
        <v>13.9</v>
      </c>
      <c r="I42" s="128">
        <v>0.41499999999999998</v>
      </c>
      <c r="J42" s="129">
        <v>0.59299999999999997</v>
      </c>
      <c r="K42" s="130">
        <v>0.77</v>
      </c>
      <c r="L42" s="105" t="s">
        <v>45</v>
      </c>
    </row>
    <row r="43" spans="1:12">
      <c r="A43" s="99" t="s">
        <v>55</v>
      </c>
      <c r="B43" s="180"/>
      <c r="C43" s="111" t="s">
        <v>57</v>
      </c>
      <c r="D43" s="101">
        <v>346.21440000000001</v>
      </c>
      <c r="F43" s="128">
        <v>17.21</v>
      </c>
      <c r="G43" s="129">
        <v>26.47</v>
      </c>
      <c r="H43" s="130">
        <v>35.729999999999997</v>
      </c>
      <c r="I43" s="128">
        <v>0.89600000000000002</v>
      </c>
      <c r="J43" s="129">
        <v>1.3779999999999999</v>
      </c>
      <c r="K43" s="130">
        <v>1.86</v>
      </c>
      <c r="L43" s="105" t="s">
        <v>45</v>
      </c>
    </row>
    <row r="44" spans="1:12">
      <c r="A44" s="99" t="s">
        <v>55</v>
      </c>
      <c r="B44" s="180"/>
      <c r="C44" s="100" t="s">
        <v>58</v>
      </c>
      <c r="D44" s="112">
        <v>330.23509999999999</v>
      </c>
      <c r="F44" s="128">
        <v>20.28</v>
      </c>
      <c r="G44" s="129">
        <v>28.97</v>
      </c>
      <c r="H44" s="130">
        <v>37.67</v>
      </c>
      <c r="I44" s="128">
        <v>0.99399999999999999</v>
      </c>
      <c r="J44" s="129">
        <v>1.42</v>
      </c>
      <c r="K44" s="130">
        <v>1.8460000000000001</v>
      </c>
      <c r="L44" s="105" t="s">
        <v>45</v>
      </c>
    </row>
    <row r="45" spans="1:12">
      <c r="A45" s="99" t="s">
        <v>55</v>
      </c>
      <c r="B45" s="180"/>
      <c r="C45" s="111" t="s">
        <v>12</v>
      </c>
      <c r="D45" s="101">
        <v>346.21440000000001</v>
      </c>
      <c r="F45" s="128">
        <v>19.100000000000001</v>
      </c>
      <c r="G45" s="129">
        <v>27.28</v>
      </c>
      <c r="H45" s="130">
        <v>35.46</v>
      </c>
      <c r="I45" s="128">
        <v>0.96899999999999997</v>
      </c>
      <c r="J45" s="129">
        <v>1.3839999999999999</v>
      </c>
      <c r="K45" s="130">
        <v>1.7989999999999999</v>
      </c>
      <c r="L45" s="105" t="s">
        <v>45</v>
      </c>
    </row>
    <row r="46" spans="1:12">
      <c r="A46" s="99" t="s">
        <v>55</v>
      </c>
      <c r="B46" s="180"/>
      <c r="C46" s="100" t="s">
        <v>14</v>
      </c>
      <c r="D46" s="112">
        <v>360.19367</v>
      </c>
      <c r="F46" s="128">
        <v>6.5</v>
      </c>
      <c r="G46" s="129">
        <v>9.2899999999999991</v>
      </c>
      <c r="H46" s="130">
        <v>12.08</v>
      </c>
      <c r="I46" s="128">
        <v>0.65100000000000002</v>
      </c>
      <c r="J46" s="129">
        <v>0.92900000000000005</v>
      </c>
      <c r="K46" s="130">
        <v>1.208</v>
      </c>
      <c r="L46" s="105" t="s">
        <v>45</v>
      </c>
    </row>
    <row r="47" spans="1:12">
      <c r="A47" s="99" t="s">
        <v>55</v>
      </c>
      <c r="B47" s="180"/>
      <c r="C47" s="111" t="s">
        <v>16</v>
      </c>
      <c r="D47" s="101">
        <v>286.19330000000002</v>
      </c>
      <c r="F47" s="128">
        <v>20.14</v>
      </c>
      <c r="G47" s="129">
        <v>28.78</v>
      </c>
      <c r="H47" s="130">
        <v>37.409999999999997</v>
      </c>
      <c r="I47" s="128">
        <v>1.163</v>
      </c>
      <c r="J47" s="129">
        <v>1.661</v>
      </c>
      <c r="K47" s="130">
        <v>2.1589999999999998</v>
      </c>
      <c r="L47" s="105" t="s">
        <v>45</v>
      </c>
    </row>
    <row r="48" spans="1:12">
      <c r="A48" s="99" t="s">
        <v>55</v>
      </c>
      <c r="B48" s="180"/>
      <c r="C48" s="100" t="s">
        <v>18</v>
      </c>
      <c r="D48" s="112">
        <v>346.21440000000001</v>
      </c>
      <c r="F48" s="128">
        <v>54.7</v>
      </c>
      <c r="G48" s="129">
        <v>78.2</v>
      </c>
      <c r="H48" s="130">
        <v>101.7</v>
      </c>
      <c r="I48" s="128">
        <v>2.86</v>
      </c>
      <c r="J48" s="129">
        <v>4.09</v>
      </c>
      <c r="K48" s="130">
        <v>5.31</v>
      </c>
      <c r="L48" s="105" t="s">
        <v>45</v>
      </c>
    </row>
    <row r="49" spans="1:12">
      <c r="A49" s="99" t="s">
        <v>55</v>
      </c>
      <c r="B49" s="180"/>
      <c r="C49" s="111" t="s">
        <v>20</v>
      </c>
      <c r="D49" s="101">
        <v>362.20929999999998</v>
      </c>
      <c r="F49" s="128">
        <v>326</v>
      </c>
      <c r="G49" s="129">
        <v>466</v>
      </c>
      <c r="H49" s="130">
        <v>606</v>
      </c>
      <c r="I49" s="128">
        <v>18.11</v>
      </c>
      <c r="J49" s="129">
        <v>25.87</v>
      </c>
      <c r="K49" s="130">
        <v>33.630000000000003</v>
      </c>
      <c r="L49" s="105" t="s">
        <v>45</v>
      </c>
    </row>
    <row r="50" spans="1:12">
      <c r="A50" s="99" t="s">
        <v>55</v>
      </c>
      <c r="B50" s="180"/>
      <c r="C50" s="100" t="s">
        <v>22</v>
      </c>
      <c r="D50" s="112">
        <v>360.19369999999998</v>
      </c>
      <c r="F50" s="128">
        <v>83.2</v>
      </c>
      <c r="G50" s="129">
        <v>118.9</v>
      </c>
      <c r="H50" s="130">
        <v>154.5</v>
      </c>
      <c r="I50" s="128">
        <v>4.6900000000000004</v>
      </c>
      <c r="J50" s="129">
        <v>6.7</v>
      </c>
      <c r="K50" s="130">
        <v>8.7100000000000009</v>
      </c>
      <c r="L50" s="105" t="s">
        <v>45</v>
      </c>
    </row>
    <row r="51" spans="1:12">
      <c r="A51" s="99" t="s">
        <v>55</v>
      </c>
      <c r="B51" s="180"/>
      <c r="C51" s="111" t="s">
        <v>24</v>
      </c>
      <c r="D51" s="101">
        <v>392.19990000000001</v>
      </c>
      <c r="F51" s="128">
        <v>84.4</v>
      </c>
      <c r="G51" s="129">
        <v>120.6</v>
      </c>
      <c r="H51" s="130">
        <v>156.69999999999999</v>
      </c>
      <c r="I51" s="128">
        <v>4.32</v>
      </c>
      <c r="J51" s="129">
        <v>6.18</v>
      </c>
      <c r="K51" s="130">
        <v>8.0299999999999994</v>
      </c>
      <c r="L51" s="105" t="s">
        <v>45</v>
      </c>
    </row>
    <row r="52" spans="1:12">
      <c r="A52" s="99" t="s">
        <v>55</v>
      </c>
      <c r="B52" s="180"/>
      <c r="C52" s="100" t="s">
        <v>59</v>
      </c>
      <c r="D52" s="112">
        <v>288.20890000000003</v>
      </c>
      <c r="F52" s="128">
        <v>77</v>
      </c>
      <c r="G52" s="129">
        <v>118.4</v>
      </c>
      <c r="H52" s="130">
        <v>159.80000000000001</v>
      </c>
      <c r="I52" s="128">
        <v>7.48</v>
      </c>
      <c r="J52" s="129">
        <v>11.5</v>
      </c>
      <c r="K52" s="130">
        <v>15.53</v>
      </c>
      <c r="L52" s="105" t="s">
        <v>45</v>
      </c>
    </row>
    <row r="53" spans="1:12">
      <c r="A53" s="99" t="s">
        <v>55</v>
      </c>
      <c r="B53" s="180"/>
      <c r="C53" s="111" t="s">
        <v>60</v>
      </c>
      <c r="D53" s="101">
        <v>368.16570000000002</v>
      </c>
      <c r="F53" s="128">
        <v>8134</v>
      </c>
      <c r="G53" s="129">
        <v>12514</v>
      </c>
      <c r="H53" s="130">
        <v>16894</v>
      </c>
      <c r="I53" s="128">
        <v>446</v>
      </c>
      <c r="J53" s="129">
        <v>686</v>
      </c>
      <c r="K53" s="130">
        <v>926</v>
      </c>
      <c r="L53" s="105" t="s">
        <v>45</v>
      </c>
    </row>
    <row r="54" spans="1:12">
      <c r="A54" s="99" t="s">
        <v>55</v>
      </c>
      <c r="B54" s="180"/>
      <c r="C54" s="100" t="s">
        <v>61</v>
      </c>
      <c r="D54" s="112">
        <v>290.22460000000001</v>
      </c>
      <c r="F54" s="128">
        <v>3.0630000000000002</v>
      </c>
      <c r="G54" s="129">
        <v>4.375</v>
      </c>
      <c r="H54" s="130">
        <v>5.6879999999999997</v>
      </c>
      <c r="I54" s="128">
        <v>0.76200000000000001</v>
      </c>
      <c r="J54" s="129">
        <v>1.089</v>
      </c>
      <c r="K54" s="130">
        <v>1.4159999999999999</v>
      </c>
      <c r="L54" s="105" t="s">
        <v>45</v>
      </c>
    </row>
    <row r="55" spans="1:12">
      <c r="A55" s="99" t="s">
        <v>55</v>
      </c>
      <c r="B55" s="180"/>
      <c r="C55" s="111" t="s">
        <v>32</v>
      </c>
      <c r="D55" s="101">
        <v>314.22460000000001</v>
      </c>
      <c r="F55" s="128">
        <v>19.54</v>
      </c>
      <c r="G55" s="129">
        <v>27.92</v>
      </c>
      <c r="H55" s="130">
        <v>36.29</v>
      </c>
      <c r="I55" s="128">
        <v>1.071</v>
      </c>
      <c r="J55" s="129">
        <v>1.53</v>
      </c>
      <c r="K55" s="130">
        <v>1.988</v>
      </c>
      <c r="L55" s="105" t="s">
        <v>45</v>
      </c>
    </row>
    <row r="56" spans="1:12">
      <c r="A56" s="99" t="s">
        <v>55</v>
      </c>
      <c r="B56" s="180"/>
      <c r="C56" s="100" t="s">
        <v>34</v>
      </c>
      <c r="D56" s="112">
        <v>288.20890000000003</v>
      </c>
      <c r="F56" s="128">
        <v>19.5</v>
      </c>
      <c r="G56" s="129">
        <v>27.85</v>
      </c>
      <c r="H56" s="130">
        <v>36.21</v>
      </c>
      <c r="I56" s="128">
        <v>0.64200000000000002</v>
      </c>
      <c r="J56" s="129">
        <v>0.91800000000000004</v>
      </c>
      <c r="K56" s="130">
        <v>1.1930000000000001</v>
      </c>
      <c r="L56" s="105" t="s">
        <v>45</v>
      </c>
    </row>
    <row r="57" spans="1:12">
      <c r="A57" s="99" t="s">
        <v>55</v>
      </c>
      <c r="B57" s="180"/>
      <c r="C57" s="116" t="s">
        <v>62</v>
      </c>
      <c r="D57" s="101">
        <v>332.23509999999999</v>
      </c>
      <c r="F57" s="128">
        <v>57.5</v>
      </c>
      <c r="G57" s="129">
        <v>82.2</v>
      </c>
      <c r="H57" s="130">
        <v>106.8</v>
      </c>
      <c r="I57" s="128">
        <v>3.09</v>
      </c>
      <c r="J57" s="129">
        <v>4.42</v>
      </c>
      <c r="K57" s="130">
        <v>5.75</v>
      </c>
      <c r="L57" s="105" t="s">
        <v>45</v>
      </c>
    </row>
    <row r="58" spans="1:12">
      <c r="A58" s="99" t="s">
        <v>55</v>
      </c>
      <c r="B58" s="180"/>
      <c r="C58" s="120" t="s">
        <v>63</v>
      </c>
      <c r="D58" s="112">
        <v>272.17759999999998</v>
      </c>
      <c r="F58" s="128">
        <v>7.03</v>
      </c>
      <c r="G58" s="129">
        <v>10.050000000000001</v>
      </c>
      <c r="H58" s="130">
        <v>13.06</v>
      </c>
      <c r="I58" s="128">
        <v>0.378</v>
      </c>
      <c r="J58" s="129">
        <v>0.54</v>
      </c>
      <c r="K58" s="130">
        <v>0.70199999999999996</v>
      </c>
      <c r="L58" s="105" t="s">
        <v>45</v>
      </c>
    </row>
    <row r="59" spans="1:12">
      <c r="A59" s="99" t="s">
        <v>55</v>
      </c>
      <c r="B59" s="180"/>
      <c r="C59" s="116" t="s">
        <v>41</v>
      </c>
      <c r="D59" s="101">
        <v>270.16199999999998</v>
      </c>
      <c r="F59" s="128">
        <v>2.343</v>
      </c>
      <c r="G59" s="129">
        <v>3.347</v>
      </c>
      <c r="H59" s="130">
        <v>4.351</v>
      </c>
      <c r="I59" s="128">
        <v>0.13039999999999999</v>
      </c>
      <c r="J59" s="129">
        <v>0.1862</v>
      </c>
      <c r="K59" s="130">
        <v>0.24210000000000001</v>
      </c>
      <c r="L59" s="105" t="s">
        <v>45</v>
      </c>
    </row>
    <row r="61" spans="1:12">
      <c r="A61" s="133" t="s">
        <v>73</v>
      </c>
      <c r="B61" s="180">
        <v>46538</v>
      </c>
      <c r="C61" s="100" t="s">
        <v>56</v>
      </c>
      <c r="D61"/>
      <c r="F61" s="128">
        <v>7.55</v>
      </c>
      <c r="G61" s="129">
        <v>10.79</v>
      </c>
      <c r="H61" s="130">
        <v>14.03</v>
      </c>
      <c r="I61" s="128">
        <v>0.39200000000000002</v>
      </c>
      <c r="J61" s="129">
        <v>0.56000000000000005</v>
      </c>
      <c r="K61" s="130">
        <v>0.72799999999999998</v>
      </c>
      <c r="L61" s="105" t="s">
        <v>45</v>
      </c>
    </row>
    <row r="62" spans="1:12">
      <c r="A62" s="133" t="s">
        <v>73</v>
      </c>
      <c r="B62" s="180"/>
      <c r="C62" s="111" t="s">
        <v>57</v>
      </c>
      <c r="D62"/>
      <c r="F62" s="128">
        <v>16.96</v>
      </c>
      <c r="G62" s="129">
        <v>26.1</v>
      </c>
      <c r="H62" s="130">
        <v>35.229999999999997</v>
      </c>
      <c r="I62" s="128">
        <v>0.83499999999999996</v>
      </c>
      <c r="J62" s="129">
        <v>1.284</v>
      </c>
      <c r="K62" s="130">
        <v>1.7330000000000001</v>
      </c>
      <c r="L62" s="105" t="s">
        <v>45</v>
      </c>
    </row>
    <row r="63" spans="1:12">
      <c r="A63" s="133" t="s">
        <v>73</v>
      </c>
      <c r="B63" s="180"/>
      <c r="C63" s="100" t="s">
        <v>58</v>
      </c>
      <c r="D63"/>
      <c r="F63" s="128">
        <v>21.51</v>
      </c>
      <c r="G63" s="129">
        <v>30.73</v>
      </c>
      <c r="H63" s="130">
        <v>39.950000000000003</v>
      </c>
      <c r="I63" s="128">
        <v>0.93</v>
      </c>
      <c r="J63" s="129">
        <v>1.3280000000000001</v>
      </c>
      <c r="K63" s="130">
        <v>1.726</v>
      </c>
      <c r="L63" s="105" t="s">
        <v>45</v>
      </c>
    </row>
    <row r="64" spans="1:12">
      <c r="A64" s="133" t="s">
        <v>73</v>
      </c>
      <c r="B64" s="180"/>
      <c r="C64" s="111" t="s">
        <v>12</v>
      </c>
      <c r="D64"/>
      <c r="F64" s="128">
        <v>20.07</v>
      </c>
      <c r="G64" s="129">
        <v>28.67</v>
      </c>
      <c r="H64" s="130">
        <v>37.270000000000003</v>
      </c>
      <c r="I64" s="128">
        <v>0.86899999999999999</v>
      </c>
      <c r="J64" s="129">
        <v>1.242</v>
      </c>
      <c r="K64" s="130">
        <v>1.6140000000000001</v>
      </c>
      <c r="L64" s="105" t="s">
        <v>45</v>
      </c>
    </row>
    <row r="65" spans="1:12">
      <c r="A65" s="133" t="s">
        <v>73</v>
      </c>
      <c r="B65" s="180"/>
      <c r="C65" s="100" t="s">
        <v>14</v>
      </c>
      <c r="D65"/>
      <c r="F65" s="128">
        <v>6.31</v>
      </c>
      <c r="G65" s="129">
        <v>9.01</v>
      </c>
      <c r="H65" s="130">
        <v>11.72</v>
      </c>
      <c r="I65" s="128">
        <v>0.68500000000000005</v>
      </c>
      <c r="J65" s="129">
        <v>0.97799999999999998</v>
      </c>
      <c r="K65" s="130">
        <v>1.2709999999999999</v>
      </c>
      <c r="L65" s="105" t="s">
        <v>45</v>
      </c>
    </row>
    <row r="66" spans="1:12">
      <c r="A66" s="133" t="s">
        <v>73</v>
      </c>
      <c r="B66" s="180"/>
      <c r="C66" s="111" t="s">
        <v>16</v>
      </c>
      <c r="D66"/>
      <c r="F66" s="128">
        <v>20.88</v>
      </c>
      <c r="G66" s="129">
        <v>29.83</v>
      </c>
      <c r="H66" s="130">
        <v>38.78</v>
      </c>
      <c r="I66" s="128">
        <v>1.1459999999999999</v>
      </c>
      <c r="J66" s="129">
        <v>1.6359999999999999</v>
      </c>
      <c r="K66" s="130">
        <v>2.1269999999999998</v>
      </c>
      <c r="L66" s="105" t="s">
        <v>45</v>
      </c>
    </row>
    <row r="67" spans="1:12">
      <c r="A67" s="133" t="s">
        <v>73</v>
      </c>
      <c r="B67" s="180"/>
      <c r="C67" s="100" t="s">
        <v>18</v>
      </c>
      <c r="D67"/>
      <c r="F67" s="128">
        <v>54.5</v>
      </c>
      <c r="G67" s="129">
        <v>77.8</v>
      </c>
      <c r="H67" s="130">
        <v>101.2</v>
      </c>
      <c r="I67" s="128">
        <v>2.7</v>
      </c>
      <c r="J67" s="129">
        <v>3.86</v>
      </c>
      <c r="K67" s="130">
        <v>5.01</v>
      </c>
      <c r="L67" s="105" t="s">
        <v>45</v>
      </c>
    </row>
    <row r="68" spans="1:12">
      <c r="A68" s="133" t="s">
        <v>73</v>
      </c>
      <c r="B68" s="180"/>
      <c r="C68" s="111" t="s">
        <v>20</v>
      </c>
      <c r="D68"/>
      <c r="F68" s="128">
        <v>346</v>
      </c>
      <c r="G68" s="129">
        <v>494</v>
      </c>
      <c r="H68" s="130">
        <v>643</v>
      </c>
      <c r="I68" s="128">
        <v>16.32</v>
      </c>
      <c r="J68" s="129">
        <v>23.31</v>
      </c>
      <c r="K68" s="130">
        <v>30.3</v>
      </c>
      <c r="L68" s="105" t="s">
        <v>45</v>
      </c>
    </row>
    <row r="69" spans="1:12">
      <c r="A69" s="133" t="s">
        <v>73</v>
      </c>
      <c r="B69" s="180"/>
      <c r="C69" s="100" t="s">
        <v>22</v>
      </c>
      <c r="D69"/>
      <c r="F69" s="128">
        <v>86.3</v>
      </c>
      <c r="G69" s="129">
        <v>123.3</v>
      </c>
      <c r="H69" s="130">
        <v>160.30000000000001</v>
      </c>
      <c r="I69" s="128">
        <v>4.46</v>
      </c>
      <c r="J69" s="129">
        <v>6.38</v>
      </c>
      <c r="K69" s="130">
        <v>8.2899999999999991</v>
      </c>
      <c r="L69" s="105" t="s">
        <v>45</v>
      </c>
    </row>
    <row r="70" spans="1:12">
      <c r="A70" s="133" t="s">
        <v>73</v>
      </c>
      <c r="B70" s="180"/>
      <c r="C70" s="111" t="s">
        <v>24</v>
      </c>
      <c r="D70"/>
      <c r="F70" s="128">
        <v>76.400000000000006</v>
      </c>
      <c r="G70" s="129">
        <v>109.2</v>
      </c>
      <c r="H70" s="130">
        <v>142</v>
      </c>
      <c r="I70" s="128">
        <v>4.26</v>
      </c>
      <c r="J70" s="129">
        <v>6.09</v>
      </c>
      <c r="K70" s="130">
        <v>7.92</v>
      </c>
      <c r="L70" s="105" t="s">
        <v>45</v>
      </c>
    </row>
    <row r="71" spans="1:12">
      <c r="A71" s="133" t="s">
        <v>73</v>
      </c>
      <c r="B71" s="180"/>
      <c r="C71" s="100" t="s">
        <v>59</v>
      </c>
      <c r="D71"/>
      <c r="F71" s="128">
        <v>75.599999999999994</v>
      </c>
      <c r="G71" s="129">
        <v>116.3</v>
      </c>
      <c r="H71" s="130">
        <v>157</v>
      </c>
      <c r="I71" s="128">
        <v>7.73</v>
      </c>
      <c r="J71" s="129">
        <v>11.88</v>
      </c>
      <c r="K71" s="130">
        <v>16.04</v>
      </c>
      <c r="L71" s="105" t="s">
        <v>45</v>
      </c>
    </row>
    <row r="72" spans="1:12">
      <c r="A72" s="133" t="s">
        <v>73</v>
      </c>
      <c r="B72" s="180"/>
      <c r="C72" s="111" t="s">
        <v>60</v>
      </c>
      <c r="D72"/>
      <c r="F72" s="128">
        <v>7586</v>
      </c>
      <c r="G72" s="129">
        <v>11671</v>
      </c>
      <c r="H72" s="130">
        <v>15755</v>
      </c>
      <c r="I72" s="128">
        <v>395</v>
      </c>
      <c r="J72" s="129">
        <v>607</v>
      </c>
      <c r="K72" s="130">
        <v>820</v>
      </c>
      <c r="L72" s="105" t="s">
        <v>45</v>
      </c>
    </row>
    <row r="73" spans="1:12">
      <c r="A73" s="133" t="s">
        <v>73</v>
      </c>
      <c r="B73" s="180"/>
      <c r="C73" s="100" t="s">
        <v>61</v>
      </c>
      <c r="D73"/>
      <c r="F73" s="128">
        <v>3.1459999999999999</v>
      </c>
      <c r="G73" s="129">
        <v>4.4939999999999998</v>
      </c>
      <c r="H73" s="130">
        <v>5.8419999999999996</v>
      </c>
      <c r="I73" s="128">
        <v>0.73</v>
      </c>
      <c r="J73" s="129">
        <v>1.044</v>
      </c>
      <c r="K73" s="130">
        <v>1.357</v>
      </c>
      <c r="L73" s="105" t="s">
        <v>45</v>
      </c>
    </row>
    <row r="74" spans="1:12">
      <c r="A74" s="133" t="s">
        <v>73</v>
      </c>
      <c r="B74" s="180"/>
      <c r="C74" s="111" t="s">
        <v>32</v>
      </c>
      <c r="D74"/>
      <c r="F74" s="128">
        <v>19.62</v>
      </c>
      <c r="G74" s="129">
        <v>28.02</v>
      </c>
      <c r="H74" s="130">
        <v>36.43</v>
      </c>
      <c r="I74" s="128">
        <v>1.002</v>
      </c>
      <c r="J74" s="129">
        <v>1.431</v>
      </c>
      <c r="K74" s="130">
        <v>1.86</v>
      </c>
      <c r="L74" s="105" t="s">
        <v>45</v>
      </c>
    </row>
    <row r="75" spans="1:12">
      <c r="A75" s="133" t="s">
        <v>73</v>
      </c>
      <c r="B75" s="180"/>
      <c r="C75" s="100" t="s">
        <v>34</v>
      </c>
      <c r="D75"/>
      <c r="F75" s="128">
        <v>17.07</v>
      </c>
      <c r="G75" s="129">
        <v>24.38</v>
      </c>
      <c r="H75" s="130">
        <v>31.7</v>
      </c>
      <c r="I75" s="128">
        <v>0.64300000000000002</v>
      </c>
      <c r="J75" s="129">
        <v>0.91800000000000004</v>
      </c>
      <c r="K75" s="130">
        <v>1.1930000000000001</v>
      </c>
      <c r="L75" s="105" t="s">
        <v>45</v>
      </c>
    </row>
    <row r="76" spans="1:12">
      <c r="A76" s="133" t="s">
        <v>73</v>
      </c>
      <c r="B76" s="180"/>
      <c r="C76" s="116" t="s">
        <v>62</v>
      </c>
      <c r="D76"/>
      <c r="F76" s="128">
        <v>59.4</v>
      </c>
      <c r="G76" s="129">
        <v>84.8</v>
      </c>
      <c r="H76" s="130">
        <v>110.3</v>
      </c>
      <c r="I76" s="128">
        <v>2.95</v>
      </c>
      <c r="J76" s="129">
        <v>4.22</v>
      </c>
      <c r="K76" s="130">
        <v>5.48</v>
      </c>
      <c r="L76" s="105" t="s">
        <v>45</v>
      </c>
    </row>
    <row r="77" spans="1:12">
      <c r="A77" s="133" t="s">
        <v>73</v>
      </c>
      <c r="B77" s="180"/>
      <c r="C77" s="120" t="s">
        <v>63</v>
      </c>
      <c r="D77"/>
      <c r="F77" s="128">
        <v>6.91</v>
      </c>
      <c r="G77" s="129">
        <v>9.86</v>
      </c>
      <c r="H77" s="130">
        <v>12.82</v>
      </c>
      <c r="I77" s="128">
        <v>0.375</v>
      </c>
      <c r="J77" s="129">
        <v>0.53500000000000003</v>
      </c>
      <c r="K77" s="130">
        <v>0.69599999999999995</v>
      </c>
      <c r="L77" s="105" t="s">
        <v>45</v>
      </c>
    </row>
    <row r="78" spans="1:12">
      <c r="A78" s="133" t="s">
        <v>73</v>
      </c>
      <c r="B78" s="180"/>
      <c r="C78" s="116" t="s">
        <v>41</v>
      </c>
      <c r="D78"/>
      <c r="F78" s="128">
        <v>2.2999999999999998</v>
      </c>
      <c r="G78" s="129">
        <v>3.2850000000000001</v>
      </c>
      <c r="H78" s="130">
        <v>4.2709999999999999</v>
      </c>
      <c r="I78" s="128">
        <v>0.1207</v>
      </c>
      <c r="J78" s="129">
        <v>0.1724</v>
      </c>
      <c r="K78" s="130">
        <v>0.22409999999999999</v>
      </c>
      <c r="L78" s="105" t="s">
        <v>45</v>
      </c>
    </row>
  </sheetData>
  <autoFilter ref="A1:A42" xr:uid="{00000000-0009-0000-0000-000001000000}">
    <filterColumn colId="0">
      <filters blank="1">
        <filter val="MST115"/>
        <filter val="MST116"/>
      </filters>
    </filterColumn>
  </autoFilter>
  <mergeCells count="7">
    <mergeCell ref="B61:B78"/>
    <mergeCell ref="B42:B59"/>
    <mergeCell ref="A1:A2"/>
    <mergeCell ref="F1:H1"/>
    <mergeCell ref="I1:K1"/>
    <mergeCell ref="B4:B21"/>
    <mergeCell ref="B23:B4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1EF69-E575-446C-A366-60083B4D0DB6}">
  <sheetPr>
    <tabColor rgb="FFFFFFFF"/>
    <pageSetUpPr fitToPage="1"/>
  </sheetPr>
  <dimension ref="A1:AH120"/>
  <sheetViews>
    <sheetView showGridLines="0" topLeftCell="E38" zoomScale="70" zoomScaleNormal="70" workbookViewId="0">
      <selection activeCell="P56" sqref="P56"/>
    </sheetView>
  </sheetViews>
  <sheetFormatPr defaultColWidth="11" defaultRowHeight="13.5" customHeight="1"/>
  <cols>
    <col min="1" max="2" width="3.125" style="12" customWidth="1"/>
    <col min="3" max="8" width="11" style="12"/>
    <col min="9" max="9" width="9" style="12" customWidth="1"/>
    <col min="10" max="13" width="11" style="12"/>
    <col min="14" max="15" width="4" style="12" customWidth="1"/>
    <col min="16" max="16" width="6.125" style="43" customWidth="1"/>
    <col min="17" max="17" width="13" style="12" customWidth="1"/>
    <col min="18" max="18" width="12.875" style="44" customWidth="1"/>
    <col min="19" max="19" width="3" style="44" customWidth="1"/>
    <col min="20" max="20" width="12" style="45" customWidth="1"/>
    <col min="21" max="21" width="14.875" style="8" customWidth="1"/>
    <col min="22" max="22" width="2.375" style="12" customWidth="1"/>
    <col min="23" max="23" width="12.875" style="6" customWidth="1"/>
    <col min="24" max="24" width="11.5" style="6" customWidth="1"/>
    <col min="25" max="25" width="13" style="12" customWidth="1"/>
    <col min="26" max="26" width="11.625" style="12" customWidth="1"/>
    <col min="27" max="27" width="9.125" style="12" customWidth="1"/>
    <col min="28" max="28" width="13.375" style="8" customWidth="1"/>
    <col min="29" max="29" width="13.75" style="12" customWidth="1"/>
    <col min="30" max="30" width="2" style="12" customWidth="1"/>
    <col min="31" max="31" width="12.75" style="12" customWidth="1"/>
    <col min="32" max="32" width="12.375" style="12" customWidth="1"/>
    <col min="33" max="33" width="13.125" style="12" customWidth="1"/>
    <col min="34" max="34" width="15.25" style="12" customWidth="1"/>
    <col min="35" max="16384" width="11" style="12"/>
  </cols>
  <sheetData>
    <row r="1" spans="1:34" s="7" customFormat="1" ht="31.5" customHeight="1">
      <c r="A1" s="1"/>
      <c r="B1" s="1"/>
      <c r="C1" s="1"/>
      <c r="D1" s="162" t="s">
        <v>5</v>
      </c>
      <c r="E1" s="162"/>
      <c r="F1" s="162"/>
      <c r="G1" s="162"/>
      <c r="H1" s="162"/>
      <c r="I1" s="162"/>
      <c r="J1" s="162"/>
      <c r="K1" s="162"/>
      <c r="L1" s="162"/>
      <c r="M1" s="1"/>
      <c r="N1" s="1"/>
      <c r="O1" s="1"/>
      <c r="P1" s="2"/>
      <c r="Q1" s="3" t="s">
        <v>74</v>
      </c>
      <c r="R1" s="4"/>
      <c r="S1" s="4"/>
      <c r="T1" s="4"/>
      <c r="U1" s="5"/>
      <c r="V1" s="6"/>
      <c r="W1" s="6"/>
      <c r="X1" s="6"/>
      <c r="Y1" s="5"/>
      <c r="Z1" s="5"/>
      <c r="AA1" s="5"/>
      <c r="AB1" s="5"/>
      <c r="AC1" s="5"/>
      <c r="AD1" s="5"/>
      <c r="AE1" s="5"/>
      <c r="AF1" s="5"/>
      <c r="AG1" s="5"/>
      <c r="AH1"/>
    </row>
    <row r="2" spans="1:34" ht="15.75" customHeight="1">
      <c r="A2" s="8"/>
      <c r="B2" s="8"/>
      <c r="C2" s="8"/>
      <c r="D2" s="162"/>
      <c r="E2" s="162"/>
      <c r="F2" s="162"/>
      <c r="G2" s="162"/>
      <c r="H2" s="162"/>
      <c r="I2" s="162"/>
      <c r="J2" s="162"/>
      <c r="K2" s="162"/>
      <c r="L2" s="162"/>
      <c r="M2" s="8"/>
      <c r="N2" s="8"/>
      <c r="O2" s="8"/>
      <c r="P2" s="9"/>
      <c r="Q2" s="10" t="s">
        <v>75</v>
      </c>
      <c r="R2" s="11"/>
      <c r="S2" s="11"/>
      <c r="T2" s="10" t="s">
        <v>76</v>
      </c>
      <c r="X2" s="163" t="s">
        <v>77</v>
      </c>
      <c r="Y2" s="163"/>
      <c r="Z2" s="163"/>
      <c r="AA2" s="163"/>
      <c r="AC2" s="163" t="s">
        <v>78</v>
      </c>
      <c r="AD2" s="163"/>
      <c r="AE2" s="163"/>
      <c r="AF2" s="163"/>
      <c r="AG2" s="163"/>
      <c r="AH2"/>
    </row>
    <row r="3" spans="1:34" ht="26.2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164">
        <f>MIN(R14:R16)</f>
        <v>45677</v>
      </c>
      <c r="Q3" s="165"/>
      <c r="R3" s="166"/>
      <c r="S3" s="65"/>
      <c r="T3" s="167">
        <f>MAX(R14:R116)</f>
        <v>46132</v>
      </c>
      <c r="U3" s="168"/>
      <c r="X3" s="164" t="s">
        <v>79</v>
      </c>
      <c r="Y3" s="165"/>
      <c r="Z3" s="165"/>
      <c r="AA3" s="168"/>
      <c r="AC3" s="169" t="s">
        <v>80</v>
      </c>
      <c r="AD3" s="170"/>
      <c r="AE3" s="170"/>
      <c r="AF3" s="170"/>
      <c r="AG3" s="171"/>
      <c r="AH3"/>
    </row>
    <row r="4" spans="1:34" ht="15.7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13"/>
      <c r="Q4" s="14"/>
      <c r="R4" s="15">
        <f>MIN(P14:P120)</f>
        <v>1</v>
      </c>
      <c r="S4" s="15"/>
      <c r="T4" s="16">
        <f>MAX(P14:P120)</f>
        <v>43</v>
      </c>
      <c r="U4" s="14"/>
      <c r="V4" s="6"/>
      <c r="X4" s="14"/>
      <c r="Y4" s="14"/>
      <c r="Z4" s="14"/>
      <c r="AA4" s="14"/>
      <c r="AB4"/>
      <c r="AC4" s="14"/>
      <c r="AD4" s="14"/>
      <c r="AE4" s="14"/>
      <c r="AF4" s="14"/>
      <c r="AH4" s="8"/>
    </row>
    <row r="5" spans="1:34" ht="20.2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17"/>
      <c r="Q5" s="17" t="s">
        <v>81</v>
      </c>
      <c r="R5" s="11"/>
      <c r="S5" s="11"/>
      <c r="T5" s="18"/>
      <c r="U5" s="17"/>
      <c r="V5" s="6"/>
      <c r="X5" s="17" t="s">
        <v>82</v>
      </c>
      <c r="Y5" s="17"/>
      <c r="Z5" s="17"/>
      <c r="AA5" s="14"/>
      <c r="AB5"/>
      <c r="AC5" s="10"/>
      <c r="AD5" s="10"/>
    </row>
    <row r="6" spans="1:34" ht="25.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158" t="s">
        <v>83</v>
      </c>
      <c r="Q6" s="158"/>
      <c r="R6" s="158"/>
      <c r="S6" s="158"/>
      <c r="T6" s="158"/>
      <c r="U6" s="158"/>
      <c r="V6" s="6"/>
      <c r="X6" s="159"/>
      <c r="Y6" s="159"/>
      <c r="Z6" s="159"/>
      <c r="AA6" s="159"/>
      <c r="AB6"/>
      <c r="AC6" s="6"/>
      <c r="AD6" s="6"/>
    </row>
    <row r="7" spans="1:34" ht="23.2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19"/>
      <c r="Q7" s="20" t="s">
        <v>84</v>
      </c>
      <c r="R7" s="21"/>
      <c r="S7" s="21"/>
      <c r="T7" s="22"/>
      <c r="V7" s="8"/>
      <c r="Y7" s="8"/>
      <c r="Z7" s="8"/>
      <c r="AA7" s="8"/>
      <c r="AC7" s="8"/>
      <c r="AD7" s="8"/>
      <c r="AE7" s="8"/>
      <c r="AF7" s="8"/>
      <c r="AG7" s="8"/>
      <c r="AH7" s="8"/>
    </row>
    <row r="8" spans="1:34" ht="31.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19"/>
      <c r="Q8" s="160" t="s">
        <v>85</v>
      </c>
      <c r="R8" s="160"/>
      <c r="S8" s="160"/>
      <c r="T8" s="160"/>
      <c r="U8" s="160"/>
      <c r="V8" s="160"/>
      <c r="W8" s="160"/>
      <c r="X8" s="160"/>
      <c r="Y8" s="160"/>
      <c r="Z8" s="160"/>
      <c r="AA8" s="6"/>
      <c r="AB8" s="161" t="s">
        <v>86</v>
      </c>
      <c r="AC8" s="161"/>
      <c r="AD8" s="161"/>
      <c r="AE8" s="161"/>
      <c r="AF8" s="161"/>
      <c r="AG8" s="161"/>
      <c r="AH8" s="161"/>
    </row>
    <row r="9" spans="1:34" customFormat="1" ht="11.25" customHeight="1" thickBot="1"/>
    <row r="10" spans="1:34" s="52" customFormat="1" ht="27.75" customHeight="1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Q10" s="73" t="s">
        <v>87</v>
      </c>
      <c r="R10" s="73" t="s">
        <v>88</v>
      </c>
      <c r="S10" s="66"/>
      <c r="T10" s="49" t="s">
        <v>89</v>
      </c>
      <c r="U10" s="46" t="s">
        <v>90</v>
      </c>
      <c r="V10" s="50"/>
      <c r="W10" s="47" t="s">
        <v>91</v>
      </c>
      <c r="X10" s="61" t="s">
        <v>92</v>
      </c>
      <c r="Y10" s="61" t="s">
        <v>93</v>
      </c>
      <c r="Z10" s="48" t="s">
        <v>94</v>
      </c>
      <c r="AA10" s="53"/>
      <c r="AB10" s="49" t="s">
        <v>95</v>
      </c>
      <c r="AC10" s="46" t="s">
        <v>90</v>
      </c>
      <c r="AE10" s="47" t="s">
        <v>91</v>
      </c>
      <c r="AF10" s="61" t="s">
        <v>92</v>
      </c>
      <c r="AG10" s="61" t="s">
        <v>93</v>
      </c>
      <c r="AH10" s="48" t="s">
        <v>94</v>
      </c>
    </row>
    <row r="11" spans="1:34" s="55" customFormat="1" ht="27.75" customHeight="1" thickBot="1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Q11" s="64">
        <f>IF(U11="","",1.15)</f>
        <v>1.1499999999999999</v>
      </c>
      <c r="R11" s="64">
        <f>IF(U11="","",0.8)</f>
        <v>0.8</v>
      </c>
      <c r="S11" s="67"/>
      <c r="T11" s="62">
        <f>_xlfn.STDEV.P($U$14:$U$120)/$U$11</f>
        <v>0.12000067662768951</v>
      </c>
      <c r="U11" s="63">
        <f>AVERAGE($W$14:$W$120)</f>
        <v>10.669797560975613</v>
      </c>
      <c r="V11" s="56"/>
      <c r="W11" s="60">
        <f>$U$11-(3*_xlfn.STDEV.S($W$14:$W$120))</f>
        <v>7.5273918021349244</v>
      </c>
      <c r="X11" s="59">
        <f>$U$11-(2*_xlfn.STDEV.S($W$14:$W$120))</f>
        <v>8.5748603884151535</v>
      </c>
      <c r="Y11" s="59">
        <f>$U$11+(2*_xlfn.STDEV.S($W$14:$W$120))</f>
        <v>12.764734733536073</v>
      </c>
      <c r="Z11" s="58">
        <f>$U$11+(3*_xlfn.STDEV.S($W$14:$W$120))</f>
        <v>13.812203319816302</v>
      </c>
      <c r="AA11" s="57"/>
      <c r="AB11" s="62">
        <f>_xlfn.STDEV.P($AC$14:$AC$120)/$AC$11</f>
        <v>9.8565588418971201E-2</v>
      </c>
      <c r="AC11" s="63">
        <f>AVERAGE($AC$14:$AC$120)</f>
        <v>0.58181190476190481</v>
      </c>
      <c r="AE11" s="60">
        <f>$AC$11-(3*_xlfn.STDEV.S($AE$14:$AE$120))</f>
        <v>0.40988648204725869</v>
      </c>
      <c r="AF11" s="59">
        <f>$AC$11-(2*_xlfn.STDEV.S($AE$14:$AE$120))</f>
        <v>0.46719495628547408</v>
      </c>
      <c r="AG11" s="59">
        <f>$AC$11+(2*_xlfn.STDEV.S($AE$14:$AE$120))</f>
        <v>0.69642885323833559</v>
      </c>
      <c r="AH11" s="58">
        <f>$AC$11+(3*_xlfn.STDEV.S($AE$14:$AE$120))</f>
        <v>0.75373732747655087</v>
      </c>
    </row>
    <row r="12" spans="1:34" ht="11.2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19"/>
      <c r="Q12" s="20"/>
      <c r="R12" s="21"/>
      <c r="S12" s="21"/>
      <c r="T12" s="22"/>
      <c r="V12" s="8"/>
      <c r="Y12" s="8"/>
      <c r="Z12" s="8"/>
      <c r="AA12" s="6"/>
      <c r="AC12" s="8"/>
      <c r="AD12" s="8"/>
      <c r="AE12" s="8"/>
      <c r="AF12" s="8"/>
      <c r="AG12" s="8"/>
      <c r="AH12" s="8"/>
    </row>
    <row r="13" spans="1:34" ht="4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70" t="s">
        <v>96</v>
      </c>
      <c r="Q13" s="71" t="s">
        <v>97</v>
      </c>
      <c r="R13" s="71" t="s">
        <v>98</v>
      </c>
      <c r="S13" s="69"/>
      <c r="T13" s="72" t="s">
        <v>99</v>
      </c>
      <c r="U13" s="71" t="s">
        <v>100</v>
      </c>
      <c r="V13" s="69"/>
      <c r="W13" s="75" t="s">
        <v>101</v>
      </c>
      <c r="X13" s="75" t="s">
        <v>102</v>
      </c>
      <c r="Y13" s="76" t="s">
        <v>103</v>
      </c>
      <c r="Z13" s="77" t="s">
        <v>104</v>
      </c>
      <c r="AA13" s="6"/>
      <c r="AB13" s="26" t="s">
        <v>99</v>
      </c>
      <c r="AC13" s="27" t="s">
        <v>100</v>
      </c>
      <c r="AD13" s="28"/>
      <c r="AE13" s="23" t="s">
        <v>101</v>
      </c>
      <c r="AF13" s="23" t="s">
        <v>102</v>
      </c>
      <c r="AG13" s="24" t="s">
        <v>105</v>
      </c>
      <c r="AH13" s="25" t="s">
        <v>104</v>
      </c>
    </row>
    <row r="14" spans="1:34" ht="1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29">
        <v>1</v>
      </c>
      <c r="Q14" s="30" t="s">
        <v>106</v>
      </c>
      <c r="R14" s="31">
        <v>45677</v>
      </c>
      <c r="S14" s="68"/>
      <c r="T14" s="138">
        <v>10.76</v>
      </c>
      <c r="U14" s="38">
        <v>10.394</v>
      </c>
      <c r="V14" s="74"/>
      <c r="W14" s="34">
        <f>IF(X14&gt;3,"FALSE",U14)</f>
        <v>10.394</v>
      </c>
      <c r="X14" s="34">
        <f t="shared" ref="X14:X77" si="0">IF(U14="","FALSE",ABS((U14-AVERAGE($U$14:$U$120))/_xlfn.STDEV.S($U$14:$U$104)))</f>
        <v>0.3057382035993626</v>
      </c>
      <c r="Y14" s="35" t="str">
        <f>IF(OR(U14&gt;$Y$11,U14&lt;$X$11),U14,"")</f>
        <v/>
      </c>
      <c r="Z14" s="36">
        <f>IF(U14="","",U14/T14)</f>
        <v>0.9659851301115242</v>
      </c>
      <c r="AA14" s="6"/>
      <c r="AB14" s="37">
        <v>0.58099999999999996</v>
      </c>
      <c r="AC14" s="38">
        <v>0.57099999999999995</v>
      </c>
      <c r="AD14" s="38"/>
      <c r="AE14" s="34">
        <f>IF(AF14&gt;3,"FALSE",AC14)</f>
        <v>0.57099999999999995</v>
      </c>
      <c r="AF14" s="34">
        <f>IF(AC14="","FALSE",ABS((AC14-AVERAGE($AC$14:$AC$120))/_xlfn.STDEV.S($AC$14:$AC$104)))</f>
        <v>0.18627800257183019</v>
      </c>
      <c r="AG14" s="35" t="str">
        <f t="shared" ref="AG14:AG77" si="1">IF(OR(AC14&gt;$AG$11,AC14&lt;$AF$11),AC14,"")</f>
        <v/>
      </c>
      <c r="AH14" s="36">
        <f t="shared" ref="AH14:AH77" si="2">IF(AC14="","",AC14/AB14)</f>
        <v>0.98278829604130802</v>
      </c>
    </row>
    <row r="15" spans="1:34" ht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29">
        <f t="shared" ref="P15:P78" si="3">IF(R15&lt;&gt;"",P14+1,"")</f>
        <v>2</v>
      </c>
      <c r="Q15" s="30" t="s">
        <v>106</v>
      </c>
      <c r="R15" s="31">
        <v>45677</v>
      </c>
      <c r="S15" s="68"/>
      <c r="T15" s="138">
        <v>10.76</v>
      </c>
      <c r="U15" s="38">
        <v>11.340999999999999</v>
      </c>
      <c r="V15" s="74"/>
      <c r="W15" s="34">
        <f t="shared" ref="W15:W78" si="4">IF(X15&gt;3,"FALSE",U15)</f>
        <v>11.340999999999999</v>
      </c>
      <c r="X15" s="34">
        <f t="shared" si="0"/>
        <v>0.42502620594837065</v>
      </c>
      <c r="Y15" s="35" t="str">
        <f t="shared" ref="Y15:Y78" si="5">IF(OR(U15&gt;$Y$11,U15&lt;$X$11),U15,"")</f>
        <v/>
      </c>
      <c r="Z15" s="36">
        <f t="shared" ref="Z15:Z78" si="6">IF(U15="","",U15/T15)</f>
        <v>1.053996282527881</v>
      </c>
      <c r="AA15" s="6"/>
      <c r="AB15" s="37">
        <v>0.58099999999999996</v>
      </c>
      <c r="AC15" s="38">
        <v>0.56899999999999995</v>
      </c>
      <c r="AD15" s="38"/>
      <c r="AE15" s="34">
        <f t="shared" ref="AE15:AE50" si="7">IF(AF15&gt;3,"FALSE",AC15)</f>
        <v>0.56899999999999995</v>
      </c>
      <c r="AF15" s="34">
        <f t="shared" ref="AF15:AF78" si="8">IF(AC15="","FALSE",ABS((AC15-AVERAGE($AC$14:$AC$120))/_xlfn.STDEV.S($AC$14:$AC$104)))</f>
        <v>0.22073594623189102</v>
      </c>
      <c r="AG15" s="35" t="str">
        <f t="shared" si="1"/>
        <v/>
      </c>
      <c r="AH15" s="36">
        <f t="shared" si="2"/>
        <v>0.97934595524956969</v>
      </c>
    </row>
    <row r="16" spans="1:34" ht="1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29">
        <f t="shared" si="3"/>
        <v>3</v>
      </c>
      <c r="Q16" s="30" t="s">
        <v>106</v>
      </c>
      <c r="R16" s="31">
        <v>45677</v>
      </c>
      <c r="S16" s="68"/>
      <c r="T16" s="138">
        <v>10.76</v>
      </c>
      <c r="U16" s="38">
        <v>9.3409999999999993</v>
      </c>
      <c r="V16" s="74"/>
      <c r="W16" s="34">
        <f t="shared" si="4"/>
        <v>9.3409999999999993</v>
      </c>
      <c r="X16" s="34">
        <f t="shared" si="0"/>
        <v>1.1182988406149532</v>
      </c>
      <c r="Y16" s="35" t="str">
        <f t="shared" si="5"/>
        <v/>
      </c>
      <c r="Z16" s="36">
        <f t="shared" si="6"/>
        <v>0.86812267657992559</v>
      </c>
      <c r="AA16" s="6"/>
      <c r="AB16" s="37">
        <v>0.58099999999999996</v>
      </c>
      <c r="AC16" s="38">
        <v>0.63600000000000001</v>
      </c>
      <c r="AD16" s="38"/>
      <c r="AE16" s="34">
        <f t="shared" si="7"/>
        <v>0.63600000000000001</v>
      </c>
      <c r="AF16" s="34">
        <f t="shared" si="8"/>
        <v>0.93360516638014623</v>
      </c>
      <c r="AG16" s="35" t="str">
        <f t="shared" si="1"/>
        <v/>
      </c>
      <c r="AH16" s="36">
        <f t="shared" si="2"/>
        <v>1.0946643717728055</v>
      </c>
    </row>
    <row r="17" spans="1:34" ht="1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29">
        <f t="shared" si="3"/>
        <v>4</v>
      </c>
      <c r="Q17" s="30" t="s">
        <v>106</v>
      </c>
      <c r="R17" s="31">
        <v>45677</v>
      </c>
      <c r="S17" s="68"/>
      <c r="T17" s="138">
        <v>10.76</v>
      </c>
      <c r="U17" s="38">
        <v>10.077999999999999</v>
      </c>
      <c r="V17" s="74"/>
      <c r="W17" s="34">
        <f>IF(X17&gt;3,"FALSE",U17)</f>
        <v>10.077999999999999</v>
      </c>
      <c r="X17" s="34">
        <f t="shared" si="0"/>
        <v>0.54958356095636829</v>
      </c>
      <c r="Y17" s="35" t="str">
        <f t="shared" si="5"/>
        <v/>
      </c>
      <c r="Z17" s="36">
        <f t="shared" si="6"/>
        <v>0.93661710037174717</v>
      </c>
      <c r="AA17" s="6"/>
      <c r="AB17" s="37">
        <v>0.58099999999999996</v>
      </c>
      <c r="AC17" s="38">
        <v>0.63900000000000001</v>
      </c>
      <c r="AD17" s="38"/>
      <c r="AE17" s="34">
        <f t="shared" si="7"/>
        <v>0.63900000000000001</v>
      </c>
      <c r="AF17" s="34">
        <f t="shared" si="8"/>
        <v>0.98529208187023742</v>
      </c>
      <c r="AG17" s="35" t="str">
        <f t="shared" si="1"/>
        <v/>
      </c>
      <c r="AH17" s="36">
        <f t="shared" si="2"/>
        <v>1.0998278829604131</v>
      </c>
    </row>
    <row r="18" spans="1:34" ht="1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29">
        <f t="shared" si="3"/>
        <v>5</v>
      </c>
      <c r="Q18" s="30" t="s">
        <v>106</v>
      </c>
      <c r="R18" s="31">
        <v>45677</v>
      </c>
      <c r="S18" s="68"/>
      <c r="T18" s="138">
        <v>10.76</v>
      </c>
      <c r="U18" s="38">
        <v>9.5419999999999998</v>
      </c>
      <c r="V18" s="74"/>
      <c r="W18" s="34">
        <f t="shared" si="4"/>
        <v>9.5419999999999998</v>
      </c>
      <c r="X18" s="34">
        <f t="shared" si="0"/>
        <v>0.96319467343533882</v>
      </c>
      <c r="Y18" s="35" t="str">
        <f t="shared" si="5"/>
        <v/>
      </c>
      <c r="Z18" s="36">
        <f t="shared" si="6"/>
        <v>0.88680297397769514</v>
      </c>
      <c r="AA18" s="6"/>
      <c r="AB18" s="37">
        <v>0.58099999999999996</v>
      </c>
      <c r="AC18" s="38">
        <v>0.45600000000000002</v>
      </c>
      <c r="AD18" s="38"/>
      <c r="AE18" s="34">
        <f t="shared" si="7"/>
        <v>0.45600000000000002</v>
      </c>
      <c r="AF18" s="34">
        <f t="shared" si="8"/>
        <v>2.1676097630253239</v>
      </c>
      <c r="AG18" s="35">
        <f t="shared" si="1"/>
        <v>0.45600000000000002</v>
      </c>
      <c r="AH18" s="36">
        <f t="shared" si="2"/>
        <v>0.78485370051635117</v>
      </c>
    </row>
    <row r="19" spans="1:34" ht="1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29">
        <f t="shared" si="3"/>
        <v>6</v>
      </c>
      <c r="Q19" s="30" t="s">
        <v>106</v>
      </c>
      <c r="R19" s="31">
        <v>45678</v>
      </c>
      <c r="S19" s="68"/>
      <c r="T19" s="138">
        <v>10.76</v>
      </c>
      <c r="U19" s="38">
        <v>10.561</v>
      </c>
      <c r="V19" s="74"/>
      <c r="W19" s="34">
        <f t="shared" si="4"/>
        <v>10.561</v>
      </c>
      <c r="X19" s="34">
        <f t="shared" si="0"/>
        <v>0.17687056221132516</v>
      </c>
      <c r="Y19" s="35" t="str">
        <f t="shared" si="5"/>
        <v/>
      </c>
      <c r="Z19" s="36">
        <f t="shared" si="6"/>
        <v>0.98150557620817847</v>
      </c>
      <c r="AA19" s="6"/>
      <c r="AB19" s="37">
        <v>0.58099999999999996</v>
      </c>
      <c r="AC19" s="38">
        <v>0.55000000000000004</v>
      </c>
      <c r="AD19" s="38"/>
      <c r="AE19" s="34">
        <f t="shared" si="7"/>
        <v>0.55000000000000004</v>
      </c>
      <c r="AF19" s="34">
        <f t="shared" si="8"/>
        <v>0.5480864110024668</v>
      </c>
      <c r="AG19" s="35" t="str">
        <f t="shared" si="1"/>
        <v/>
      </c>
      <c r="AH19" s="36">
        <f t="shared" si="2"/>
        <v>0.94664371772805522</v>
      </c>
    </row>
    <row r="20" spans="1:34" ht="1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29">
        <f t="shared" si="3"/>
        <v>7</v>
      </c>
      <c r="Q20" s="30" t="s">
        <v>106</v>
      </c>
      <c r="R20" s="31">
        <v>45678</v>
      </c>
      <c r="S20" s="68"/>
      <c r="T20" s="138">
        <v>10.76</v>
      </c>
      <c r="U20" s="38">
        <v>9.9039999999999999</v>
      </c>
      <c r="V20" s="74"/>
      <c r="W20" s="34">
        <f t="shared" si="4"/>
        <v>9.9039999999999999</v>
      </c>
      <c r="X20" s="34">
        <f t="shared" si="0"/>
        <v>0.68385284000737712</v>
      </c>
      <c r="Y20" s="35" t="str">
        <f t="shared" si="5"/>
        <v/>
      </c>
      <c r="Z20" s="36">
        <f t="shared" si="6"/>
        <v>0.92044609665427513</v>
      </c>
      <c r="AA20" s="6"/>
      <c r="AB20" s="37">
        <v>0.58099999999999996</v>
      </c>
      <c r="AC20" s="38">
        <v>0.65100000000000002</v>
      </c>
      <c r="AD20" s="38"/>
      <c r="AE20" s="34">
        <f t="shared" si="7"/>
        <v>0.65100000000000002</v>
      </c>
      <c r="AF20" s="34">
        <f t="shared" si="8"/>
        <v>1.1920397438306023</v>
      </c>
      <c r="AG20" s="35" t="str">
        <f t="shared" si="1"/>
        <v/>
      </c>
      <c r="AH20" s="36">
        <f t="shared" si="2"/>
        <v>1.1204819277108435</v>
      </c>
    </row>
    <row r="21" spans="1:34" ht="1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29">
        <f t="shared" si="3"/>
        <v>8</v>
      </c>
      <c r="Q21" s="30" t="s">
        <v>106</v>
      </c>
      <c r="R21" s="31">
        <v>45678</v>
      </c>
      <c r="S21" s="68"/>
      <c r="T21" s="138">
        <v>10.76</v>
      </c>
      <c r="U21" s="38">
        <v>9.5269999999999992</v>
      </c>
      <c r="V21" s="74"/>
      <c r="W21" s="34">
        <f t="shared" si="4"/>
        <v>9.5269999999999992</v>
      </c>
      <c r="X21" s="34">
        <f t="shared" si="0"/>
        <v>0.97476961128456419</v>
      </c>
      <c r="Y21" s="35" t="str">
        <f t="shared" si="5"/>
        <v/>
      </c>
      <c r="Z21" s="36">
        <f t="shared" si="6"/>
        <v>0.8854089219330854</v>
      </c>
      <c r="AA21" s="6"/>
      <c r="AB21" s="37">
        <v>0.58099999999999996</v>
      </c>
      <c r="AC21" s="38">
        <v>0.67300000000000004</v>
      </c>
      <c r="AD21" s="38"/>
      <c r="AE21" s="34">
        <f t="shared" si="7"/>
        <v>0.67300000000000004</v>
      </c>
      <c r="AF21" s="34">
        <f t="shared" si="8"/>
        <v>1.5710771240912713</v>
      </c>
      <c r="AG21" s="35" t="str">
        <f t="shared" si="1"/>
        <v/>
      </c>
      <c r="AH21" s="36">
        <f t="shared" si="2"/>
        <v>1.1583476764199658</v>
      </c>
    </row>
    <row r="22" spans="1:34" ht="1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29">
        <f t="shared" si="3"/>
        <v>9</v>
      </c>
      <c r="Q22" s="30" t="s">
        <v>106</v>
      </c>
      <c r="R22" s="31">
        <v>45678</v>
      </c>
      <c r="S22" s="68"/>
      <c r="T22" s="138">
        <v>10.76</v>
      </c>
      <c r="U22" s="38">
        <v>10.715999999999999</v>
      </c>
      <c r="V22" s="74"/>
      <c r="W22" s="34">
        <f t="shared" si="4"/>
        <v>10.715999999999999</v>
      </c>
      <c r="X22" s="34">
        <f t="shared" si="0"/>
        <v>5.7262871102668061E-2</v>
      </c>
      <c r="Y22" s="35" t="str">
        <f t="shared" si="5"/>
        <v/>
      </c>
      <c r="Z22" s="36">
        <f t="shared" si="6"/>
        <v>0.99591078066914496</v>
      </c>
      <c r="AA22" s="6"/>
      <c r="AB22" s="37">
        <v>0.58099999999999996</v>
      </c>
      <c r="AC22" s="38">
        <v>0.61899999999999999</v>
      </c>
      <c r="AD22" s="38"/>
      <c r="AE22" s="34">
        <f t="shared" si="7"/>
        <v>0.61899999999999999</v>
      </c>
      <c r="AF22" s="34">
        <f t="shared" si="8"/>
        <v>0.64071264526962934</v>
      </c>
      <c r="AG22" s="35" t="str">
        <f t="shared" si="1"/>
        <v/>
      </c>
      <c r="AH22" s="36">
        <f t="shared" si="2"/>
        <v>1.0654044750430294</v>
      </c>
    </row>
    <row r="23" spans="1:34" ht="1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29">
        <f t="shared" si="3"/>
        <v>10</v>
      </c>
      <c r="Q23" s="30" t="s">
        <v>106</v>
      </c>
      <c r="R23" s="31">
        <v>45678</v>
      </c>
      <c r="S23" s="68"/>
      <c r="T23" s="138">
        <v>10.76</v>
      </c>
      <c r="U23" s="38">
        <v>9.0250000000000004</v>
      </c>
      <c r="V23" s="74"/>
      <c r="W23" s="34">
        <f t="shared" si="4"/>
        <v>9.0250000000000004</v>
      </c>
      <c r="X23" s="34">
        <f t="shared" si="0"/>
        <v>1.3621441979719577</v>
      </c>
      <c r="Y23" s="35" t="str">
        <f t="shared" si="5"/>
        <v/>
      </c>
      <c r="Z23" s="36">
        <f t="shared" si="6"/>
        <v>0.83875464684014878</v>
      </c>
      <c r="AA23" s="6"/>
      <c r="AB23" s="37">
        <v>0.58099999999999996</v>
      </c>
      <c r="AC23" s="38">
        <v>0.53900000000000003</v>
      </c>
      <c r="AD23" s="38"/>
      <c r="AE23" s="34">
        <f t="shared" si="7"/>
        <v>0.53900000000000003</v>
      </c>
      <c r="AF23" s="34">
        <f t="shared" si="8"/>
        <v>0.73760510113280131</v>
      </c>
      <c r="AG23" s="35" t="str">
        <f t="shared" si="1"/>
        <v/>
      </c>
      <c r="AH23" s="36">
        <f t="shared" si="2"/>
        <v>0.92771084337349408</v>
      </c>
    </row>
    <row r="24" spans="1:34" ht="1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29">
        <f t="shared" si="3"/>
        <v>11</v>
      </c>
      <c r="Q24" s="30" t="s">
        <v>106</v>
      </c>
      <c r="R24" s="31">
        <v>45679</v>
      </c>
      <c r="S24" s="68"/>
      <c r="T24" s="138">
        <v>10.76</v>
      </c>
      <c r="U24" s="38">
        <v>10.651999999999999</v>
      </c>
      <c r="V24" s="74"/>
      <c r="W24" s="34">
        <f t="shared" si="4"/>
        <v>10.651999999999999</v>
      </c>
      <c r="X24" s="34">
        <f t="shared" si="0"/>
        <v>0.10664927259269447</v>
      </c>
      <c r="Y24" s="35" t="str">
        <f t="shared" si="5"/>
        <v/>
      </c>
      <c r="Z24" s="36">
        <f t="shared" si="6"/>
        <v>0.98996282527881041</v>
      </c>
      <c r="AA24" s="6"/>
      <c r="AB24" s="37">
        <v>0.58099999999999996</v>
      </c>
      <c r="AC24" s="38">
        <v>0.56899999999999995</v>
      </c>
      <c r="AD24" s="38"/>
      <c r="AE24" s="34">
        <f t="shared" si="7"/>
        <v>0.56899999999999995</v>
      </c>
      <c r="AF24" s="34">
        <f t="shared" si="8"/>
        <v>0.22073594623189102</v>
      </c>
      <c r="AG24" s="35" t="str">
        <f t="shared" si="1"/>
        <v/>
      </c>
      <c r="AH24" s="36">
        <f t="shared" si="2"/>
        <v>0.97934595524956969</v>
      </c>
    </row>
    <row r="25" spans="1:34" ht="1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29">
        <f t="shared" si="3"/>
        <v>12</v>
      </c>
      <c r="Q25" s="30" t="s">
        <v>106</v>
      </c>
      <c r="R25" s="31">
        <v>45679</v>
      </c>
      <c r="S25" s="68"/>
      <c r="T25" s="138">
        <v>10.76</v>
      </c>
      <c r="U25" s="38">
        <v>10.505000000000001</v>
      </c>
      <c r="V25" s="74"/>
      <c r="W25" s="34">
        <f t="shared" si="4"/>
        <v>10.505000000000001</v>
      </c>
      <c r="X25" s="34">
        <f t="shared" si="0"/>
        <v>0.22008366351509759</v>
      </c>
      <c r="Y25" s="35" t="str">
        <f t="shared" si="5"/>
        <v/>
      </c>
      <c r="Z25" s="36">
        <f t="shared" si="6"/>
        <v>0.97630111524163576</v>
      </c>
      <c r="AA25" s="6"/>
      <c r="AB25" s="37">
        <v>0.58099999999999996</v>
      </c>
      <c r="AC25" s="38">
        <v>0.71299999999999997</v>
      </c>
      <c r="AD25" s="38"/>
      <c r="AE25" s="34">
        <f t="shared" si="7"/>
        <v>0.71299999999999997</v>
      </c>
      <c r="AF25" s="34">
        <f t="shared" si="8"/>
        <v>2.2602359972924857</v>
      </c>
      <c r="AG25" s="35">
        <f t="shared" si="1"/>
        <v>0.71299999999999997</v>
      </c>
      <c r="AH25" s="36">
        <f t="shared" si="2"/>
        <v>1.2271944922547333</v>
      </c>
    </row>
    <row r="26" spans="1:34" ht="1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29">
        <f t="shared" si="3"/>
        <v>13</v>
      </c>
      <c r="Q26" s="30" t="s">
        <v>106</v>
      </c>
      <c r="R26" s="31">
        <v>45679</v>
      </c>
      <c r="S26" s="68"/>
      <c r="T26" s="138">
        <v>10.76</v>
      </c>
      <c r="U26" s="38">
        <v>10.785</v>
      </c>
      <c r="V26" s="74"/>
      <c r="W26" s="34">
        <f t="shared" si="4"/>
        <v>10.785</v>
      </c>
      <c r="X26" s="34">
        <f t="shared" si="0"/>
        <v>4.0181569962327371E-3</v>
      </c>
      <c r="Y26" s="35" t="str">
        <f t="shared" si="5"/>
        <v/>
      </c>
      <c r="Z26" s="36">
        <f t="shared" si="6"/>
        <v>1.0023234200743494</v>
      </c>
      <c r="AA26" s="6"/>
      <c r="AB26" s="37">
        <v>0.58099999999999996</v>
      </c>
      <c r="AC26" s="38">
        <v>0.58199999999999996</v>
      </c>
      <c r="AD26" s="38"/>
      <c r="AE26" s="34">
        <f t="shared" si="7"/>
        <v>0.58199999999999996</v>
      </c>
      <c r="AF26" s="34">
        <f t="shared" si="8"/>
        <v>3.2406875585042666E-3</v>
      </c>
      <c r="AG26" s="35" t="str">
        <f t="shared" si="1"/>
        <v/>
      </c>
      <c r="AH26" s="36">
        <f t="shared" si="2"/>
        <v>1.0017211703958693</v>
      </c>
    </row>
    <row r="27" spans="1:34" ht="1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29">
        <f t="shared" si="3"/>
        <v>14</v>
      </c>
      <c r="Q27" s="30" t="s">
        <v>106</v>
      </c>
      <c r="R27" s="31">
        <v>45679</v>
      </c>
      <c r="S27" s="68"/>
      <c r="T27" s="138">
        <v>10.76</v>
      </c>
      <c r="U27" s="38">
        <v>12.198</v>
      </c>
      <c r="V27" s="74"/>
      <c r="W27" s="34">
        <f t="shared" si="4"/>
        <v>12.198</v>
      </c>
      <c r="X27" s="34">
        <f t="shared" si="0"/>
        <v>1.0863409884007558</v>
      </c>
      <c r="Y27" s="35" t="str">
        <f t="shared" si="5"/>
        <v/>
      </c>
      <c r="Z27" s="36">
        <f t="shared" si="6"/>
        <v>1.13364312267658</v>
      </c>
      <c r="AA27" s="6"/>
      <c r="AB27" s="37">
        <v>0.58099999999999996</v>
      </c>
      <c r="AC27" s="38">
        <v>0.55100000000000005</v>
      </c>
      <c r="AD27" s="38"/>
      <c r="AE27" s="34">
        <f t="shared" si="7"/>
        <v>0.55100000000000005</v>
      </c>
      <c r="AF27" s="34">
        <f t="shared" si="8"/>
        <v>0.53085743917243644</v>
      </c>
      <c r="AG27" s="35" t="str">
        <f t="shared" si="1"/>
        <v/>
      </c>
      <c r="AH27" s="36">
        <f t="shared" si="2"/>
        <v>0.94836488812392439</v>
      </c>
    </row>
    <row r="28" spans="1:34" ht="1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29">
        <f t="shared" si="3"/>
        <v>15</v>
      </c>
      <c r="Q28" s="30" t="s">
        <v>106</v>
      </c>
      <c r="R28" s="31">
        <v>45679</v>
      </c>
      <c r="S28" s="68"/>
      <c r="T28" s="138">
        <v>10.76</v>
      </c>
      <c r="U28" s="38">
        <v>9.3409999999999993</v>
      </c>
      <c r="V28" s="74"/>
      <c r="W28" s="34">
        <f t="shared" si="4"/>
        <v>9.3409999999999993</v>
      </c>
      <c r="X28" s="34">
        <f>IF(U28="","FALSE",ABS((U28-AVERAGE($U$14:$U$120))/_xlfn.STDEV.S($U$14:$U$104)))</f>
        <v>1.1182988406149532</v>
      </c>
      <c r="Y28" s="35" t="str">
        <f t="shared" si="5"/>
        <v/>
      </c>
      <c r="Z28" s="36">
        <f t="shared" si="6"/>
        <v>0.86812267657992559</v>
      </c>
      <c r="AA28" s="6"/>
      <c r="AB28" s="37">
        <v>0.58099999999999996</v>
      </c>
      <c r="AC28" s="38">
        <v>0.54800000000000004</v>
      </c>
      <c r="AD28" s="38"/>
      <c r="AE28" s="34">
        <f t="shared" si="7"/>
        <v>0.54800000000000004</v>
      </c>
      <c r="AF28" s="34">
        <f t="shared" si="8"/>
        <v>0.58254435466252763</v>
      </c>
      <c r="AG28" s="35" t="str">
        <f t="shared" si="1"/>
        <v/>
      </c>
      <c r="AH28" s="36">
        <f t="shared" si="2"/>
        <v>0.94320137693631678</v>
      </c>
    </row>
    <row r="29" spans="1:34" ht="1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 t="s">
        <v>107</v>
      </c>
      <c r="O29" s="8"/>
      <c r="P29" s="29">
        <f t="shared" si="3"/>
        <v>16</v>
      </c>
      <c r="Q29" s="30" t="s">
        <v>106</v>
      </c>
      <c r="R29" s="31">
        <v>45681</v>
      </c>
      <c r="S29" s="68"/>
      <c r="T29" s="138">
        <v>10.76</v>
      </c>
      <c r="U29" s="38">
        <v>15.727</v>
      </c>
      <c r="V29" s="74"/>
      <c r="W29" s="34" t="str">
        <f>IF(X29&gt;3,"FALSE",U29)</f>
        <v>FALSE</v>
      </c>
      <c r="X29" s="34">
        <f t="shared" si="0"/>
        <v>3.8095380330617408</v>
      </c>
      <c r="Y29" s="35">
        <f t="shared" si="5"/>
        <v>15.727</v>
      </c>
      <c r="Z29" s="36">
        <f t="shared" si="6"/>
        <v>1.4616171003717473</v>
      </c>
      <c r="AA29" s="6"/>
      <c r="AB29" s="37">
        <v>0.58099999999999996</v>
      </c>
      <c r="AC29" s="38">
        <v>0.50900000000000001</v>
      </c>
      <c r="AD29" s="38"/>
      <c r="AE29" s="34">
        <f t="shared" si="7"/>
        <v>0.50900000000000001</v>
      </c>
      <c r="AF29" s="34">
        <f t="shared" si="8"/>
        <v>1.2544742560337134</v>
      </c>
      <c r="AG29" s="35" t="str">
        <f t="shared" si="1"/>
        <v/>
      </c>
      <c r="AH29" s="36">
        <f t="shared" si="2"/>
        <v>0.87607573149741835</v>
      </c>
    </row>
    <row r="30" spans="1:34" ht="1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29">
        <f t="shared" si="3"/>
        <v>17</v>
      </c>
      <c r="Q30" s="30" t="s">
        <v>106</v>
      </c>
      <c r="R30" s="31">
        <v>45681</v>
      </c>
      <c r="S30" s="68"/>
      <c r="T30" s="138">
        <v>10.76</v>
      </c>
      <c r="U30" s="38">
        <v>11.752000000000001</v>
      </c>
      <c r="V30" s="74"/>
      <c r="W30" s="34">
        <f t="shared" si="4"/>
        <v>11.752000000000001</v>
      </c>
      <c r="X30" s="34">
        <f t="shared" si="0"/>
        <v>0.74217950301713476</v>
      </c>
      <c r="Y30" s="35" t="str">
        <f t="shared" si="5"/>
        <v/>
      </c>
      <c r="Z30" s="36">
        <f t="shared" si="6"/>
        <v>1.092193308550186</v>
      </c>
      <c r="AA30" s="6"/>
      <c r="AB30" s="37">
        <v>0.58099999999999996</v>
      </c>
      <c r="AC30" s="38">
        <v>0.56499999999999995</v>
      </c>
      <c r="AD30" s="38"/>
      <c r="AE30" s="34">
        <f t="shared" si="7"/>
        <v>0.56499999999999995</v>
      </c>
      <c r="AF30" s="34">
        <f t="shared" si="8"/>
        <v>0.28965183355201263</v>
      </c>
      <c r="AG30" s="35" t="str">
        <f t="shared" si="1"/>
        <v/>
      </c>
      <c r="AH30" s="36">
        <f t="shared" si="2"/>
        <v>0.97246127366609292</v>
      </c>
    </row>
    <row r="31" spans="1:34" ht="1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29">
        <f t="shared" si="3"/>
        <v>18</v>
      </c>
      <c r="Q31" s="30" t="s">
        <v>106</v>
      </c>
      <c r="R31" s="31">
        <v>45681</v>
      </c>
      <c r="S31" s="68"/>
      <c r="T31" s="138">
        <v>10.76</v>
      </c>
      <c r="U31" s="38">
        <v>11.673999999999999</v>
      </c>
      <c r="V31" s="74"/>
      <c r="W31" s="34">
        <f t="shared" si="4"/>
        <v>11.673999999999999</v>
      </c>
      <c r="X31" s="34">
        <f t="shared" si="0"/>
        <v>0.68198982620116422</v>
      </c>
      <c r="Y31" s="35" t="str">
        <f t="shared" si="5"/>
        <v/>
      </c>
      <c r="Z31" s="36">
        <f t="shared" si="6"/>
        <v>1.0849442379182155</v>
      </c>
      <c r="AA31" s="6"/>
      <c r="AB31" s="37">
        <v>0.58099999999999996</v>
      </c>
      <c r="AC31" s="38">
        <v>0.54400000000000004</v>
      </c>
      <c r="AD31" s="38"/>
      <c r="AE31" s="34">
        <f t="shared" si="7"/>
        <v>0.54400000000000004</v>
      </c>
      <c r="AF31" s="34">
        <f t="shared" si="8"/>
        <v>0.65146024198264929</v>
      </c>
      <c r="AG31" s="35" t="str">
        <f t="shared" si="1"/>
        <v/>
      </c>
      <c r="AH31" s="36">
        <f t="shared" si="2"/>
        <v>0.93631669535284001</v>
      </c>
    </row>
    <row r="32" spans="1:34" ht="1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29">
        <f t="shared" si="3"/>
        <v>19</v>
      </c>
      <c r="Q32" s="30" t="s">
        <v>106</v>
      </c>
      <c r="R32" s="31">
        <v>45681</v>
      </c>
      <c r="S32" s="68"/>
      <c r="T32" s="138">
        <v>10.76</v>
      </c>
      <c r="U32" s="38">
        <v>12.673</v>
      </c>
      <c r="V32" s="74"/>
      <c r="W32" s="34">
        <f t="shared" si="4"/>
        <v>12.673</v>
      </c>
      <c r="X32" s="34">
        <f t="shared" si="0"/>
        <v>1.452880686959545</v>
      </c>
      <c r="Y32" s="35" t="str">
        <f t="shared" si="5"/>
        <v/>
      </c>
      <c r="Z32" s="36">
        <f t="shared" si="6"/>
        <v>1.1777881040892193</v>
      </c>
      <c r="AA32" s="6"/>
      <c r="AB32" s="37">
        <v>0.58099999999999996</v>
      </c>
      <c r="AC32" s="38">
        <v>0.57299999999999995</v>
      </c>
      <c r="AD32" s="38"/>
      <c r="AE32" s="34">
        <f t="shared" si="7"/>
        <v>0.57299999999999995</v>
      </c>
      <c r="AF32" s="34">
        <f t="shared" si="8"/>
        <v>0.15182005891176939</v>
      </c>
      <c r="AG32" s="35" t="str">
        <f t="shared" si="1"/>
        <v/>
      </c>
      <c r="AH32" s="36">
        <f t="shared" si="2"/>
        <v>0.98623063683304646</v>
      </c>
    </row>
    <row r="33" spans="1:34" ht="1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29">
        <f t="shared" si="3"/>
        <v>20</v>
      </c>
      <c r="Q33" s="30" t="s">
        <v>106</v>
      </c>
      <c r="R33" s="31">
        <v>45681</v>
      </c>
      <c r="S33" s="68"/>
      <c r="T33" s="138">
        <v>10.76</v>
      </c>
      <c r="U33" s="38">
        <v>10.472</v>
      </c>
      <c r="V33" s="74"/>
      <c r="W33" s="34">
        <f t="shared" si="4"/>
        <v>10.472</v>
      </c>
      <c r="X33" s="34">
        <f t="shared" si="0"/>
        <v>0.24554852678339339</v>
      </c>
      <c r="Y33" s="35" t="str">
        <f t="shared" si="5"/>
        <v/>
      </c>
      <c r="Z33" s="36">
        <f t="shared" si="6"/>
        <v>0.97323420074349443</v>
      </c>
      <c r="AA33" s="6"/>
      <c r="AB33" s="37">
        <v>0.58099999999999996</v>
      </c>
      <c r="AC33" s="38">
        <v>0.61599999999999999</v>
      </c>
      <c r="AD33" s="38"/>
      <c r="AE33" s="34">
        <f t="shared" si="7"/>
        <v>0.61599999999999999</v>
      </c>
      <c r="AF33" s="34">
        <f t="shared" si="8"/>
        <v>0.58902572977953804</v>
      </c>
      <c r="AG33" s="35" t="str">
        <f t="shared" si="1"/>
        <v/>
      </c>
      <c r="AH33" s="36">
        <f t="shared" si="2"/>
        <v>1.0602409638554218</v>
      </c>
    </row>
    <row r="34" spans="1:34" ht="1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29">
        <f t="shared" si="3"/>
        <v>21</v>
      </c>
      <c r="Q34" s="30" t="s">
        <v>108</v>
      </c>
      <c r="R34" s="31">
        <v>45743</v>
      </c>
      <c r="S34" s="68"/>
      <c r="T34" s="39">
        <v>10.69</v>
      </c>
      <c r="U34" s="38">
        <v>10.869</v>
      </c>
      <c r="V34" s="74"/>
      <c r="W34" s="34">
        <f t="shared" si="4"/>
        <v>10.869</v>
      </c>
      <c r="X34" s="34">
        <f t="shared" si="0"/>
        <v>6.0801494959426584E-2</v>
      </c>
      <c r="Y34" s="35" t="str">
        <f t="shared" si="5"/>
        <v/>
      </c>
      <c r="Z34" s="36">
        <f t="shared" si="6"/>
        <v>1.0167446211412536</v>
      </c>
      <c r="AA34" s="6"/>
      <c r="AB34" s="37">
        <v>0.59299999999999997</v>
      </c>
      <c r="AC34" s="38">
        <v>0.57299999999999995</v>
      </c>
      <c r="AD34" s="38"/>
      <c r="AE34" s="34">
        <f t="shared" si="7"/>
        <v>0.57299999999999995</v>
      </c>
      <c r="AF34" s="34">
        <f t="shared" si="8"/>
        <v>0.15182005891176939</v>
      </c>
      <c r="AG34" s="35" t="str">
        <f t="shared" si="1"/>
        <v/>
      </c>
      <c r="AH34" s="36">
        <f t="shared" si="2"/>
        <v>0.96627318718381106</v>
      </c>
    </row>
    <row r="35" spans="1:34" ht="1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29">
        <f t="shared" si="3"/>
        <v>22</v>
      </c>
      <c r="Q35" s="30" t="s">
        <v>108</v>
      </c>
      <c r="R35" s="31">
        <v>45743</v>
      </c>
      <c r="S35" s="68"/>
      <c r="T35" s="39">
        <v>10.69</v>
      </c>
      <c r="U35" s="38">
        <v>9.6310000000000002</v>
      </c>
      <c r="V35" s="74"/>
      <c r="W35" s="34">
        <f t="shared" si="4"/>
        <v>9.6310000000000002</v>
      </c>
      <c r="X35" s="34">
        <f t="shared" si="0"/>
        <v>0.89451670886327062</v>
      </c>
      <c r="Y35" s="35" t="str">
        <f t="shared" si="5"/>
        <v/>
      </c>
      <c r="Z35" s="36">
        <f t="shared" si="6"/>
        <v>0.90093545369504213</v>
      </c>
      <c r="AA35" s="6"/>
      <c r="AB35" s="37">
        <v>0.59299999999999997</v>
      </c>
      <c r="AC35" s="38">
        <v>0.58499999999999996</v>
      </c>
      <c r="AD35" s="38"/>
      <c r="AE35" s="34">
        <f t="shared" si="7"/>
        <v>0.58499999999999996</v>
      </c>
      <c r="AF35" s="34">
        <f t="shared" si="8"/>
        <v>5.4927603048595487E-2</v>
      </c>
      <c r="AG35" s="35" t="str">
        <f t="shared" si="1"/>
        <v/>
      </c>
      <c r="AH35" s="36">
        <f t="shared" si="2"/>
        <v>0.98650927487352447</v>
      </c>
    </row>
    <row r="36" spans="1:34" ht="1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29">
        <f t="shared" si="3"/>
        <v>23</v>
      </c>
      <c r="Q36" s="30" t="s">
        <v>108</v>
      </c>
      <c r="R36" s="31">
        <v>45772</v>
      </c>
      <c r="S36" s="68"/>
      <c r="T36" s="39">
        <v>10.69</v>
      </c>
      <c r="U36" s="38">
        <v>10.977</v>
      </c>
      <c r="V36" s="74"/>
      <c r="W36" s="34">
        <f t="shared" si="4"/>
        <v>10.977</v>
      </c>
      <c r="X36" s="34">
        <f t="shared" si="0"/>
        <v>0.14414104747384648</v>
      </c>
      <c r="Y36" s="35" t="str">
        <f t="shared" si="5"/>
        <v/>
      </c>
      <c r="Z36" s="36">
        <f t="shared" si="6"/>
        <v>1.0268475210477082</v>
      </c>
      <c r="AA36" s="6"/>
      <c r="AB36" s="37">
        <v>0.59299999999999997</v>
      </c>
      <c r="AC36" s="38">
        <v>0.53</v>
      </c>
      <c r="AD36" s="38"/>
      <c r="AE36" s="34">
        <f t="shared" si="7"/>
        <v>0.53</v>
      </c>
      <c r="AF36" s="34">
        <f t="shared" si="8"/>
        <v>0.89266584760307499</v>
      </c>
      <c r="AG36" s="35" t="str">
        <f t="shared" si="1"/>
        <v/>
      </c>
      <c r="AH36" s="36">
        <f t="shared" si="2"/>
        <v>0.89376053962900515</v>
      </c>
    </row>
    <row r="37" spans="1:34" ht="1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29">
        <f t="shared" si="3"/>
        <v>24</v>
      </c>
      <c r="Q37" s="30" t="s">
        <v>108</v>
      </c>
      <c r="R37" s="31">
        <v>45772</v>
      </c>
      <c r="S37" s="68"/>
      <c r="T37" s="39">
        <v>10.69</v>
      </c>
      <c r="U37" s="38">
        <v>9.8490000000000002</v>
      </c>
      <c r="V37" s="74"/>
      <c r="W37" s="34">
        <f t="shared" si="4"/>
        <v>9.8490000000000002</v>
      </c>
      <c r="X37" s="34">
        <f t="shared" si="0"/>
        <v>0.72629427878786834</v>
      </c>
      <c r="Y37" s="35" t="str">
        <f t="shared" si="5"/>
        <v/>
      </c>
      <c r="Z37" s="36">
        <f t="shared" si="6"/>
        <v>0.92132834424695986</v>
      </c>
      <c r="AA37" s="6"/>
      <c r="AB37" s="37">
        <v>0.59299999999999997</v>
      </c>
      <c r="AC37" s="38">
        <v>0.59799999999999998</v>
      </c>
      <c r="AD37" s="38"/>
      <c r="AE37" s="34">
        <f t="shared" si="7"/>
        <v>0.59799999999999998</v>
      </c>
      <c r="AF37" s="34">
        <f t="shared" si="8"/>
        <v>0.27890423683899074</v>
      </c>
      <c r="AG37" s="35" t="str">
        <f t="shared" si="1"/>
        <v/>
      </c>
      <c r="AH37" s="36">
        <f t="shared" si="2"/>
        <v>1.0084317032040473</v>
      </c>
    </row>
    <row r="38" spans="1:34" ht="1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29">
        <f t="shared" si="3"/>
        <v>25</v>
      </c>
      <c r="Q38" s="30" t="s">
        <v>108</v>
      </c>
      <c r="R38" s="31">
        <v>45785</v>
      </c>
      <c r="S38" s="68"/>
      <c r="T38" s="39">
        <v>10.69</v>
      </c>
      <c r="U38" s="38">
        <v>10.862299999999999</v>
      </c>
      <c r="V38" s="74"/>
      <c r="W38" s="34">
        <f t="shared" si="4"/>
        <v>10.862299999999999</v>
      </c>
      <c r="X38" s="34">
        <f t="shared" si="0"/>
        <v>5.5631356053439163E-2</v>
      </c>
      <c r="Y38" s="35" t="str">
        <f t="shared" si="5"/>
        <v/>
      </c>
      <c r="Z38" s="36">
        <f t="shared" si="6"/>
        <v>1.0161178671655753</v>
      </c>
      <c r="AA38" s="6"/>
      <c r="AB38" s="37">
        <v>0.59299999999999997</v>
      </c>
      <c r="AC38" s="38">
        <v>0.59950000000000003</v>
      </c>
      <c r="AD38" s="38"/>
      <c r="AE38" s="34">
        <f t="shared" si="7"/>
        <v>0.59950000000000003</v>
      </c>
      <c r="AF38" s="34">
        <f t="shared" si="8"/>
        <v>0.30474769458403733</v>
      </c>
      <c r="AG38" s="35" t="str">
        <f t="shared" si="1"/>
        <v/>
      </c>
      <c r="AH38" s="36">
        <f t="shared" si="2"/>
        <v>1.0109612141652615</v>
      </c>
    </row>
    <row r="39" spans="1:34" ht="1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29">
        <f t="shared" si="3"/>
        <v>26</v>
      </c>
      <c r="Q39" s="30" t="s">
        <v>108</v>
      </c>
      <c r="R39" s="31">
        <v>45785</v>
      </c>
      <c r="S39" s="68"/>
      <c r="T39" s="39">
        <v>10.69</v>
      </c>
      <c r="U39" s="38">
        <v>10.5214</v>
      </c>
      <c r="V39" s="74"/>
      <c r="W39" s="34">
        <f t="shared" si="4"/>
        <v>10.5214</v>
      </c>
      <c r="X39" s="34">
        <f t="shared" si="0"/>
        <v>0.20742839813327904</v>
      </c>
      <c r="Y39" s="35" t="str">
        <f t="shared" si="5"/>
        <v/>
      </c>
      <c r="Z39" s="36">
        <f t="shared" si="6"/>
        <v>0.98422825070159026</v>
      </c>
      <c r="AA39" s="6"/>
      <c r="AB39" s="37">
        <v>0.59299999999999997</v>
      </c>
      <c r="AC39" s="38">
        <v>0.5706</v>
      </c>
      <c r="AD39" s="38"/>
      <c r="AE39" s="34">
        <f t="shared" si="7"/>
        <v>0.5706</v>
      </c>
      <c r="AF39" s="34">
        <f t="shared" si="8"/>
        <v>0.19316959130384159</v>
      </c>
      <c r="AG39" s="35" t="str">
        <f t="shared" si="1"/>
        <v/>
      </c>
      <c r="AH39" s="36">
        <f t="shared" si="2"/>
        <v>0.96222596964586848</v>
      </c>
    </row>
    <row r="40" spans="1:34" ht="1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29">
        <f t="shared" si="3"/>
        <v>27</v>
      </c>
      <c r="Q40" s="30" t="s">
        <v>109</v>
      </c>
      <c r="R40" s="31">
        <v>45793</v>
      </c>
      <c r="S40" s="68"/>
      <c r="T40" s="39">
        <v>10.69</v>
      </c>
      <c r="U40" s="38">
        <v>8.9920000000000009</v>
      </c>
      <c r="V40" s="74"/>
      <c r="W40" s="34">
        <f t="shared" si="4"/>
        <v>8.9920000000000009</v>
      </c>
      <c r="X40" s="34">
        <f t="shared" si="0"/>
        <v>1.3876090612402521</v>
      </c>
      <c r="Y40" s="35" t="str">
        <f t="shared" si="5"/>
        <v/>
      </c>
      <c r="Z40" s="36">
        <f t="shared" si="6"/>
        <v>0.84115996258185233</v>
      </c>
      <c r="AA40" s="6"/>
      <c r="AB40" s="37">
        <v>0.59299999999999997</v>
      </c>
      <c r="AC40" s="38">
        <v>0.58399999999999996</v>
      </c>
      <c r="AD40" s="38"/>
      <c r="AE40" s="34">
        <f t="shared" si="7"/>
        <v>0.58399999999999996</v>
      </c>
      <c r="AF40" s="34">
        <f t="shared" si="8"/>
        <v>3.7698631218565079E-2</v>
      </c>
      <c r="AG40" s="35" t="str">
        <f t="shared" si="1"/>
        <v/>
      </c>
      <c r="AH40" s="36">
        <f t="shared" si="2"/>
        <v>0.98482293423271494</v>
      </c>
    </row>
    <row r="41" spans="1:34" ht="1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29">
        <f t="shared" si="3"/>
        <v>28</v>
      </c>
      <c r="Q41" s="30" t="s">
        <v>109</v>
      </c>
      <c r="R41" s="31">
        <v>45793</v>
      </c>
      <c r="S41" s="68"/>
      <c r="T41" s="39">
        <v>10.69</v>
      </c>
      <c r="U41" s="38">
        <v>10.705</v>
      </c>
      <c r="V41" s="74"/>
      <c r="W41" s="34">
        <f t="shared" si="4"/>
        <v>10.705</v>
      </c>
      <c r="X41" s="34">
        <f t="shared" si="0"/>
        <v>6.5751158858765743E-2</v>
      </c>
      <c r="Y41" s="35" t="str">
        <f t="shared" si="5"/>
        <v/>
      </c>
      <c r="Z41" s="36">
        <f t="shared" si="6"/>
        <v>1.0014031805425632</v>
      </c>
      <c r="AA41" s="6"/>
      <c r="AB41" s="37">
        <v>0.59299999999999997</v>
      </c>
      <c r="AC41" s="38">
        <v>0.72699999999999998</v>
      </c>
      <c r="AD41" s="38"/>
      <c r="AE41" s="34">
        <f t="shared" si="7"/>
        <v>0.72699999999999998</v>
      </c>
      <c r="AF41" s="34">
        <f t="shared" si="8"/>
        <v>2.5014416029129114</v>
      </c>
      <c r="AG41" s="35">
        <f t="shared" si="1"/>
        <v>0.72699999999999998</v>
      </c>
      <c r="AH41" s="36">
        <f t="shared" si="2"/>
        <v>1.2259696458684655</v>
      </c>
    </row>
    <row r="42" spans="1:34" ht="1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29">
        <f t="shared" si="3"/>
        <v>29</v>
      </c>
      <c r="Q42" s="30" t="s">
        <v>108</v>
      </c>
      <c r="R42" s="31">
        <v>45804</v>
      </c>
      <c r="S42" s="68"/>
      <c r="T42" s="39">
        <v>10.69</v>
      </c>
      <c r="U42" s="38">
        <v>10.327</v>
      </c>
      <c r="V42" s="74"/>
      <c r="W42" s="34">
        <f t="shared" si="4"/>
        <v>10.327</v>
      </c>
      <c r="X42" s="34">
        <f t="shared" si="0"/>
        <v>0.35743959265923408</v>
      </c>
      <c r="Y42" s="35" t="str">
        <f t="shared" si="5"/>
        <v/>
      </c>
      <c r="Z42" s="36">
        <f t="shared" si="6"/>
        <v>0.96604303086997201</v>
      </c>
      <c r="AA42" s="6"/>
      <c r="AB42" s="37">
        <v>0.59299999999999997</v>
      </c>
      <c r="AC42" s="38">
        <v>0.48699999999999999</v>
      </c>
      <c r="AD42" s="38"/>
      <c r="AE42" s="34">
        <f t="shared" si="7"/>
        <v>0.48699999999999999</v>
      </c>
      <c r="AF42" s="34">
        <f t="shared" si="8"/>
        <v>1.6335116362943825</v>
      </c>
      <c r="AG42" s="35" t="str">
        <f t="shared" si="1"/>
        <v/>
      </c>
      <c r="AH42" s="36">
        <f t="shared" si="2"/>
        <v>0.82124789207419902</v>
      </c>
    </row>
    <row r="43" spans="1:34" ht="1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29">
        <f t="shared" si="3"/>
        <v>30</v>
      </c>
      <c r="Q43" s="30" t="s">
        <v>108</v>
      </c>
      <c r="R43" s="31">
        <v>45804</v>
      </c>
      <c r="S43" s="68"/>
      <c r="T43" s="39">
        <v>10.69</v>
      </c>
      <c r="U43" s="38">
        <v>10.904</v>
      </c>
      <c r="V43" s="74"/>
      <c r="W43" s="34">
        <f t="shared" si="4"/>
        <v>10.904</v>
      </c>
      <c r="X43" s="34">
        <f t="shared" si="0"/>
        <v>8.7809683274284858E-2</v>
      </c>
      <c r="Y43" s="35" t="str">
        <f t="shared" si="5"/>
        <v/>
      </c>
      <c r="Z43" s="36">
        <f t="shared" si="6"/>
        <v>1.0200187090739008</v>
      </c>
      <c r="AA43" s="6"/>
      <c r="AB43" s="37">
        <v>0.59299999999999997</v>
      </c>
      <c r="AC43" s="38">
        <v>0.52500000000000002</v>
      </c>
      <c r="AD43" s="38"/>
      <c r="AE43" s="34">
        <f t="shared" si="7"/>
        <v>0.52500000000000002</v>
      </c>
      <c r="AF43" s="34">
        <f t="shared" si="8"/>
        <v>0.97881070675322701</v>
      </c>
      <c r="AG43" s="35" t="str">
        <f t="shared" si="1"/>
        <v/>
      </c>
      <c r="AH43" s="36">
        <f t="shared" si="2"/>
        <v>0.88532883642495797</v>
      </c>
    </row>
    <row r="44" spans="1:34" ht="1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29">
        <f t="shared" si="3"/>
        <v>31</v>
      </c>
      <c r="Q44" s="30" t="s">
        <v>108</v>
      </c>
      <c r="R44" s="31">
        <v>45825</v>
      </c>
      <c r="S44" s="68"/>
      <c r="T44" s="39">
        <v>10.69</v>
      </c>
      <c r="U44" s="38">
        <v>10.413</v>
      </c>
      <c r="V44" s="74"/>
      <c r="W44" s="34">
        <f t="shared" si="4"/>
        <v>10.413</v>
      </c>
      <c r="X44" s="34">
        <f t="shared" si="0"/>
        <v>0.29107661565701087</v>
      </c>
      <c r="Y44" s="35" t="str">
        <f t="shared" si="5"/>
        <v/>
      </c>
      <c r="Z44" s="36">
        <f t="shared" si="6"/>
        <v>0.97408793264733406</v>
      </c>
      <c r="AA44" s="6"/>
      <c r="AB44" s="37">
        <v>0.59299999999999997</v>
      </c>
      <c r="AC44" s="38">
        <v>0.54600000000000004</v>
      </c>
      <c r="AD44" s="38"/>
      <c r="AE44" s="34">
        <f t="shared" si="7"/>
        <v>0.54600000000000004</v>
      </c>
      <c r="AF44" s="34">
        <f t="shared" si="8"/>
        <v>0.61700229832258846</v>
      </c>
      <c r="AG44" s="35" t="str">
        <f t="shared" si="1"/>
        <v/>
      </c>
      <c r="AH44" s="36">
        <f t="shared" si="2"/>
        <v>0.92074198988195621</v>
      </c>
    </row>
    <row r="45" spans="1:34" ht="1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29">
        <f t="shared" si="3"/>
        <v>32</v>
      </c>
      <c r="Q45" s="30" t="s">
        <v>108</v>
      </c>
      <c r="R45" s="31">
        <v>45825</v>
      </c>
      <c r="S45" s="68"/>
      <c r="T45" s="39">
        <v>10.69</v>
      </c>
      <c r="U45" s="38">
        <v>9.0489999999999995</v>
      </c>
      <c r="V45" s="74"/>
      <c r="W45" s="34">
        <f t="shared" si="4"/>
        <v>9.0489999999999995</v>
      </c>
      <c r="X45" s="34">
        <f t="shared" si="0"/>
        <v>1.3436242974131984</v>
      </c>
      <c r="Y45" s="35" t="str">
        <f t="shared" si="5"/>
        <v/>
      </c>
      <c r="Z45" s="36">
        <f t="shared" si="6"/>
        <v>0.84649204864359218</v>
      </c>
      <c r="AA45" s="6"/>
      <c r="AB45" s="37">
        <v>0.59299999999999997</v>
      </c>
      <c r="AC45" s="38">
        <v>0.53600000000000003</v>
      </c>
      <c r="AD45" s="38"/>
      <c r="AE45" s="34">
        <f t="shared" si="7"/>
        <v>0.53600000000000003</v>
      </c>
      <c r="AF45" s="34">
        <f t="shared" si="8"/>
        <v>0.7892920166228925</v>
      </c>
      <c r="AG45" s="35" t="str">
        <f t="shared" si="1"/>
        <v/>
      </c>
      <c r="AH45" s="36">
        <f t="shared" si="2"/>
        <v>0.90387858347386185</v>
      </c>
    </row>
    <row r="46" spans="1:34" ht="1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29">
        <f t="shared" si="3"/>
        <v>33</v>
      </c>
      <c r="Q46" s="30" t="s">
        <v>108</v>
      </c>
      <c r="R46" s="31">
        <v>45825</v>
      </c>
      <c r="S46" s="68"/>
      <c r="T46" s="39">
        <v>10.69</v>
      </c>
      <c r="U46" s="38">
        <v>9.9819999999999993</v>
      </c>
      <c r="V46" s="74"/>
      <c r="W46" s="34">
        <f t="shared" si="4"/>
        <v>9.9819999999999993</v>
      </c>
      <c r="X46" s="34">
        <f t="shared" si="0"/>
        <v>0.62366316319140791</v>
      </c>
      <c r="Y46" s="35" t="str">
        <f t="shared" si="5"/>
        <v/>
      </c>
      <c r="Z46" s="36">
        <f t="shared" si="6"/>
        <v>0.93376987839101966</v>
      </c>
      <c r="AA46" s="6"/>
      <c r="AB46" s="37">
        <v>0.59299999999999997</v>
      </c>
      <c r="AC46" s="38">
        <v>0.57299999999999995</v>
      </c>
      <c r="AD46" s="38"/>
      <c r="AE46" s="34">
        <f t="shared" si="7"/>
        <v>0.57299999999999995</v>
      </c>
      <c r="AF46" s="34">
        <f t="shared" si="8"/>
        <v>0.15182005891176939</v>
      </c>
      <c r="AG46" s="35" t="str">
        <f t="shared" si="1"/>
        <v/>
      </c>
      <c r="AH46" s="36">
        <f t="shared" si="2"/>
        <v>0.96627318718381106</v>
      </c>
    </row>
    <row r="47" spans="1:34" ht="1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29">
        <f t="shared" si="3"/>
        <v>34</v>
      </c>
      <c r="Q47" s="30" t="s">
        <v>108</v>
      </c>
      <c r="R47" s="31">
        <v>45825</v>
      </c>
      <c r="S47" s="68"/>
      <c r="T47" s="39">
        <v>10.69</v>
      </c>
      <c r="U47" s="38">
        <v>11.44</v>
      </c>
      <c r="V47" s="74"/>
      <c r="W47" s="34">
        <f t="shared" si="4"/>
        <v>11.44</v>
      </c>
      <c r="X47" s="34">
        <f t="shared" si="0"/>
        <v>0.50142079575325538</v>
      </c>
      <c r="Y47" s="35" t="str">
        <f t="shared" si="5"/>
        <v/>
      </c>
      <c r="Z47" s="36">
        <f t="shared" si="6"/>
        <v>1.0701590271281571</v>
      </c>
      <c r="AA47" s="6"/>
      <c r="AB47" s="37">
        <v>0.59299999999999997</v>
      </c>
      <c r="AC47" s="38">
        <v>0.57899999999999996</v>
      </c>
      <c r="AD47" s="38"/>
      <c r="AE47" s="34">
        <f t="shared" si="7"/>
        <v>0.57899999999999996</v>
      </c>
      <c r="AF47" s="34">
        <f t="shared" si="8"/>
        <v>4.8446227931586955E-2</v>
      </c>
      <c r="AG47" s="35" t="str">
        <f t="shared" si="1"/>
        <v/>
      </c>
      <c r="AH47" s="36">
        <f t="shared" si="2"/>
        <v>0.97639123102866776</v>
      </c>
    </row>
    <row r="48" spans="1:34" ht="1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29">
        <f t="shared" si="3"/>
        <v>35</v>
      </c>
      <c r="Q48" s="30" t="s">
        <v>106</v>
      </c>
      <c r="R48" s="31">
        <v>45860</v>
      </c>
      <c r="S48" s="68"/>
      <c r="T48" s="39">
        <v>10.69</v>
      </c>
      <c r="U48" s="38">
        <v>13.002000000000001</v>
      </c>
      <c r="V48" s="74"/>
      <c r="W48" s="34">
        <f t="shared" si="4"/>
        <v>13.002000000000001</v>
      </c>
      <c r="X48" s="34">
        <f t="shared" si="0"/>
        <v>1.7067576571192122</v>
      </c>
      <c r="Y48" s="35">
        <f t="shared" si="5"/>
        <v>13.002000000000001</v>
      </c>
      <c r="Z48" s="36">
        <f t="shared" si="6"/>
        <v>1.2162768942937325</v>
      </c>
      <c r="AA48" s="6"/>
      <c r="AB48" s="37">
        <v>0.59299999999999997</v>
      </c>
      <c r="AC48" s="38">
        <v>0.56399999999999995</v>
      </c>
      <c r="AD48" s="38"/>
      <c r="AE48" s="34">
        <f t="shared" si="7"/>
        <v>0.56399999999999995</v>
      </c>
      <c r="AF48" s="34">
        <f t="shared" si="8"/>
        <v>0.30688080538204304</v>
      </c>
      <c r="AG48" s="35" t="str">
        <f t="shared" si="1"/>
        <v/>
      </c>
      <c r="AH48" s="36">
        <f t="shared" si="2"/>
        <v>0.95109612141652611</v>
      </c>
    </row>
    <row r="49" spans="1:34" ht="1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29">
        <f t="shared" si="3"/>
        <v>36</v>
      </c>
      <c r="Q49" s="30" t="s">
        <v>106</v>
      </c>
      <c r="R49" s="31">
        <v>45860</v>
      </c>
      <c r="S49" s="68"/>
      <c r="T49" s="39">
        <v>10.69</v>
      </c>
      <c r="U49" s="38">
        <v>11.887</v>
      </c>
      <c r="V49" s="74"/>
      <c r="W49" s="34">
        <f t="shared" si="4"/>
        <v>11.887</v>
      </c>
      <c r="X49" s="34">
        <f t="shared" si="0"/>
        <v>0.84635394366015904</v>
      </c>
      <c r="Y49" s="35" t="str">
        <f t="shared" si="5"/>
        <v/>
      </c>
      <c r="Z49" s="36">
        <f t="shared" si="6"/>
        <v>1.1119738072965388</v>
      </c>
      <c r="AA49" s="6"/>
      <c r="AB49" s="37">
        <v>0.59299999999999997</v>
      </c>
      <c r="AC49" s="38">
        <v>0.67</v>
      </c>
      <c r="AD49" s="38"/>
      <c r="AE49" s="34">
        <f t="shared" si="7"/>
        <v>0.67</v>
      </c>
      <c r="AF49" s="34">
        <f t="shared" si="8"/>
        <v>1.5193902086011799</v>
      </c>
      <c r="AG49" s="35" t="str">
        <f t="shared" si="1"/>
        <v/>
      </c>
      <c r="AH49" s="36">
        <f t="shared" si="2"/>
        <v>1.1298482293423273</v>
      </c>
    </row>
    <row r="50" spans="1:34" ht="1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29">
        <f t="shared" si="3"/>
        <v>37</v>
      </c>
      <c r="Q50" s="30" t="s">
        <v>106</v>
      </c>
      <c r="R50" s="31">
        <v>45912</v>
      </c>
      <c r="S50" s="68"/>
      <c r="T50" s="39">
        <v>10.69</v>
      </c>
      <c r="U50" s="38">
        <v>11.95</v>
      </c>
      <c r="V50" s="74"/>
      <c r="W50" s="34">
        <f t="shared" si="4"/>
        <v>11.95</v>
      </c>
      <c r="X50" s="34">
        <f t="shared" si="0"/>
        <v>0.89496868262690277</v>
      </c>
      <c r="Y50" s="35" t="str">
        <f t="shared" si="5"/>
        <v/>
      </c>
      <c r="Z50" s="36">
        <f t="shared" si="6"/>
        <v>1.1178671655753041</v>
      </c>
      <c r="AA50" s="6"/>
      <c r="AB50" s="37">
        <v>0.59299999999999997</v>
      </c>
      <c r="AC50" s="38">
        <v>0.55000000000000004</v>
      </c>
      <c r="AD50" s="38"/>
      <c r="AE50" s="34">
        <f t="shared" si="7"/>
        <v>0.55000000000000004</v>
      </c>
      <c r="AF50" s="34">
        <f t="shared" si="8"/>
        <v>0.5480864110024668</v>
      </c>
      <c r="AG50" s="35" t="str">
        <f t="shared" si="1"/>
        <v/>
      </c>
      <c r="AH50" s="36">
        <f t="shared" si="2"/>
        <v>0.92748735244519409</v>
      </c>
    </row>
    <row r="51" spans="1:34" ht="1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29">
        <f t="shared" si="3"/>
        <v>38</v>
      </c>
      <c r="Q51" s="30" t="s">
        <v>106</v>
      </c>
      <c r="R51" s="31">
        <v>46044</v>
      </c>
      <c r="S51" s="68"/>
      <c r="T51" s="39">
        <v>10.69</v>
      </c>
      <c r="U51" s="38">
        <v>10.99</v>
      </c>
      <c r="V51" s="74"/>
      <c r="W51" s="34">
        <f t="shared" si="4"/>
        <v>10.99</v>
      </c>
      <c r="X51" s="34">
        <f t="shared" si="0"/>
        <v>0.15417266027650803</v>
      </c>
      <c r="Y51" s="35" t="str">
        <f t="shared" si="5"/>
        <v/>
      </c>
      <c r="Z51" s="36">
        <f t="shared" si="6"/>
        <v>1.0280636108512629</v>
      </c>
      <c r="AA51" s="6"/>
      <c r="AB51" s="37">
        <v>0.59299999999999997</v>
      </c>
      <c r="AC51" s="38">
        <v>0.51300000000000001</v>
      </c>
      <c r="AD51" s="38"/>
      <c r="AE51" s="34">
        <f t="shared" ref="AE51:AE54" si="9">IF(AF51&gt;3,"FALSE",AC51)</f>
        <v>0.51300000000000001</v>
      </c>
      <c r="AF51" s="34">
        <f t="shared" ref="AF51:AF52" si="10">IF(AC51="","FALSE",ABS((AC51-AVERAGE($AC$14:$AC$120))/_xlfn.STDEV.S($AC$14:$AC$104)))</f>
        <v>1.1855583687135918</v>
      </c>
      <c r="AG51" s="35" t="str">
        <f t="shared" si="1"/>
        <v/>
      </c>
      <c r="AH51" s="36">
        <f t="shared" si="2"/>
        <v>0.86509274873524455</v>
      </c>
    </row>
    <row r="52" spans="1:34" ht="1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29">
        <f t="shared" si="3"/>
        <v>39</v>
      </c>
      <c r="Q52" s="30" t="s">
        <v>106</v>
      </c>
      <c r="R52" s="31">
        <v>46044</v>
      </c>
      <c r="S52" s="68"/>
      <c r="T52" s="39">
        <v>10.69</v>
      </c>
      <c r="U52" s="38">
        <v>13.22</v>
      </c>
      <c r="V52" s="74"/>
      <c r="W52" s="34">
        <f t="shared" si="4"/>
        <v>13.22</v>
      </c>
      <c r="X52" s="34">
        <f t="shared" si="0"/>
        <v>1.8749800871946145</v>
      </c>
      <c r="Y52" s="35">
        <f t="shared" si="5"/>
        <v>13.22</v>
      </c>
      <c r="Z52" s="36">
        <f t="shared" si="6"/>
        <v>1.2366697848456503</v>
      </c>
      <c r="AA52" s="6"/>
      <c r="AB52" s="37">
        <v>0.59299999999999997</v>
      </c>
      <c r="AC52" s="38">
        <v>0.52600000000000002</v>
      </c>
      <c r="AD52" s="38"/>
      <c r="AE52" s="34">
        <f t="shared" si="9"/>
        <v>0.52600000000000002</v>
      </c>
      <c r="AF52" s="34">
        <f t="shared" si="10"/>
        <v>0.96158173492319654</v>
      </c>
      <c r="AG52" s="35" t="str">
        <f t="shared" si="1"/>
        <v/>
      </c>
      <c r="AH52" s="36">
        <f t="shared" si="2"/>
        <v>0.88701517706576738</v>
      </c>
    </row>
    <row r="53" spans="1:34" ht="1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29">
        <f t="shared" si="3"/>
        <v>40</v>
      </c>
      <c r="Q53" s="30" t="s">
        <v>106</v>
      </c>
      <c r="R53" s="31">
        <v>46048</v>
      </c>
      <c r="S53" s="68"/>
      <c r="T53" s="39">
        <v>10.69</v>
      </c>
      <c r="U53" s="38">
        <v>11.17</v>
      </c>
      <c r="V53" s="74"/>
      <c r="W53" s="34">
        <f t="shared" si="4"/>
        <v>11.17</v>
      </c>
      <c r="X53" s="34">
        <f t="shared" si="0"/>
        <v>0.29307191446720693</v>
      </c>
      <c r="Y53" s="35" t="str">
        <f t="shared" si="5"/>
        <v/>
      </c>
      <c r="Z53" s="36">
        <f t="shared" si="6"/>
        <v>1.0449017773620206</v>
      </c>
      <c r="AA53" s="6"/>
      <c r="AB53" s="37">
        <v>0.59299999999999997</v>
      </c>
      <c r="AC53" s="38">
        <v>0.60099999999999998</v>
      </c>
      <c r="AD53" s="38"/>
      <c r="AE53" s="34">
        <f t="shared" si="9"/>
        <v>0.60099999999999998</v>
      </c>
      <c r="AF53" s="34">
        <f t="shared" si="8"/>
        <v>0.33059115232908198</v>
      </c>
      <c r="AG53" s="35" t="str">
        <f t="shared" si="1"/>
        <v/>
      </c>
      <c r="AH53" s="36">
        <f t="shared" si="2"/>
        <v>1.0134907251264755</v>
      </c>
    </row>
    <row r="54" spans="1:34" ht="1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29">
        <f t="shared" si="3"/>
        <v>41</v>
      </c>
      <c r="Q54" s="30" t="s">
        <v>106</v>
      </c>
      <c r="R54" s="31">
        <v>46048</v>
      </c>
      <c r="S54" s="68"/>
      <c r="T54" s="39">
        <v>10.69</v>
      </c>
      <c r="U54" s="38">
        <v>10.49</v>
      </c>
      <c r="V54" s="74"/>
      <c r="W54" s="34">
        <f t="shared" si="4"/>
        <v>10.49</v>
      </c>
      <c r="X54" s="34">
        <f t="shared" si="0"/>
        <v>0.23165860136432295</v>
      </c>
      <c r="Y54" s="35" t="str">
        <f t="shared" si="5"/>
        <v/>
      </c>
      <c r="Z54" s="36">
        <f t="shared" si="6"/>
        <v>0.98129092609915813</v>
      </c>
      <c r="AA54" s="6"/>
      <c r="AB54" s="37">
        <v>0.59299999999999997</v>
      </c>
      <c r="AC54" s="38">
        <v>0.66300000000000003</v>
      </c>
      <c r="AD54" s="38"/>
      <c r="AE54" s="34">
        <f t="shared" si="9"/>
        <v>0.66300000000000003</v>
      </c>
      <c r="AF54" s="34">
        <f t="shared" si="8"/>
        <v>1.3987874057909671</v>
      </c>
      <c r="AG54" s="35" t="str">
        <f t="shared" si="1"/>
        <v/>
      </c>
      <c r="AH54" s="36">
        <f t="shared" si="2"/>
        <v>1.1180438448566612</v>
      </c>
    </row>
    <row r="55" spans="1:34" ht="1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29">
        <f t="shared" si="3"/>
        <v>42</v>
      </c>
      <c r="Q55" s="30" t="s">
        <v>106</v>
      </c>
      <c r="R55" s="31">
        <v>46065</v>
      </c>
      <c r="S55" s="68"/>
      <c r="T55" s="39">
        <v>10.69</v>
      </c>
      <c r="U55" s="38">
        <v>9.75</v>
      </c>
      <c r="V55" s="74"/>
      <c r="W55" s="34">
        <f t="shared" si="4"/>
        <v>9.75</v>
      </c>
      <c r="X55" s="34">
        <f t="shared" si="0"/>
        <v>0.80268886859275301</v>
      </c>
      <c r="Y55" s="35" t="str">
        <f t="shared" si="5"/>
        <v/>
      </c>
      <c r="Z55" s="36">
        <f t="shared" si="6"/>
        <v>0.91206735266604311</v>
      </c>
      <c r="AA55" s="6"/>
      <c r="AB55" s="37">
        <v>0.59299999999999997</v>
      </c>
      <c r="AC55" s="38">
        <v>0.66300000000000003</v>
      </c>
      <c r="AD55" s="38"/>
      <c r="AE55" s="34"/>
      <c r="AF55" s="34">
        <f t="shared" si="8"/>
        <v>1.3987874057909671</v>
      </c>
      <c r="AG55" s="35" t="str">
        <f t="shared" si="1"/>
        <v/>
      </c>
      <c r="AH55" s="36">
        <f t="shared" si="2"/>
        <v>1.1180438448566612</v>
      </c>
    </row>
    <row r="56" spans="1:34" ht="1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29">
        <f t="shared" si="3"/>
        <v>43</v>
      </c>
      <c r="Q56" s="30" t="s">
        <v>106</v>
      </c>
      <c r="R56" s="31">
        <v>46132</v>
      </c>
      <c r="S56" s="68"/>
      <c r="T56" s="39">
        <v>10.69</v>
      </c>
      <c r="U56" s="38"/>
      <c r="V56" s="74"/>
      <c r="W56" s="34" t="str">
        <f t="shared" si="4"/>
        <v>FALSE</v>
      </c>
      <c r="X56" s="34" t="str">
        <f t="shared" si="0"/>
        <v>FALSE</v>
      </c>
      <c r="Y56" s="35">
        <f t="shared" si="5"/>
        <v>0</v>
      </c>
      <c r="Z56" s="36" t="str">
        <f t="shared" si="6"/>
        <v/>
      </c>
      <c r="AA56" s="6"/>
      <c r="AB56" s="37">
        <v>0.59299999999999997</v>
      </c>
      <c r="AC56" s="38"/>
      <c r="AD56" s="38"/>
      <c r="AE56" s="34"/>
      <c r="AF56" s="34" t="str">
        <f t="shared" si="8"/>
        <v>FALSE</v>
      </c>
      <c r="AG56" s="35">
        <f t="shared" si="1"/>
        <v>0</v>
      </c>
      <c r="AH56" s="36" t="str">
        <f t="shared" si="2"/>
        <v/>
      </c>
    </row>
    <row r="57" spans="1:34" ht="14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29" t="str">
        <f t="shared" si="3"/>
        <v/>
      </c>
      <c r="Q57" s="30" t="s">
        <v>106</v>
      </c>
      <c r="R57" s="31"/>
      <c r="S57" s="68"/>
      <c r="T57" s="39">
        <v>10.69</v>
      </c>
      <c r="U57" s="38"/>
      <c r="V57" s="74"/>
      <c r="W57" s="34" t="str">
        <f t="shared" si="4"/>
        <v>FALSE</v>
      </c>
      <c r="X57" s="34" t="str">
        <f t="shared" si="0"/>
        <v>FALSE</v>
      </c>
      <c r="Y57" s="35">
        <f t="shared" si="5"/>
        <v>0</v>
      </c>
      <c r="Z57" s="36" t="str">
        <f t="shared" si="6"/>
        <v/>
      </c>
      <c r="AA57" s="42"/>
      <c r="AB57" s="37">
        <v>0.59299999999999997</v>
      </c>
      <c r="AC57" s="38"/>
      <c r="AD57" s="38"/>
      <c r="AE57" s="34"/>
      <c r="AF57" s="34" t="str">
        <f t="shared" si="8"/>
        <v>FALSE</v>
      </c>
      <c r="AG57" s="35">
        <f t="shared" si="1"/>
        <v>0</v>
      </c>
      <c r="AH57" s="36" t="str">
        <f t="shared" si="2"/>
        <v/>
      </c>
    </row>
    <row r="58" spans="1:34" ht="1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29" t="str">
        <f t="shared" si="3"/>
        <v/>
      </c>
      <c r="Q58" s="30"/>
      <c r="R58" s="31"/>
      <c r="S58" s="68"/>
      <c r="T58" s="39">
        <v>10.69</v>
      </c>
      <c r="U58" s="38"/>
      <c r="V58" s="74"/>
      <c r="W58" s="34" t="str">
        <f t="shared" si="4"/>
        <v>FALSE</v>
      </c>
      <c r="X58" s="34" t="str">
        <f t="shared" si="0"/>
        <v>FALSE</v>
      </c>
      <c r="Y58" s="35">
        <f t="shared" si="5"/>
        <v>0</v>
      </c>
      <c r="Z58" s="36" t="str">
        <f t="shared" si="6"/>
        <v/>
      </c>
      <c r="AA58" s="6"/>
      <c r="AB58" s="37">
        <v>0.59299999999999997</v>
      </c>
      <c r="AC58" s="38"/>
      <c r="AD58" s="38"/>
      <c r="AE58" s="34"/>
      <c r="AF58" s="34" t="str">
        <f t="shared" si="8"/>
        <v>FALSE</v>
      </c>
      <c r="AG58" s="35">
        <f t="shared" si="1"/>
        <v>0</v>
      </c>
      <c r="AH58" s="36" t="str">
        <f t="shared" si="2"/>
        <v/>
      </c>
    </row>
    <row r="59" spans="1:34" ht="1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29" t="str">
        <f t="shared" si="3"/>
        <v/>
      </c>
      <c r="Q59" s="30"/>
      <c r="R59" s="31"/>
      <c r="S59" s="68"/>
      <c r="T59" s="39">
        <v>10.69</v>
      </c>
      <c r="U59" s="38"/>
      <c r="V59" s="74"/>
      <c r="W59" s="34" t="str">
        <f t="shared" si="4"/>
        <v>FALSE</v>
      </c>
      <c r="X59" s="34" t="str">
        <f t="shared" si="0"/>
        <v>FALSE</v>
      </c>
      <c r="Y59" s="35">
        <f t="shared" si="5"/>
        <v>0</v>
      </c>
      <c r="Z59" s="36" t="str">
        <f t="shared" si="6"/>
        <v/>
      </c>
      <c r="AA59" s="6"/>
      <c r="AB59" s="37">
        <v>0.59299999999999997</v>
      </c>
      <c r="AC59" s="38"/>
      <c r="AD59" s="38"/>
      <c r="AE59" s="34"/>
      <c r="AF59" s="34" t="str">
        <f t="shared" si="8"/>
        <v>FALSE</v>
      </c>
      <c r="AG59" s="35">
        <f t="shared" si="1"/>
        <v>0</v>
      </c>
      <c r="AH59" s="36" t="str">
        <f t="shared" si="2"/>
        <v/>
      </c>
    </row>
    <row r="60" spans="1:34" ht="1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29" t="str">
        <f t="shared" si="3"/>
        <v/>
      </c>
      <c r="Q60" s="30"/>
      <c r="R60" s="31"/>
      <c r="S60" s="68"/>
      <c r="T60" s="40"/>
      <c r="U60" s="38"/>
      <c r="V60" s="74"/>
      <c r="W60" s="34" t="str">
        <f t="shared" si="4"/>
        <v>FALSE</v>
      </c>
      <c r="X60" s="34" t="str">
        <f t="shared" si="0"/>
        <v>FALSE</v>
      </c>
      <c r="Y60" s="35">
        <f t="shared" si="5"/>
        <v>0</v>
      </c>
      <c r="Z60" s="36" t="str">
        <f t="shared" si="6"/>
        <v/>
      </c>
      <c r="AA60" s="6"/>
      <c r="AB60" s="41"/>
      <c r="AC60" s="38"/>
      <c r="AD60" s="38"/>
      <c r="AE60" s="34"/>
      <c r="AF60" s="34" t="str">
        <f t="shared" si="8"/>
        <v>FALSE</v>
      </c>
      <c r="AG60" s="35">
        <f t="shared" si="1"/>
        <v>0</v>
      </c>
      <c r="AH60" s="36" t="str">
        <f t="shared" si="2"/>
        <v/>
      </c>
    </row>
    <row r="61" spans="1:34" ht="1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29" t="str">
        <f t="shared" si="3"/>
        <v/>
      </c>
      <c r="Q61" s="30"/>
      <c r="R61" s="31"/>
      <c r="S61" s="68"/>
      <c r="T61" s="40"/>
      <c r="U61" s="38"/>
      <c r="V61" s="74"/>
      <c r="W61" s="34" t="str">
        <f t="shared" si="4"/>
        <v>FALSE</v>
      </c>
      <c r="X61" s="34" t="str">
        <f t="shared" si="0"/>
        <v>FALSE</v>
      </c>
      <c r="Y61" s="35">
        <f t="shared" si="5"/>
        <v>0</v>
      </c>
      <c r="Z61" s="36" t="str">
        <f t="shared" si="6"/>
        <v/>
      </c>
      <c r="AA61" s="6"/>
      <c r="AB61" s="41"/>
      <c r="AC61" s="38"/>
      <c r="AD61" s="38"/>
      <c r="AE61" s="34"/>
      <c r="AF61" s="34" t="str">
        <f t="shared" si="8"/>
        <v>FALSE</v>
      </c>
      <c r="AG61" s="35">
        <f t="shared" si="1"/>
        <v>0</v>
      </c>
      <c r="AH61" s="36" t="str">
        <f t="shared" si="2"/>
        <v/>
      </c>
    </row>
    <row r="62" spans="1:34" ht="1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29" t="str">
        <f t="shared" si="3"/>
        <v/>
      </c>
      <c r="Q62" s="30"/>
      <c r="R62" s="31"/>
      <c r="S62" s="68"/>
      <c r="T62" s="40"/>
      <c r="U62" s="38"/>
      <c r="V62" s="74"/>
      <c r="W62" s="34" t="str">
        <f t="shared" si="4"/>
        <v>FALSE</v>
      </c>
      <c r="X62" s="34" t="str">
        <f t="shared" si="0"/>
        <v>FALSE</v>
      </c>
      <c r="Y62" s="35">
        <f t="shared" si="5"/>
        <v>0</v>
      </c>
      <c r="Z62" s="36" t="str">
        <f t="shared" si="6"/>
        <v/>
      </c>
      <c r="AA62" s="6"/>
      <c r="AB62" s="41"/>
      <c r="AC62" s="38"/>
      <c r="AD62" s="38"/>
      <c r="AE62" s="34"/>
      <c r="AF62" s="34" t="str">
        <f t="shared" si="8"/>
        <v>FALSE</v>
      </c>
      <c r="AG62" s="35">
        <f t="shared" si="1"/>
        <v>0</v>
      </c>
      <c r="AH62" s="36" t="str">
        <f t="shared" si="2"/>
        <v/>
      </c>
    </row>
    <row r="63" spans="1:34" ht="1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29" t="str">
        <f t="shared" si="3"/>
        <v/>
      </c>
      <c r="Q63" s="30"/>
      <c r="R63" s="31"/>
      <c r="S63" s="68"/>
      <c r="T63" s="40"/>
      <c r="U63" s="38"/>
      <c r="V63" s="74"/>
      <c r="W63" s="34" t="str">
        <f t="shared" si="4"/>
        <v>FALSE</v>
      </c>
      <c r="X63" s="34" t="str">
        <f t="shared" si="0"/>
        <v>FALSE</v>
      </c>
      <c r="Y63" s="35">
        <f t="shared" si="5"/>
        <v>0</v>
      </c>
      <c r="Z63" s="36" t="str">
        <f t="shared" si="6"/>
        <v/>
      </c>
      <c r="AA63" s="6"/>
      <c r="AB63" s="41"/>
      <c r="AC63" s="38"/>
      <c r="AD63" s="38"/>
      <c r="AE63" s="34"/>
      <c r="AF63" s="34" t="str">
        <f t="shared" si="8"/>
        <v>FALSE</v>
      </c>
      <c r="AG63" s="35">
        <f t="shared" si="1"/>
        <v>0</v>
      </c>
      <c r="AH63" s="36" t="str">
        <f t="shared" si="2"/>
        <v/>
      </c>
    </row>
    <row r="64" spans="1:34" ht="1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29" t="str">
        <f t="shared" si="3"/>
        <v/>
      </c>
      <c r="Q64" s="30"/>
      <c r="R64" s="31"/>
      <c r="S64" s="68"/>
      <c r="T64" s="40"/>
      <c r="U64" s="38"/>
      <c r="V64" s="74"/>
      <c r="W64" s="34" t="str">
        <f t="shared" si="4"/>
        <v>FALSE</v>
      </c>
      <c r="X64" s="34" t="str">
        <f t="shared" si="0"/>
        <v>FALSE</v>
      </c>
      <c r="Y64" s="35">
        <f t="shared" si="5"/>
        <v>0</v>
      </c>
      <c r="Z64" s="36" t="str">
        <f t="shared" si="6"/>
        <v/>
      </c>
      <c r="AA64" s="6"/>
      <c r="AB64" s="41"/>
      <c r="AC64" s="38"/>
      <c r="AD64" s="38"/>
      <c r="AE64" s="34"/>
      <c r="AF64" s="34" t="str">
        <f t="shared" si="8"/>
        <v>FALSE</v>
      </c>
      <c r="AG64" s="35">
        <f t="shared" si="1"/>
        <v>0</v>
      </c>
      <c r="AH64" s="36" t="str">
        <f t="shared" si="2"/>
        <v/>
      </c>
    </row>
    <row r="65" spans="1:34" ht="1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29" t="str">
        <f t="shared" si="3"/>
        <v/>
      </c>
      <c r="Q65" s="30"/>
      <c r="R65" s="31"/>
      <c r="S65" s="68"/>
      <c r="T65" s="40"/>
      <c r="U65" s="38"/>
      <c r="V65" s="74"/>
      <c r="W65" s="34" t="str">
        <f t="shared" si="4"/>
        <v>FALSE</v>
      </c>
      <c r="X65" s="34" t="str">
        <f t="shared" si="0"/>
        <v>FALSE</v>
      </c>
      <c r="Y65" s="35">
        <f t="shared" si="5"/>
        <v>0</v>
      </c>
      <c r="Z65" s="36" t="str">
        <f t="shared" si="6"/>
        <v/>
      </c>
      <c r="AA65" s="6"/>
      <c r="AB65" s="41"/>
      <c r="AC65" s="38"/>
      <c r="AD65" s="38"/>
      <c r="AE65" s="34"/>
      <c r="AF65" s="34" t="str">
        <f t="shared" si="8"/>
        <v>FALSE</v>
      </c>
      <c r="AG65" s="35">
        <f t="shared" si="1"/>
        <v>0</v>
      </c>
      <c r="AH65" s="36" t="str">
        <f t="shared" si="2"/>
        <v/>
      </c>
    </row>
    <row r="66" spans="1:34" ht="1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29" t="str">
        <f t="shared" si="3"/>
        <v/>
      </c>
      <c r="Q66" s="30"/>
      <c r="R66" s="31"/>
      <c r="S66" s="68"/>
      <c r="T66" s="40"/>
      <c r="U66" s="38"/>
      <c r="V66" s="74"/>
      <c r="W66" s="34" t="str">
        <f t="shared" si="4"/>
        <v>FALSE</v>
      </c>
      <c r="X66" s="34" t="str">
        <f t="shared" si="0"/>
        <v>FALSE</v>
      </c>
      <c r="Y66" s="35">
        <f t="shared" si="5"/>
        <v>0</v>
      </c>
      <c r="Z66" s="36" t="str">
        <f t="shared" si="6"/>
        <v/>
      </c>
      <c r="AA66" s="6"/>
      <c r="AB66" s="41"/>
      <c r="AC66" s="38"/>
      <c r="AD66" s="38"/>
      <c r="AE66" s="34"/>
      <c r="AF66" s="34" t="str">
        <f t="shared" si="8"/>
        <v>FALSE</v>
      </c>
      <c r="AG66" s="35">
        <f t="shared" si="1"/>
        <v>0</v>
      </c>
      <c r="AH66" s="36" t="str">
        <f t="shared" si="2"/>
        <v/>
      </c>
    </row>
    <row r="67" spans="1:34" ht="1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29" t="str">
        <f t="shared" si="3"/>
        <v/>
      </c>
      <c r="Q67" s="30"/>
      <c r="R67" s="31"/>
      <c r="S67" s="68"/>
      <c r="T67" s="40"/>
      <c r="U67" s="38"/>
      <c r="V67" s="74"/>
      <c r="W67" s="34" t="str">
        <f t="shared" si="4"/>
        <v>FALSE</v>
      </c>
      <c r="X67" s="34" t="str">
        <f t="shared" si="0"/>
        <v>FALSE</v>
      </c>
      <c r="Y67" s="35">
        <f t="shared" si="5"/>
        <v>0</v>
      </c>
      <c r="Z67" s="36" t="str">
        <f t="shared" si="6"/>
        <v/>
      </c>
      <c r="AA67" s="6"/>
      <c r="AB67" s="41"/>
      <c r="AC67" s="38"/>
      <c r="AD67" s="38"/>
      <c r="AE67" s="34"/>
      <c r="AF67" s="34" t="str">
        <f t="shared" si="8"/>
        <v>FALSE</v>
      </c>
      <c r="AG67" s="35">
        <f t="shared" si="1"/>
        <v>0</v>
      </c>
      <c r="AH67" s="36" t="str">
        <f t="shared" si="2"/>
        <v/>
      </c>
    </row>
    <row r="68" spans="1:34" ht="1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29" t="str">
        <f t="shared" si="3"/>
        <v/>
      </c>
      <c r="Q68" s="30"/>
      <c r="R68" s="31"/>
      <c r="S68" s="68"/>
      <c r="T68" s="40"/>
      <c r="U68" s="38"/>
      <c r="V68" s="74"/>
      <c r="W68" s="34" t="str">
        <f t="shared" si="4"/>
        <v>FALSE</v>
      </c>
      <c r="X68" s="34" t="str">
        <f t="shared" si="0"/>
        <v>FALSE</v>
      </c>
      <c r="Y68" s="35">
        <f t="shared" si="5"/>
        <v>0</v>
      </c>
      <c r="Z68" s="36" t="str">
        <f t="shared" si="6"/>
        <v/>
      </c>
      <c r="AA68" s="6"/>
      <c r="AB68" s="41"/>
      <c r="AC68" s="38"/>
      <c r="AD68" s="38"/>
      <c r="AE68" s="34"/>
      <c r="AF68" s="34" t="str">
        <f t="shared" si="8"/>
        <v>FALSE</v>
      </c>
      <c r="AG68" s="35">
        <f t="shared" si="1"/>
        <v>0</v>
      </c>
      <c r="AH68" s="36" t="str">
        <f t="shared" si="2"/>
        <v/>
      </c>
    </row>
    <row r="69" spans="1:34" ht="1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29" t="str">
        <f t="shared" si="3"/>
        <v/>
      </c>
      <c r="Q69" s="30"/>
      <c r="R69" s="31"/>
      <c r="S69" s="68"/>
      <c r="T69" s="40"/>
      <c r="U69" s="38"/>
      <c r="V69" s="74"/>
      <c r="W69" s="34" t="str">
        <f t="shared" si="4"/>
        <v>FALSE</v>
      </c>
      <c r="X69" s="34" t="str">
        <f t="shared" si="0"/>
        <v>FALSE</v>
      </c>
      <c r="Y69" s="35">
        <f t="shared" si="5"/>
        <v>0</v>
      </c>
      <c r="Z69" s="36" t="str">
        <f t="shared" si="6"/>
        <v/>
      </c>
      <c r="AA69" s="6"/>
      <c r="AB69" s="41"/>
      <c r="AC69" s="38"/>
      <c r="AD69" s="38"/>
      <c r="AE69" s="34"/>
      <c r="AF69" s="34" t="str">
        <f t="shared" si="8"/>
        <v>FALSE</v>
      </c>
      <c r="AG69" s="35">
        <f t="shared" si="1"/>
        <v>0</v>
      </c>
      <c r="AH69" s="36" t="str">
        <f t="shared" si="2"/>
        <v/>
      </c>
    </row>
    <row r="70" spans="1:34" ht="1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29" t="str">
        <f t="shared" si="3"/>
        <v/>
      </c>
      <c r="Q70" s="30"/>
      <c r="R70" s="31"/>
      <c r="S70" s="68"/>
      <c r="T70" s="40"/>
      <c r="U70" s="38"/>
      <c r="V70" s="74"/>
      <c r="W70" s="34" t="str">
        <f t="shared" si="4"/>
        <v>FALSE</v>
      </c>
      <c r="X70" s="34" t="str">
        <f t="shared" si="0"/>
        <v>FALSE</v>
      </c>
      <c r="Y70" s="35">
        <f t="shared" si="5"/>
        <v>0</v>
      </c>
      <c r="Z70" s="36" t="str">
        <f t="shared" si="6"/>
        <v/>
      </c>
      <c r="AA70" s="6"/>
      <c r="AB70" s="41"/>
      <c r="AC70" s="38"/>
      <c r="AD70" s="38"/>
      <c r="AE70" s="34"/>
      <c r="AF70" s="34" t="str">
        <f t="shared" si="8"/>
        <v>FALSE</v>
      </c>
      <c r="AG70" s="35">
        <f t="shared" si="1"/>
        <v>0</v>
      </c>
      <c r="AH70" s="36" t="str">
        <f t="shared" si="2"/>
        <v/>
      </c>
    </row>
    <row r="71" spans="1:34" ht="1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29" t="str">
        <f t="shared" si="3"/>
        <v/>
      </c>
      <c r="Q71" s="30"/>
      <c r="R71" s="31"/>
      <c r="S71" s="68"/>
      <c r="T71" s="40"/>
      <c r="U71" s="38"/>
      <c r="V71" s="74"/>
      <c r="W71" s="34" t="str">
        <f t="shared" si="4"/>
        <v>FALSE</v>
      </c>
      <c r="X71" s="34" t="str">
        <f t="shared" si="0"/>
        <v>FALSE</v>
      </c>
      <c r="Y71" s="35">
        <f t="shared" si="5"/>
        <v>0</v>
      </c>
      <c r="Z71" s="36" t="str">
        <f t="shared" si="6"/>
        <v/>
      </c>
      <c r="AA71" s="6"/>
      <c r="AB71" s="41"/>
      <c r="AC71" s="38"/>
      <c r="AD71" s="38"/>
      <c r="AE71" s="34"/>
      <c r="AF71" s="34" t="str">
        <f t="shared" si="8"/>
        <v>FALSE</v>
      </c>
      <c r="AG71" s="35">
        <f t="shared" si="1"/>
        <v>0</v>
      </c>
      <c r="AH71" s="36" t="str">
        <f t="shared" si="2"/>
        <v/>
      </c>
    </row>
    <row r="72" spans="1:34" ht="1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29" t="str">
        <f t="shared" si="3"/>
        <v/>
      </c>
      <c r="Q72" s="30"/>
      <c r="R72" s="31"/>
      <c r="S72" s="68"/>
      <c r="T72" s="40"/>
      <c r="U72" s="38"/>
      <c r="V72" s="74"/>
      <c r="W72" s="34" t="str">
        <f t="shared" si="4"/>
        <v>FALSE</v>
      </c>
      <c r="X72" s="34" t="str">
        <f t="shared" si="0"/>
        <v>FALSE</v>
      </c>
      <c r="Y72" s="35">
        <f t="shared" si="5"/>
        <v>0</v>
      </c>
      <c r="Z72" s="36" t="str">
        <f t="shared" si="6"/>
        <v/>
      </c>
      <c r="AA72" s="6"/>
      <c r="AB72" s="41"/>
      <c r="AC72" s="38"/>
      <c r="AD72" s="38"/>
      <c r="AE72" s="34"/>
      <c r="AF72" s="34" t="str">
        <f t="shared" si="8"/>
        <v>FALSE</v>
      </c>
      <c r="AG72" s="35">
        <f t="shared" si="1"/>
        <v>0</v>
      </c>
      <c r="AH72" s="36" t="str">
        <f t="shared" si="2"/>
        <v/>
      </c>
    </row>
    <row r="73" spans="1:34" ht="1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29" t="str">
        <f t="shared" si="3"/>
        <v/>
      </c>
      <c r="Q73" s="30"/>
      <c r="R73" s="31"/>
      <c r="S73" s="68"/>
      <c r="T73" s="40"/>
      <c r="U73" s="38"/>
      <c r="V73" s="74"/>
      <c r="W73" s="34" t="str">
        <f t="shared" si="4"/>
        <v>FALSE</v>
      </c>
      <c r="X73" s="34" t="str">
        <f t="shared" si="0"/>
        <v>FALSE</v>
      </c>
      <c r="Y73" s="35">
        <f t="shared" si="5"/>
        <v>0</v>
      </c>
      <c r="Z73" s="36" t="str">
        <f t="shared" si="6"/>
        <v/>
      </c>
      <c r="AA73" s="6"/>
      <c r="AB73" s="41"/>
      <c r="AC73" s="38"/>
      <c r="AD73" s="38"/>
      <c r="AE73" s="34"/>
      <c r="AF73" s="34" t="str">
        <f t="shared" si="8"/>
        <v>FALSE</v>
      </c>
      <c r="AG73" s="35">
        <f t="shared" si="1"/>
        <v>0</v>
      </c>
      <c r="AH73" s="36" t="str">
        <f t="shared" si="2"/>
        <v/>
      </c>
    </row>
    <row r="74" spans="1:34" ht="1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29" t="str">
        <f t="shared" si="3"/>
        <v/>
      </c>
      <c r="Q74" s="30"/>
      <c r="R74" s="31"/>
      <c r="S74" s="68"/>
      <c r="T74" s="40"/>
      <c r="U74" s="38"/>
      <c r="V74" s="74"/>
      <c r="W74" s="34" t="str">
        <f t="shared" si="4"/>
        <v>FALSE</v>
      </c>
      <c r="X74" s="34" t="str">
        <f t="shared" si="0"/>
        <v>FALSE</v>
      </c>
      <c r="Y74" s="35">
        <f t="shared" si="5"/>
        <v>0</v>
      </c>
      <c r="Z74" s="36" t="str">
        <f t="shared" si="6"/>
        <v/>
      </c>
      <c r="AA74" s="6"/>
      <c r="AB74" s="41"/>
      <c r="AC74" s="38"/>
      <c r="AD74" s="38"/>
      <c r="AE74" s="34"/>
      <c r="AF74" s="34" t="str">
        <f t="shared" si="8"/>
        <v>FALSE</v>
      </c>
      <c r="AG74" s="35">
        <f t="shared" si="1"/>
        <v>0</v>
      </c>
      <c r="AH74" s="36" t="str">
        <f t="shared" si="2"/>
        <v/>
      </c>
    </row>
    <row r="75" spans="1:34" ht="1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29" t="str">
        <f t="shared" si="3"/>
        <v/>
      </c>
      <c r="Q75" s="30"/>
      <c r="R75" s="31"/>
      <c r="S75" s="68"/>
      <c r="T75" s="40"/>
      <c r="U75" s="38"/>
      <c r="V75" s="74"/>
      <c r="W75" s="34" t="str">
        <f t="shared" si="4"/>
        <v>FALSE</v>
      </c>
      <c r="X75" s="34" t="str">
        <f t="shared" si="0"/>
        <v>FALSE</v>
      </c>
      <c r="Y75" s="35">
        <f t="shared" si="5"/>
        <v>0</v>
      </c>
      <c r="Z75" s="36" t="str">
        <f t="shared" si="6"/>
        <v/>
      </c>
      <c r="AA75" s="6"/>
      <c r="AB75" s="41"/>
      <c r="AC75" s="38"/>
      <c r="AD75" s="38"/>
      <c r="AE75" s="34"/>
      <c r="AF75" s="34" t="str">
        <f t="shared" si="8"/>
        <v>FALSE</v>
      </c>
      <c r="AG75" s="35">
        <f t="shared" si="1"/>
        <v>0</v>
      </c>
      <c r="AH75" s="36" t="str">
        <f t="shared" si="2"/>
        <v/>
      </c>
    </row>
    <row r="76" spans="1:34" ht="1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29" t="str">
        <f t="shared" si="3"/>
        <v/>
      </c>
      <c r="Q76" s="30"/>
      <c r="R76" s="31"/>
      <c r="S76" s="68"/>
      <c r="T76" s="40"/>
      <c r="U76" s="38"/>
      <c r="V76" s="74"/>
      <c r="W76" s="34" t="str">
        <f t="shared" si="4"/>
        <v>FALSE</v>
      </c>
      <c r="X76" s="34" t="str">
        <f t="shared" si="0"/>
        <v>FALSE</v>
      </c>
      <c r="Y76" s="35">
        <f t="shared" si="5"/>
        <v>0</v>
      </c>
      <c r="Z76" s="36" t="str">
        <f t="shared" si="6"/>
        <v/>
      </c>
      <c r="AA76" s="6"/>
      <c r="AB76" s="41"/>
      <c r="AC76" s="38"/>
      <c r="AD76" s="38"/>
      <c r="AE76" s="34"/>
      <c r="AF76" s="34" t="str">
        <f t="shared" si="8"/>
        <v>FALSE</v>
      </c>
      <c r="AG76" s="35">
        <f t="shared" si="1"/>
        <v>0</v>
      </c>
      <c r="AH76" s="36" t="str">
        <f t="shared" si="2"/>
        <v/>
      </c>
    </row>
    <row r="77" spans="1:34" ht="1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29" t="str">
        <f t="shared" si="3"/>
        <v/>
      </c>
      <c r="Q77" s="30"/>
      <c r="R77" s="31"/>
      <c r="S77" s="68"/>
      <c r="T77" s="40"/>
      <c r="U77" s="38"/>
      <c r="V77" s="74"/>
      <c r="W77" s="34" t="str">
        <f t="shared" si="4"/>
        <v>FALSE</v>
      </c>
      <c r="X77" s="34" t="str">
        <f t="shared" si="0"/>
        <v>FALSE</v>
      </c>
      <c r="Y77" s="35">
        <f t="shared" si="5"/>
        <v>0</v>
      </c>
      <c r="Z77" s="36" t="str">
        <f t="shared" si="6"/>
        <v/>
      </c>
      <c r="AA77" s="6"/>
      <c r="AB77" s="41"/>
      <c r="AC77" s="38"/>
      <c r="AD77" s="38"/>
      <c r="AE77" s="34"/>
      <c r="AF77" s="34" t="str">
        <f t="shared" si="8"/>
        <v>FALSE</v>
      </c>
      <c r="AG77" s="35">
        <f t="shared" si="1"/>
        <v>0</v>
      </c>
      <c r="AH77" s="36" t="str">
        <f t="shared" si="2"/>
        <v/>
      </c>
    </row>
    <row r="78" spans="1:34" ht="1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29" t="str">
        <f t="shared" si="3"/>
        <v/>
      </c>
      <c r="Q78" s="30"/>
      <c r="R78" s="31"/>
      <c r="S78" s="68"/>
      <c r="T78" s="40"/>
      <c r="U78" s="38"/>
      <c r="V78" s="74"/>
      <c r="W78" s="34" t="str">
        <f t="shared" si="4"/>
        <v>FALSE</v>
      </c>
      <c r="X78" s="34" t="str">
        <f t="shared" ref="X78:X120" si="11">IF(U78="","FALSE",ABS((U78-AVERAGE($U$14:$U$120))/_xlfn.STDEV.S($U$14:$U$104)))</f>
        <v>FALSE</v>
      </c>
      <c r="Y78" s="35">
        <f t="shared" si="5"/>
        <v>0</v>
      </c>
      <c r="Z78" s="36" t="str">
        <f t="shared" si="6"/>
        <v/>
      </c>
      <c r="AA78" s="6"/>
      <c r="AB78" s="41"/>
      <c r="AC78" s="38"/>
      <c r="AD78" s="38"/>
      <c r="AE78" s="34"/>
      <c r="AF78" s="34" t="str">
        <f t="shared" si="8"/>
        <v>FALSE</v>
      </c>
      <c r="AG78" s="35">
        <f t="shared" ref="AG78:AG120" si="12">IF(OR(AC78&gt;$AG$11,AC78&lt;$AF$11),AC78,"")</f>
        <v>0</v>
      </c>
      <c r="AH78" s="36" t="str">
        <f t="shared" ref="AH78:AH120" si="13">IF(AC78="","",AC78/AB78)</f>
        <v/>
      </c>
    </row>
    <row r="79" spans="1:34" ht="1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29" t="str">
        <f t="shared" ref="P79:P120" si="14">IF(R79&lt;&gt;"",P78+1,"")</f>
        <v/>
      </c>
      <c r="Q79" s="30"/>
      <c r="R79" s="31"/>
      <c r="S79" s="68"/>
      <c r="T79" s="40"/>
      <c r="U79" s="38"/>
      <c r="V79" s="74"/>
      <c r="W79" s="34" t="str">
        <f t="shared" ref="W79:W120" si="15">IF(X79&gt;3,"FALSE",U79)</f>
        <v>FALSE</v>
      </c>
      <c r="X79" s="34" t="str">
        <f t="shared" si="11"/>
        <v>FALSE</v>
      </c>
      <c r="Y79" s="35">
        <f t="shared" ref="Y79:Y120" si="16">IF(OR(U79&gt;$Y$11,U79&lt;$X$11),U79,"")</f>
        <v>0</v>
      </c>
      <c r="Z79" s="36" t="str">
        <f t="shared" ref="Z79:Z120" si="17">IF(U79="","",U79/T79)</f>
        <v/>
      </c>
      <c r="AA79" s="6"/>
      <c r="AB79" s="41"/>
      <c r="AC79" s="38"/>
      <c r="AD79" s="38"/>
      <c r="AE79" s="34"/>
      <c r="AF79" s="34" t="str">
        <f t="shared" ref="AF79:AF120" si="18">IF(AC79="","FALSE",ABS((AC79-AVERAGE($AC$14:$AC$120))/_xlfn.STDEV.S($AC$14:$AC$104)))</f>
        <v>FALSE</v>
      </c>
      <c r="AG79" s="35">
        <f t="shared" si="12"/>
        <v>0</v>
      </c>
      <c r="AH79" s="36" t="str">
        <f t="shared" si="13"/>
        <v/>
      </c>
    </row>
    <row r="80" spans="1:34" ht="1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29" t="str">
        <f t="shared" si="14"/>
        <v/>
      </c>
      <c r="Q80" s="30"/>
      <c r="R80" s="31"/>
      <c r="S80" s="68"/>
      <c r="T80" s="40"/>
      <c r="U80" s="38"/>
      <c r="V80" s="74"/>
      <c r="W80" s="34" t="str">
        <f t="shared" si="15"/>
        <v>FALSE</v>
      </c>
      <c r="X80" s="34" t="str">
        <f t="shared" si="11"/>
        <v>FALSE</v>
      </c>
      <c r="Y80" s="35">
        <f t="shared" si="16"/>
        <v>0</v>
      </c>
      <c r="Z80" s="36" t="str">
        <f t="shared" si="17"/>
        <v/>
      </c>
      <c r="AA80" s="6"/>
      <c r="AB80" s="41"/>
      <c r="AC80" s="38"/>
      <c r="AD80" s="38"/>
      <c r="AE80" s="34"/>
      <c r="AF80" s="34" t="str">
        <f t="shared" si="18"/>
        <v>FALSE</v>
      </c>
      <c r="AG80" s="35">
        <f t="shared" si="12"/>
        <v>0</v>
      </c>
      <c r="AH80" s="36" t="str">
        <f t="shared" si="13"/>
        <v/>
      </c>
    </row>
    <row r="81" spans="1:34" ht="1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29" t="str">
        <f t="shared" si="14"/>
        <v/>
      </c>
      <c r="Q81" s="30"/>
      <c r="R81" s="31"/>
      <c r="S81" s="68"/>
      <c r="T81" s="40"/>
      <c r="U81" s="38"/>
      <c r="V81" s="74"/>
      <c r="W81" s="34" t="str">
        <f t="shared" si="15"/>
        <v>FALSE</v>
      </c>
      <c r="X81" s="34" t="str">
        <f t="shared" si="11"/>
        <v>FALSE</v>
      </c>
      <c r="Y81" s="35">
        <f t="shared" si="16"/>
        <v>0</v>
      </c>
      <c r="Z81" s="36" t="str">
        <f t="shared" si="17"/>
        <v/>
      </c>
      <c r="AA81" s="6"/>
      <c r="AB81" s="41"/>
      <c r="AC81" s="38"/>
      <c r="AD81" s="38"/>
      <c r="AE81" s="34"/>
      <c r="AF81" s="34" t="str">
        <f t="shared" si="18"/>
        <v>FALSE</v>
      </c>
      <c r="AG81" s="35">
        <f t="shared" si="12"/>
        <v>0</v>
      </c>
      <c r="AH81" s="36" t="str">
        <f t="shared" si="13"/>
        <v/>
      </c>
    </row>
    <row r="82" spans="1:34" ht="1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29" t="str">
        <f t="shared" si="14"/>
        <v/>
      </c>
      <c r="Q82" s="30"/>
      <c r="R82" s="31"/>
      <c r="S82" s="68"/>
      <c r="T82" s="40"/>
      <c r="U82" s="38"/>
      <c r="V82" s="74"/>
      <c r="W82" s="34" t="str">
        <f t="shared" si="15"/>
        <v>FALSE</v>
      </c>
      <c r="X82" s="34" t="str">
        <f t="shared" si="11"/>
        <v>FALSE</v>
      </c>
      <c r="Y82" s="35">
        <f t="shared" si="16"/>
        <v>0</v>
      </c>
      <c r="Z82" s="36" t="str">
        <f t="shared" si="17"/>
        <v/>
      </c>
      <c r="AA82" s="6"/>
      <c r="AB82" s="41"/>
      <c r="AC82" s="38"/>
      <c r="AD82" s="38"/>
      <c r="AE82" s="34"/>
      <c r="AF82" s="34" t="str">
        <f t="shared" si="18"/>
        <v>FALSE</v>
      </c>
      <c r="AG82" s="35">
        <f t="shared" si="12"/>
        <v>0</v>
      </c>
      <c r="AH82" s="36" t="str">
        <f t="shared" si="13"/>
        <v/>
      </c>
    </row>
    <row r="83" spans="1:34" ht="1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29" t="str">
        <f t="shared" si="14"/>
        <v/>
      </c>
      <c r="Q83" s="30"/>
      <c r="R83" s="31"/>
      <c r="S83" s="68"/>
      <c r="T83" s="40"/>
      <c r="U83" s="38"/>
      <c r="V83" s="74"/>
      <c r="W83" s="34" t="str">
        <f t="shared" si="15"/>
        <v>FALSE</v>
      </c>
      <c r="X83" s="34" t="str">
        <f t="shared" si="11"/>
        <v>FALSE</v>
      </c>
      <c r="Y83" s="35">
        <f t="shared" si="16"/>
        <v>0</v>
      </c>
      <c r="Z83" s="36" t="str">
        <f t="shared" si="17"/>
        <v/>
      </c>
      <c r="AA83" s="6"/>
      <c r="AB83" s="41"/>
      <c r="AC83" s="38"/>
      <c r="AD83" s="38"/>
      <c r="AE83" s="34"/>
      <c r="AF83" s="34" t="str">
        <f t="shared" si="18"/>
        <v>FALSE</v>
      </c>
      <c r="AG83" s="35">
        <f t="shared" si="12"/>
        <v>0</v>
      </c>
      <c r="AH83" s="36" t="str">
        <f t="shared" si="13"/>
        <v/>
      </c>
    </row>
    <row r="84" spans="1:34" ht="1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29" t="str">
        <f t="shared" si="14"/>
        <v/>
      </c>
      <c r="Q84" s="30"/>
      <c r="R84" s="31"/>
      <c r="S84" s="68"/>
      <c r="T84" s="40"/>
      <c r="U84" s="38"/>
      <c r="V84" s="74"/>
      <c r="W84" s="34" t="str">
        <f t="shared" si="15"/>
        <v>FALSE</v>
      </c>
      <c r="X84" s="34" t="str">
        <f t="shared" si="11"/>
        <v>FALSE</v>
      </c>
      <c r="Y84" s="35">
        <f t="shared" si="16"/>
        <v>0</v>
      </c>
      <c r="Z84" s="36" t="str">
        <f t="shared" si="17"/>
        <v/>
      </c>
      <c r="AA84" s="6"/>
      <c r="AB84" s="41"/>
      <c r="AC84" s="38"/>
      <c r="AD84" s="38"/>
      <c r="AE84" s="34"/>
      <c r="AF84" s="34" t="str">
        <f t="shared" si="18"/>
        <v>FALSE</v>
      </c>
      <c r="AG84" s="35">
        <f t="shared" si="12"/>
        <v>0</v>
      </c>
      <c r="AH84" s="36" t="str">
        <f t="shared" si="13"/>
        <v/>
      </c>
    </row>
    <row r="85" spans="1:34" ht="1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29" t="str">
        <f t="shared" si="14"/>
        <v/>
      </c>
      <c r="Q85" s="30"/>
      <c r="R85" s="31"/>
      <c r="S85" s="68"/>
      <c r="T85" s="40"/>
      <c r="U85" s="38"/>
      <c r="V85" s="74"/>
      <c r="W85" s="34" t="str">
        <f t="shared" si="15"/>
        <v>FALSE</v>
      </c>
      <c r="X85" s="34" t="str">
        <f t="shared" si="11"/>
        <v>FALSE</v>
      </c>
      <c r="Y85" s="35">
        <f t="shared" si="16"/>
        <v>0</v>
      </c>
      <c r="Z85" s="36" t="str">
        <f t="shared" si="17"/>
        <v/>
      </c>
      <c r="AA85" s="6"/>
      <c r="AB85" s="41"/>
      <c r="AC85" s="38"/>
      <c r="AD85" s="38"/>
      <c r="AE85" s="34"/>
      <c r="AF85" s="34" t="str">
        <f t="shared" si="18"/>
        <v>FALSE</v>
      </c>
      <c r="AG85" s="35">
        <f t="shared" si="12"/>
        <v>0</v>
      </c>
      <c r="AH85" s="36" t="str">
        <f t="shared" si="13"/>
        <v/>
      </c>
    </row>
    <row r="86" spans="1:34" ht="1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29" t="str">
        <f t="shared" si="14"/>
        <v/>
      </c>
      <c r="Q86" s="30"/>
      <c r="R86" s="31"/>
      <c r="S86" s="68"/>
      <c r="T86" s="40"/>
      <c r="U86" s="38"/>
      <c r="V86" s="74"/>
      <c r="W86" s="34" t="str">
        <f t="shared" si="15"/>
        <v>FALSE</v>
      </c>
      <c r="X86" s="34" t="str">
        <f t="shared" si="11"/>
        <v>FALSE</v>
      </c>
      <c r="Y86" s="35">
        <f t="shared" si="16"/>
        <v>0</v>
      </c>
      <c r="Z86" s="36" t="str">
        <f t="shared" si="17"/>
        <v/>
      </c>
      <c r="AA86" s="6"/>
      <c r="AB86" s="41"/>
      <c r="AC86" s="38"/>
      <c r="AD86" s="38"/>
      <c r="AE86" s="34"/>
      <c r="AF86" s="34" t="str">
        <f t="shared" si="18"/>
        <v>FALSE</v>
      </c>
      <c r="AG86" s="35">
        <f t="shared" si="12"/>
        <v>0</v>
      </c>
      <c r="AH86" s="36" t="str">
        <f t="shared" si="13"/>
        <v/>
      </c>
    </row>
    <row r="87" spans="1:34" ht="1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29" t="str">
        <f t="shared" si="14"/>
        <v/>
      </c>
      <c r="Q87" s="30"/>
      <c r="R87" s="31"/>
      <c r="S87" s="68"/>
      <c r="T87" s="40"/>
      <c r="U87" s="38"/>
      <c r="V87" s="74"/>
      <c r="W87" s="34" t="str">
        <f t="shared" si="15"/>
        <v>FALSE</v>
      </c>
      <c r="X87" s="34" t="str">
        <f t="shared" si="11"/>
        <v>FALSE</v>
      </c>
      <c r="Y87" s="35">
        <f t="shared" si="16"/>
        <v>0</v>
      </c>
      <c r="Z87" s="36" t="str">
        <f t="shared" si="17"/>
        <v/>
      </c>
      <c r="AA87" s="6"/>
      <c r="AB87" s="41"/>
      <c r="AC87" s="38"/>
      <c r="AD87" s="38"/>
      <c r="AE87" s="34"/>
      <c r="AF87" s="34" t="str">
        <f t="shared" si="18"/>
        <v>FALSE</v>
      </c>
      <c r="AG87" s="35">
        <f t="shared" si="12"/>
        <v>0</v>
      </c>
      <c r="AH87" s="36" t="str">
        <f t="shared" si="13"/>
        <v/>
      </c>
    </row>
    <row r="88" spans="1:34" ht="1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29" t="str">
        <f t="shared" si="14"/>
        <v/>
      </c>
      <c r="Q88" s="30"/>
      <c r="R88" s="31"/>
      <c r="S88" s="68"/>
      <c r="T88" s="40"/>
      <c r="U88" s="38"/>
      <c r="V88" s="74"/>
      <c r="W88" s="34" t="str">
        <f t="shared" si="15"/>
        <v>FALSE</v>
      </c>
      <c r="X88" s="34" t="str">
        <f t="shared" si="11"/>
        <v>FALSE</v>
      </c>
      <c r="Y88" s="35">
        <f t="shared" si="16"/>
        <v>0</v>
      </c>
      <c r="Z88" s="36" t="str">
        <f t="shared" si="17"/>
        <v/>
      </c>
      <c r="AA88" s="6"/>
      <c r="AB88" s="41"/>
      <c r="AC88" s="38"/>
      <c r="AD88" s="38"/>
      <c r="AE88" s="34"/>
      <c r="AF88" s="34" t="str">
        <f t="shared" si="18"/>
        <v>FALSE</v>
      </c>
      <c r="AG88" s="35">
        <f t="shared" si="12"/>
        <v>0</v>
      </c>
      <c r="AH88" s="36" t="str">
        <f t="shared" si="13"/>
        <v/>
      </c>
    </row>
    <row r="89" spans="1:34" ht="1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29" t="str">
        <f t="shared" si="14"/>
        <v/>
      </c>
      <c r="Q89" s="30"/>
      <c r="R89" s="31"/>
      <c r="S89" s="68"/>
      <c r="T89" s="40"/>
      <c r="U89" s="38"/>
      <c r="V89" s="74"/>
      <c r="W89" s="34" t="str">
        <f t="shared" si="15"/>
        <v>FALSE</v>
      </c>
      <c r="X89" s="34" t="str">
        <f t="shared" si="11"/>
        <v>FALSE</v>
      </c>
      <c r="Y89" s="35">
        <f t="shared" si="16"/>
        <v>0</v>
      </c>
      <c r="Z89" s="36" t="str">
        <f t="shared" si="17"/>
        <v/>
      </c>
      <c r="AA89" s="6"/>
      <c r="AB89" s="41"/>
      <c r="AC89" s="38"/>
      <c r="AD89" s="38"/>
      <c r="AE89" s="34"/>
      <c r="AF89" s="34" t="str">
        <f t="shared" si="18"/>
        <v>FALSE</v>
      </c>
      <c r="AG89" s="35">
        <f t="shared" si="12"/>
        <v>0</v>
      </c>
      <c r="AH89" s="36" t="str">
        <f t="shared" si="13"/>
        <v/>
      </c>
    </row>
    <row r="90" spans="1:34" ht="1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29" t="str">
        <f t="shared" si="14"/>
        <v/>
      </c>
      <c r="Q90" s="30"/>
      <c r="R90" s="31"/>
      <c r="S90" s="68"/>
      <c r="T90" s="40"/>
      <c r="U90" s="38"/>
      <c r="V90" s="74"/>
      <c r="W90" s="34" t="str">
        <f t="shared" si="15"/>
        <v>FALSE</v>
      </c>
      <c r="X90" s="34" t="str">
        <f t="shared" si="11"/>
        <v>FALSE</v>
      </c>
      <c r="Y90" s="35">
        <f t="shared" si="16"/>
        <v>0</v>
      </c>
      <c r="Z90" s="36" t="str">
        <f t="shared" si="17"/>
        <v/>
      </c>
      <c r="AA90" s="6"/>
      <c r="AB90" s="41"/>
      <c r="AC90" s="38"/>
      <c r="AD90" s="38"/>
      <c r="AE90" s="34"/>
      <c r="AF90" s="34" t="str">
        <f t="shared" si="18"/>
        <v>FALSE</v>
      </c>
      <c r="AG90" s="35">
        <f t="shared" si="12"/>
        <v>0</v>
      </c>
      <c r="AH90" s="36" t="str">
        <f t="shared" si="13"/>
        <v/>
      </c>
    </row>
    <row r="91" spans="1:34" ht="1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29" t="str">
        <f t="shared" si="14"/>
        <v/>
      </c>
      <c r="Q91" s="30"/>
      <c r="R91" s="31"/>
      <c r="S91" s="68"/>
      <c r="T91" s="40"/>
      <c r="U91" s="38"/>
      <c r="V91" s="74"/>
      <c r="W91" s="34" t="str">
        <f t="shared" si="15"/>
        <v>FALSE</v>
      </c>
      <c r="X91" s="34" t="str">
        <f t="shared" si="11"/>
        <v>FALSE</v>
      </c>
      <c r="Y91" s="35">
        <f t="shared" si="16"/>
        <v>0</v>
      </c>
      <c r="Z91" s="36" t="str">
        <f t="shared" si="17"/>
        <v/>
      </c>
      <c r="AA91" s="6"/>
      <c r="AB91" s="41"/>
      <c r="AC91" s="38"/>
      <c r="AD91" s="38"/>
      <c r="AE91" s="34"/>
      <c r="AF91" s="34" t="str">
        <f t="shared" si="18"/>
        <v>FALSE</v>
      </c>
      <c r="AG91" s="35">
        <f t="shared" si="12"/>
        <v>0</v>
      </c>
      <c r="AH91" s="36" t="str">
        <f t="shared" si="13"/>
        <v/>
      </c>
    </row>
    <row r="92" spans="1:34" ht="1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29" t="str">
        <f t="shared" si="14"/>
        <v/>
      </c>
      <c r="Q92" s="30"/>
      <c r="R92" s="31"/>
      <c r="S92" s="68"/>
      <c r="T92" s="40"/>
      <c r="U92" s="38"/>
      <c r="V92" s="74"/>
      <c r="W92" s="34" t="str">
        <f t="shared" si="15"/>
        <v>FALSE</v>
      </c>
      <c r="X92" s="34" t="str">
        <f t="shared" si="11"/>
        <v>FALSE</v>
      </c>
      <c r="Y92" s="35">
        <f t="shared" si="16"/>
        <v>0</v>
      </c>
      <c r="Z92" s="36" t="str">
        <f t="shared" si="17"/>
        <v/>
      </c>
      <c r="AA92" s="6"/>
      <c r="AB92" s="41"/>
      <c r="AC92" s="38"/>
      <c r="AD92" s="38"/>
      <c r="AE92" s="34"/>
      <c r="AF92" s="34" t="str">
        <f t="shared" si="18"/>
        <v>FALSE</v>
      </c>
      <c r="AG92" s="35">
        <f t="shared" si="12"/>
        <v>0</v>
      </c>
      <c r="AH92" s="36" t="str">
        <f t="shared" si="13"/>
        <v/>
      </c>
    </row>
    <row r="93" spans="1:34" ht="1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29" t="str">
        <f t="shared" si="14"/>
        <v/>
      </c>
      <c r="Q93" s="30"/>
      <c r="R93" s="31"/>
      <c r="S93" s="68"/>
      <c r="T93" s="40"/>
      <c r="U93" s="38"/>
      <c r="V93" s="74"/>
      <c r="W93" s="34" t="str">
        <f t="shared" si="15"/>
        <v>FALSE</v>
      </c>
      <c r="X93" s="34" t="str">
        <f t="shared" si="11"/>
        <v>FALSE</v>
      </c>
      <c r="Y93" s="35">
        <f t="shared" si="16"/>
        <v>0</v>
      </c>
      <c r="Z93" s="36" t="str">
        <f t="shared" si="17"/>
        <v/>
      </c>
      <c r="AA93" s="6"/>
      <c r="AB93" s="41"/>
      <c r="AC93" s="38"/>
      <c r="AD93" s="38"/>
      <c r="AE93" s="34"/>
      <c r="AF93" s="34" t="str">
        <f t="shared" si="18"/>
        <v>FALSE</v>
      </c>
      <c r="AG93" s="35">
        <f t="shared" si="12"/>
        <v>0</v>
      </c>
      <c r="AH93" s="36" t="str">
        <f t="shared" si="13"/>
        <v/>
      </c>
    </row>
    <row r="94" spans="1:34" ht="1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29" t="str">
        <f t="shared" si="14"/>
        <v/>
      </c>
      <c r="Q94" s="30"/>
      <c r="R94" s="31"/>
      <c r="S94" s="68"/>
      <c r="T94" s="40"/>
      <c r="U94" s="38"/>
      <c r="V94" s="74"/>
      <c r="W94" s="34" t="str">
        <f t="shared" si="15"/>
        <v>FALSE</v>
      </c>
      <c r="X94" s="34" t="str">
        <f t="shared" si="11"/>
        <v>FALSE</v>
      </c>
      <c r="Y94" s="35">
        <f t="shared" si="16"/>
        <v>0</v>
      </c>
      <c r="Z94" s="36" t="str">
        <f t="shared" si="17"/>
        <v/>
      </c>
      <c r="AA94" s="6"/>
      <c r="AB94" s="41"/>
      <c r="AC94" s="38"/>
      <c r="AD94" s="38"/>
      <c r="AE94" s="34"/>
      <c r="AF94" s="34" t="str">
        <f t="shared" si="18"/>
        <v>FALSE</v>
      </c>
      <c r="AG94" s="35">
        <f t="shared" si="12"/>
        <v>0</v>
      </c>
      <c r="AH94" s="36" t="str">
        <f t="shared" si="13"/>
        <v/>
      </c>
    </row>
    <row r="95" spans="1:34" ht="1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29" t="str">
        <f t="shared" si="14"/>
        <v/>
      </c>
      <c r="Q95" s="30"/>
      <c r="R95" s="31"/>
      <c r="S95" s="68"/>
      <c r="T95" s="40"/>
      <c r="U95" s="38"/>
      <c r="V95" s="74"/>
      <c r="W95" s="34" t="str">
        <f t="shared" si="15"/>
        <v>FALSE</v>
      </c>
      <c r="X95" s="34" t="str">
        <f t="shared" si="11"/>
        <v>FALSE</v>
      </c>
      <c r="Y95" s="35">
        <f t="shared" si="16"/>
        <v>0</v>
      </c>
      <c r="Z95" s="36" t="str">
        <f t="shared" si="17"/>
        <v/>
      </c>
      <c r="AA95" s="6"/>
      <c r="AB95" s="41"/>
      <c r="AC95" s="38"/>
      <c r="AD95" s="38"/>
      <c r="AE95" s="34"/>
      <c r="AF95" s="34" t="str">
        <f t="shared" si="18"/>
        <v>FALSE</v>
      </c>
      <c r="AG95" s="35">
        <f t="shared" si="12"/>
        <v>0</v>
      </c>
      <c r="AH95" s="36" t="str">
        <f t="shared" si="13"/>
        <v/>
      </c>
    </row>
    <row r="96" spans="1:34" ht="1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29" t="str">
        <f t="shared" si="14"/>
        <v/>
      </c>
      <c r="Q96" s="30"/>
      <c r="R96" s="31"/>
      <c r="S96" s="68"/>
      <c r="T96" s="40"/>
      <c r="U96" s="38"/>
      <c r="V96" s="74"/>
      <c r="W96" s="34" t="str">
        <f t="shared" si="15"/>
        <v>FALSE</v>
      </c>
      <c r="X96" s="34" t="str">
        <f t="shared" si="11"/>
        <v>FALSE</v>
      </c>
      <c r="Y96" s="35">
        <f t="shared" si="16"/>
        <v>0</v>
      </c>
      <c r="Z96" s="36" t="str">
        <f t="shared" si="17"/>
        <v/>
      </c>
      <c r="AA96" s="6"/>
      <c r="AB96" s="41"/>
      <c r="AC96" s="38"/>
      <c r="AD96" s="38"/>
      <c r="AE96" s="34"/>
      <c r="AF96" s="34" t="str">
        <f t="shared" si="18"/>
        <v>FALSE</v>
      </c>
      <c r="AG96" s="35">
        <f t="shared" si="12"/>
        <v>0</v>
      </c>
      <c r="AH96" s="36" t="str">
        <f t="shared" si="13"/>
        <v/>
      </c>
    </row>
    <row r="97" spans="1:34" ht="1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29" t="str">
        <f t="shared" si="14"/>
        <v/>
      </c>
      <c r="Q97" s="30"/>
      <c r="R97" s="31"/>
      <c r="S97" s="68"/>
      <c r="T97" s="40"/>
      <c r="U97" s="38"/>
      <c r="V97" s="74"/>
      <c r="W97" s="34" t="str">
        <f t="shared" si="15"/>
        <v>FALSE</v>
      </c>
      <c r="X97" s="34" t="str">
        <f t="shared" si="11"/>
        <v>FALSE</v>
      </c>
      <c r="Y97" s="35">
        <f t="shared" si="16"/>
        <v>0</v>
      </c>
      <c r="Z97" s="36" t="str">
        <f t="shared" si="17"/>
        <v/>
      </c>
      <c r="AA97" s="6"/>
      <c r="AB97" s="41"/>
      <c r="AC97" s="38"/>
      <c r="AD97" s="38"/>
      <c r="AE97" s="34"/>
      <c r="AF97" s="34" t="str">
        <f t="shared" si="18"/>
        <v>FALSE</v>
      </c>
      <c r="AG97" s="35">
        <f t="shared" si="12"/>
        <v>0</v>
      </c>
      <c r="AH97" s="36" t="str">
        <f t="shared" si="13"/>
        <v/>
      </c>
    </row>
    <row r="98" spans="1:34" ht="1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29" t="str">
        <f t="shared" si="14"/>
        <v/>
      </c>
      <c r="Q98" s="30"/>
      <c r="R98" s="31"/>
      <c r="S98" s="68"/>
      <c r="T98" s="40"/>
      <c r="U98" s="38"/>
      <c r="V98" s="74"/>
      <c r="W98" s="34" t="str">
        <f t="shared" si="15"/>
        <v>FALSE</v>
      </c>
      <c r="X98" s="34" t="str">
        <f t="shared" si="11"/>
        <v>FALSE</v>
      </c>
      <c r="Y98" s="35">
        <f t="shared" si="16"/>
        <v>0</v>
      </c>
      <c r="Z98" s="36" t="str">
        <f t="shared" si="17"/>
        <v/>
      </c>
      <c r="AA98" s="6"/>
      <c r="AB98" s="41"/>
      <c r="AC98" s="38"/>
      <c r="AD98" s="38"/>
      <c r="AE98" s="34"/>
      <c r="AF98" s="34" t="str">
        <f t="shared" si="18"/>
        <v>FALSE</v>
      </c>
      <c r="AG98" s="35">
        <f t="shared" si="12"/>
        <v>0</v>
      </c>
      <c r="AH98" s="36" t="str">
        <f t="shared" si="13"/>
        <v/>
      </c>
    </row>
    <row r="99" spans="1:34" ht="1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29" t="str">
        <f t="shared" si="14"/>
        <v/>
      </c>
      <c r="Q99" s="30"/>
      <c r="R99" s="31"/>
      <c r="S99" s="68"/>
      <c r="T99" s="40"/>
      <c r="U99" s="38"/>
      <c r="V99" s="74"/>
      <c r="W99" s="34" t="str">
        <f t="shared" si="15"/>
        <v>FALSE</v>
      </c>
      <c r="X99" s="34" t="str">
        <f t="shared" si="11"/>
        <v>FALSE</v>
      </c>
      <c r="Y99" s="35">
        <f t="shared" si="16"/>
        <v>0</v>
      </c>
      <c r="Z99" s="36" t="str">
        <f t="shared" si="17"/>
        <v/>
      </c>
      <c r="AA99" s="6"/>
      <c r="AB99" s="41"/>
      <c r="AC99" s="38"/>
      <c r="AD99" s="38"/>
      <c r="AE99" s="34"/>
      <c r="AF99" s="34" t="str">
        <f t="shared" si="18"/>
        <v>FALSE</v>
      </c>
      <c r="AG99" s="35">
        <f t="shared" si="12"/>
        <v>0</v>
      </c>
      <c r="AH99" s="36" t="str">
        <f t="shared" si="13"/>
        <v/>
      </c>
    </row>
    <row r="100" spans="1:34" ht="1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29" t="str">
        <f t="shared" si="14"/>
        <v/>
      </c>
      <c r="Q100" s="30"/>
      <c r="R100" s="31"/>
      <c r="S100" s="68"/>
      <c r="T100" s="40"/>
      <c r="U100" s="38"/>
      <c r="V100" s="74"/>
      <c r="W100" s="34" t="str">
        <f t="shared" si="15"/>
        <v>FALSE</v>
      </c>
      <c r="X100" s="34" t="str">
        <f t="shared" si="11"/>
        <v>FALSE</v>
      </c>
      <c r="Y100" s="35">
        <f t="shared" si="16"/>
        <v>0</v>
      </c>
      <c r="Z100" s="36" t="str">
        <f t="shared" si="17"/>
        <v/>
      </c>
      <c r="AA100" s="6"/>
      <c r="AB100" s="41"/>
      <c r="AC100" s="38"/>
      <c r="AD100" s="38"/>
      <c r="AE100" s="34"/>
      <c r="AF100" s="34" t="str">
        <f t="shared" si="18"/>
        <v>FALSE</v>
      </c>
      <c r="AG100" s="35">
        <f t="shared" si="12"/>
        <v>0</v>
      </c>
      <c r="AH100" s="36" t="str">
        <f t="shared" si="13"/>
        <v/>
      </c>
    </row>
    <row r="101" spans="1:34" ht="1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29" t="str">
        <f t="shared" si="14"/>
        <v/>
      </c>
      <c r="Q101" s="30"/>
      <c r="R101" s="31"/>
      <c r="S101" s="68"/>
      <c r="T101" s="40"/>
      <c r="U101" s="38"/>
      <c r="V101" s="74"/>
      <c r="W101" s="34" t="str">
        <f t="shared" si="15"/>
        <v>FALSE</v>
      </c>
      <c r="X101" s="34" t="str">
        <f t="shared" si="11"/>
        <v>FALSE</v>
      </c>
      <c r="Y101" s="35">
        <f t="shared" si="16"/>
        <v>0</v>
      </c>
      <c r="Z101" s="36" t="str">
        <f t="shared" si="17"/>
        <v/>
      </c>
      <c r="AA101" s="6"/>
      <c r="AB101" s="41"/>
      <c r="AC101" s="38"/>
      <c r="AD101" s="38"/>
      <c r="AE101" s="34"/>
      <c r="AF101" s="34" t="str">
        <f t="shared" si="18"/>
        <v>FALSE</v>
      </c>
      <c r="AG101" s="35">
        <f t="shared" si="12"/>
        <v>0</v>
      </c>
      <c r="AH101" s="36" t="str">
        <f t="shared" si="13"/>
        <v/>
      </c>
    </row>
    <row r="102" spans="1:34" ht="1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29" t="str">
        <f t="shared" si="14"/>
        <v/>
      </c>
      <c r="Q102" s="30"/>
      <c r="R102" s="31"/>
      <c r="S102" s="68"/>
      <c r="T102" s="40"/>
      <c r="U102" s="38"/>
      <c r="V102" s="74"/>
      <c r="W102" s="34" t="str">
        <f t="shared" si="15"/>
        <v>FALSE</v>
      </c>
      <c r="X102" s="34" t="str">
        <f t="shared" si="11"/>
        <v>FALSE</v>
      </c>
      <c r="Y102" s="35">
        <f t="shared" si="16"/>
        <v>0</v>
      </c>
      <c r="Z102" s="36" t="str">
        <f t="shared" si="17"/>
        <v/>
      </c>
      <c r="AA102" s="6"/>
      <c r="AB102" s="41"/>
      <c r="AC102" s="38"/>
      <c r="AD102" s="38"/>
      <c r="AE102" s="34"/>
      <c r="AF102" s="34" t="str">
        <f t="shared" si="18"/>
        <v>FALSE</v>
      </c>
      <c r="AG102" s="35">
        <f t="shared" si="12"/>
        <v>0</v>
      </c>
      <c r="AH102" s="36" t="str">
        <f t="shared" si="13"/>
        <v/>
      </c>
    </row>
    <row r="103" spans="1:34" ht="1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29" t="str">
        <f t="shared" si="14"/>
        <v/>
      </c>
      <c r="Q103" s="30"/>
      <c r="R103" s="31"/>
      <c r="S103" s="68"/>
      <c r="T103" s="40"/>
      <c r="U103" s="38"/>
      <c r="V103" s="74"/>
      <c r="W103" s="34" t="str">
        <f t="shared" si="15"/>
        <v>FALSE</v>
      </c>
      <c r="X103" s="34" t="str">
        <f t="shared" si="11"/>
        <v>FALSE</v>
      </c>
      <c r="Y103" s="35">
        <f t="shared" si="16"/>
        <v>0</v>
      </c>
      <c r="Z103" s="36" t="str">
        <f t="shared" si="17"/>
        <v/>
      </c>
      <c r="AA103" s="6"/>
      <c r="AB103" s="41"/>
      <c r="AC103" s="38"/>
      <c r="AD103" s="38"/>
      <c r="AE103" s="34"/>
      <c r="AF103" s="34" t="str">
        <f t="shared" si="18"/>
        <v>FALSE</v>
      </c>
      <c r="AG103" s="35">
        <f t="shared" si="12"/>
        <v>0</v>
      </c>
      <c r="AH103" s="36" t="str">
        <f t="shared" si="13"/>
        <v/>
      </c>
    </row>
    <row r="104" spans="1:34" ht="1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29" t="str">
        <f t="shared" si="14"/>
        <v/>
      </c>
      <c r="Q104" s="30"/>
      <c r="R104" s="31"/>
      <c r="S104" s="68"/>
      <c r="T104" s="40"/>
      <c r="U104" s="38"/>
      <c r="V104" s="74"/>
      <c r="W104" s="34" t="str">
        <f t="shared" si="15"/>
        <v>FALSE</v>
      </c>
      <c r="X104" s="34" t="str">
        <f t="shared" si="11"/>
        <v>FALSE</v>
      </c>
      <c r="Y104" s="35">
        <f t="shared" si="16"/>
        <v>0</v>
      </c>
      <c r="Z104" s="36" t="str">
        <f t="shared" si="17"/>
        <v/>
      </c>
      <c r="AA104" s="6"/>
      <c r="AB104" s="41"/>
      <c r="AC104" s="38"/>
      <c r="AD104" s="38"/>
      <c r="AE104" s="34"/>
      <c r="AF104" s="34" t="str">
        <f t="shared" si="18"/>
        <v>FALSE</v>
      </c>
      <c r="AG104" s="35">
        <f t="shared" si="12"/>
        <v>0</v>
      </c>
      <c r="AH104" s="36" t="str">
        <f t="shared" si="13"/>
        <v/>
      </c>
    </row>
    <row r="105" spans="1:34" ht="1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29" t="str">
        <f t="shared" si="14"/>
        <v/>
      </c>
      <c r="Q105" s="30"/>
      <c r="R105" s="31"/>
      <c r="S105" s="68"/>
      <c r="T105" s="40"/>
      <c r="U105" s="38"/>
      <c r="V105" s="74"/>
      <c r="W105" s="34" t="str">
        <f t="shared" si="15"/>
        <v>FALSE</v>
      </c>
      <c r="X105" s="34" t="str">
        <f t="shared" si="11"/>
        <v>FALSE</v>
      </c>
      <c r="Y105" s="35">
        <f t="shared" si="16"/>
        <v>0</v>
      </c>
      <c r="Z105" s="36" t="str">
        <f t="shared" si="17"/>
        <v/>
      </c>
      <c r="AA105" s="6"/>
      <c r="AB105" s="41"/>
      <c r="AC105" s="38"/>
      <c r="AD105" s="38"/>
      <c r="AE105" s="34"/>
      <c r="AF105" s="34" t="str">
        <f t="shared" si="18"/>
        <v>FALSE</v>
      </c>
      <c r="AG105" s="35">
        <f t="shared" si="12"/>
        <v>0</v>
      </c>
      <c r="AH105" s="36" t="str">
        <f t="shared" si="13"/>
        <v/>
      </c>
    </row>
    <row r="106" spans="1:34" ht="1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29" t="str">
        <f t="shared" si="14"/>
        <v/>
      </c>
      <c r="Q106" s="30"/>
      <c r="R106" s="31"/>
      <c r="S106" s="68"/>
      <c r="T106" s="40"/>
      <c r="U106" s="38"/>
      <c r="V106" s="74"/>
      <c r="W106" s="34" t="str">
        <f t="shared" si="15"/>
        <v>FALSE</v>
      </c>
      <c r="X106" s="34" t="str">
        <f t="shared" si="11"/>
        <v>FALSE</v>
      </c>
      <c r="Y106" s="35">
        <f t="shared" si="16"/>
        <v>0</v>
      </c>
      <c r="Z106" s="36" t="str">
        <f t="shared" si="17"/>
        <v/>
      </c>
      <c r="AA106" s="6"/>
      <c r="AB106" s="41"/>
      <c r="AC106" s="38"/>
      <c r="AD106" s="38"/>
      <c r="AE106" s="34"/>
      <c r="AF106" s="34" t="str">
        <f t="shared" si="18"/>
        <v>FALSE</v>
      </c>
      <c r="AG106" s="35">
        <f t="shared" si="12"/>
        <v>0</v>
      </c>
      <c r="AH106" s="36" t="str">
        <f t="shared" si="13"/>
        <v/>
      </c>
    </row>
    <row r="107" spans="1:34" ht="1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29" t="str">
        <f t="shared" si="14"/>
        <v/>
      </c>
      <c r="Q107" s="30"/>
      <c r="R107" s="31"/>
      <c r="S107" s="68"/>
      <c r="T107" s="40"/>
      <c r="U107" s="38"/>
      <c r="V107" s="74"/>
      <c r="W107" s="34" t="str">
        <f t="shared" si="15"/>
        <v>FALSE</v>
      </c>
      <c r="X107" s="34" t="str">
        <f t="shared" si="11"/>
        <v>FALSE</v>
      </c>
      <c r="Y107" s="35">
        <f t="shared" si="16"/>
        <v>0</v>
      </c>
      <c r="Z107" s="36" t="str">
        <f t="shared" si="17"/>
        <v/>
      </c>
      <c r="AA107" s="6"/>
      <c r="AB107" s="41"/>
      <c r="AC107" s="38"/>
      <c r="AD107" s="38"/>
      <c r="AE107" s="34"/>
      <c r="AF107" s="34" t="str">
        <f t="shared" si="18"/>
        <v>FALSE</v>
      </c>
      <c r="AG107" s="35">
        <f t="shared" si="12"/>
        <v>0</v>
      </c>
      <c r="AH107" s="36" t="str">
        <f t="shared" si="13"/>
        <v/>
      </c>
    </row>
    <row r="108" spans="1:34" ht="1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29" t="str">
        <f t="shared" si="14"/>
        <v/>
      </c>
      <c r="Q108" s="30"/>
      <c r="R108" s="31"/>
      <c r="S108" s="68"/>
      <c r="T108" s="40"/>
      <c r="U108" s="38"/>
      <c r="V108" s="74"/>
      <c r="W108" s="34" t="str">
        <f t="shared" si="15"/>
        <v>FALSE</v>
      </c>
      <c r="X108" s="34" t="str">
        <f t="shared" si="11"/>
        <v>FALSE</v>
      </c>
      <c r="Y108" s="35">
        <f t="shared" si="16"/>
        <v>0</v>
      </c>
      <c r="Z108" s="36" t="str">
        <f t="shared" si="17"/>
        <v/>
      </c>
      <c r="AA108" s="6"/>
      <c r="AB108" s="41"/>
      <c r="AC108" s="38"/>
      <c r="AD108" s="38"/>
      <c r="AE108" s="34"/>
      <c r="AF108" s="34" t="str">
        <f t="shared" si="18"/>
        <v>FALSE</v>
      </c>
      <c r="AG108" s="35">
        <f t="shared" si="12"/>
        <v>0</v>
      </c>
      <c r="AH108" s="36" t="str">
        <f t="shared" si="13"/>
        <v/>
      </c>
    </row>
    <row r="109" spans="1:34" ht="1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29" t="str">
        <f t="shared" si="14"/>
        <v/>
      </c>
      <c r="Q109" s="30"/>
      <c r="R109" s="31"/>
      <c r="S109" s="68"/>
      <c r="T109" s="40"/>
      <c r="U109" s="38"/>
      <c r="V109" s="74"/>
      <c r="W109" s="34" t="str">
        <f t="shared" si="15"/>
        <v>FALSE</v>
      </c>
      <c r="X109" s="34" t="str">
        <f t="shared" si="11"/>
        <v>FALSE</v>
      </c>
      <c r="Y109" s="35">
        <f t="shared" si="16"/>
        <v>0</v>
      </c>
      <c r="Z109" s="36" t="str">
        <f t="shared" si="17"/>
        <v/>
      </c>
      <c r="AA109" s="6"/>
      <c r="AB109" s="41"/>
      <c r="AC109" s="38"/>
      <c r="AD109" s="38"/>
      <c r="AE109" s="34"/>
      <c r="AF109" s="34" t="str">
        <f t="shared" si="18"/>
        <v>FALSE</v>
      </c>
      <c r="AG109" s="35">
        <f t="shared" si="12"/>
        <v>0</v>
      </c>
      <c r="AH109" s="36" t="str">
        <f t="shared" si="13"/>
        <v/>
      </c>
    </row>
    <row r="110" spans="1:34" ht="1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29" t="str">
        <f t="shared" si="14"/>
        <v/>
      </c>
      <c r="Q110" s="30"/>
      <c r="R110" s="31"/>
      <c r="S110" s="68"/>
      <c r="T110" s="40"/>
      <c r="U110" s="38"/>
      <c r="V110" s="74"/>
      <c r="W110" s="34" t="str">
        <f t="shared" si="15"/>
        <v>FALSE</v>
      </c>
      <c r="X110" s="34" t="str">
        <f t="shared" si="11"/>
        <v>FALSE</v>
      </c>
      <c r="Y110" s="35">
        <f t="shared" si="16"/>
        <v>0</v>
      </c>
      <c r="Z110" s="36" t="str">
        <f t="shared" si="17"/>
        <v/>
      </c>
      <c r="AA110" s="6"/>
      <c r="AB110" s="41"/>
      <c r="AC110" s="38"/>
      <c r="AD110" s="38"/>
      <c r="AE110" s="34"/>
      <c r="AF110" s="34" t="str">
        <f t="shared" si="18"/>
        <v>FALSE</v>
      </c>
      <c r="AG110" s="35">
        <f t="shared" si="12"/>
        <v>0</v>
      </c>
      <c r="AH110" s="36" t="str">
        <f t="shared" si="13"/>
        <v/>
      </c>
    </row>
    <row r="111" spans="1:34" ht="1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29" t="str">
        <f t="shared" si="14"/>
        <v/>
      </c>
      <c r="Q111" s="30"/>
      <c r="R111" s="31"/>
      <c r="S111" s="68"/>
      <c r="T111" s="40"/>
      <c r="U111" s="38"/>
      <c r="V111" s="74"/>
      <c r="W111" s="34" t="str">
        <f t="shared" si="15"/>
        <v>FALSE</v>
      </c>
      <c r="X111" s="34" t="str">
        <f t="shared" si="11"/>
        <v>FALSE</v>
      </c>
      <c r="Y111" s="35">
        <f t="shared" si="16"/>
        <v>0</v>
      </c>
      <c r="Z111" s="36" t="str">
        <f t="shared" si="17"/>
        <v/>
      </c>
      <c r="AA111" s="6"/>
      <c r="AB111" s="41"/>
      <c r="AC111" s="38"/>
      <c r="AD111" s="38"/>
      <c r="AE111" s="34"/>
      <c r="AF111" s="34" t="str">
        <f t="shared" si="18"/>
        <v>FALSE</v>
      </c>
      <c r="AG111" s="35">
        <f t="shared" si="12"/>
        <v>0</v>
      </c>
      <c r="AH111" s="36" t="str">
        <f t="shared" si="13"/>
        <v/>
      </c>
    </row>
    <row r="112" spans="1:34" ht="1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29" t="str">
        <f t="shared" si="14"/>
        <v/>
      </c>
      <c r="Q112" s="30"/>
      <c r="R112" s="31"/>
      <c r="S112" s="68"/>
      <c r="T112" s="40"/>
      <c r="U112" s="38"/>
      <c r="V112" s="74"/>
      <c r="W112" s="34" t="str">
        <f t="shared" si="15"/>
        <v>FALSE</v>
      </c>
      <c r="X112" s="34" t="str">
        <f t="shared" si="11"/>
        <v>FALSE</v>
      </c>
      <c r="Y112" s="35">
        <f t="shared" si="16"/>
        <v>0</v>
      </c>
      <c r="Z112" s="36" t="str">
        <f t="shared" si="17"/>
        <v/>
      </c>
      <c r="AA112" s="6"/>
      <c r="AB112" s="41"/>
      <c r="AC112" s="38"/>
      <c r="AD112" s="38"/>
      <c r="AE112" s="34"/>
      <c r="AF112" s="34" t="str">
        <f t="shared" si="18"/>
        <v>FALSE</v>
      </c>
      <c r="AG112" s="35">
        <f t="shared" si="12"/>
        <v>0</v>
      </c>
      <c r="AH112" s="36" t="str">
        <f t="shared" si="13"/>
        <v/>
      </c>
    </row>
    <row r="113" spans="1:34" ht="1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29" t="str">
        <f t="shared" si="14"/>
        <v/>
      </c>
      <c r="Q113" s="30"/>
      <c r="R113" s="31"/>
      <c r="S113" s="68"/>
      <c r="T113" s="40"/>
      <c r="U113" s="38"/>
      <c r="V113" s="74"/>
      <c r="W113" s="34" t="str">
        <f t="shared" si="15"/>
        <v>FALSE</v>
      </c>
      <c r="X113" s="34" t="str">
        <f t="shared" si="11"/>
        <v>FALSE</v>
      </c>
      <c r="Y113" s="35">
        <f t="shared" si="16"/>
        <v>0</v>
      </c>
      <c r="Z113" s="36" t="str">
        <f t="shared" si="17"/>
        <v/>
      </c>
      <c r="AA113" s="6"/>
      <c r="AB113" s="41"/>
      <c r="AC113" s="38"/>
      <c r="AD113" s="38"/>
      <c r="AE113" s="34"/>
      <c r="AF113" s="34" t="str">
        <f t="shared" si="18"/>
        <v>FALSE</v>
      </c>
      <c r="AG113" s="35">
        <f t="shared" si="12"/>
        <v>0</v>
      </c>
      <c r="AH113" s="36" t="str">
        <f t="shared" si="13"/>
        <v/>
      </c>
    </row>
    <row r="114" spans="1:34" ht="1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29" t="str">
        <f t="shared" si="14"/>
        <v/>
      </c>
      <c r="Q114" s="30"/>
      <c r="R114" s="31"/>
      <c r="S114" s="68"/>
      <c r="T114" s="40"/>
      <c r="U114" s="38"/>
      <c r="V114" s="74"/>
      <c r="W114" s="34" t="str">
        <f t="shared" si="15"/>
        <v>FALSE</v>
      </c>
      <c r="X114" s="34" t="str">
        <f t="shared" si="11"/>
        <v>FALSE</v>
      </c>
      <c r="Y114" s="35">
        <f t="shared" si="16"/>
        <v>0</v>
      </c>
      <c r="Z114" s="36" t="str">
        <f t="shared" si="17"/>
        <v/>
      </c>
      <c r="AA114" s="6"/>
      <c r="AB114" s="41"/>
      <c r="AC114" s="38"/>
      <c r="AD114" s="38"/>
      <c r="AE114" s="34"/>
      <c r="AF114" s="34" t="str">
        <f t="shared" si="18"/>
        <v>FALSE</v>
      </c>
      <c r="AG114" s="35">
        <f t="shared" si="12"/>
        <v>0</v>
      </c>
      <c r="AH114" s="36" t="str">
        <f t="shared" si="13"/>
        <v/>
      </c>
    </row>
    <row r="115" spans="1:34" ht="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29" t="str">
        <f t="shared" si="14"/>
        <v/>
      </c>
      <c r="Q115" s="30"/>
      <c r="R115" s="31"/>
      <c r="S115" s="68"/>
      <c r="T115" s="40"/>
      <c r="U115" s="38"/>
      <c r="V115" s="74"/>
      <c r="W115" s="34" t="str">
        <f t="shared" si="15"/>
        <v>FALSE</v>
      </c>
      <c r="X115" s="34" t="str">
        <f t="shared" si="11"/>
        <v>FALSE</v>
      </c>
      <c r="Y115" s="35">
        <f t="shared" si="16"/>
        <v>0</v>
      </c>
      <c r="Z115" s="36" t="str">
        <f t="shared" si="17"/>
        <v/>
      </c>
      <c r="AA115" s="6"/>
      <c r="AB115" s="41"/>
      <c r="AC115" s="38"/>
      <c r="AD115" s="38"/>
      <c r="AE115" s="34"/>
      <c r="AF115" s="34" t="str">
        <f t="shared" si="18"/>
        <v>FALSE</v>
      </c>
      <c r="AG115" s="35">
        <f t="shared" si="12"/>
        <v>0</v>
      </c>
      <c r="AH115" s="36" t="str">
        <f t="shared" si="13"/>
        <v/>
      </c>
    </row>
    <row r="116" spans="1:34" ht="1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29" t="str">
        <f t="shared" si="14"/>
        <v/>
      </c>
      <c r="Q116" s="30"/>
      <c r="R116" s="31"/>
      <c r="S116" s="68"/>
      <c r="T116" s="40"/>
      <c r="U116" s="38"/>
      <c r="V116" s="74"/>
      <c r="W116" s="34" t="str">
        <f t="shared" si="15"/>
        <v>FALSE</v>
      </c>
      <c r="X116" s="34" t="str">
        <f t="shared" si="11"/>
        <v>FALSE</v>
      </c>
      <c r="Y116" s="35">
        <f t="shared" si="16"/>
        <v>0</v>
      </c>
      <c r="Z116" s="36" t="str">
        <f t="shared" si="17"/>
        <v/>
      </c>
      <c r="AA116" s="6"/>
      <c r="AB116" s="41"/>
      <c r="AC116" s="38"/>
      <c r="AD116" s="38"/>
      <c r="AE116" s="34"/>
      <c r="AF116" s="34" t="str">
        <f t="shared" si="18"/>
        <v>FALSE</v>
      </c>
      <c r="AG116" s="35">
        <f t="shared" si="12"/>
        <v>0</v>
      </c>
      <c r="AH116" s="36" t="str">
        <f t="shared" si="13"/>
        <v/>
      </c>
    </row>
    <row r="117" spans="1:34" ht="1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29" t="str">
        <f t="shared" si="14"/>
        <v/>
      </c>
      <c r="Q117" s="30"/>
      <c r="R117" s="31"/>
      <c r="S117" s="68"/>
      <c r="T117" s="40"/>
      <c r="U117" s="38"/>
      <c r="V117" s="74"/>
      <c r="W117" s="34" t="str">
        <f t="shared" si="15"/>
        <v>FALSE</v>
      </c>
      <c r="X117" s="34" t="str">
        <f t="shared" si="11"/>
        <v>FALSE</v>
      </c>
      <c r="Y117" s="35">
        <f t="shared" si="16"/>
        <v>0</v>
      </c>
      <c r="Z117" s="36" t="str">
        <f t="shared" si="17"/>
        <v/>
      </c>
      <c r="AA117" s="6"/>
      <c r="AB117" s="41"/>
      <c r="AC117" s="38"/>
      <c r="AD117" s="38"/>
      <c r="AE117" s="34"/>
      <c r="AF117" s="34" t="str">
        <f t="shared" si="18"/>
        <v>FALSE</v>
      </c>
      <c r="AG117" s="35">
        <f t="shared" si="12"/>
        <v>0</v>
      </c>
      <c r="AH117" s="36" t="str">
        <f t="shared" si="13"/>
        <v/>
      </c>
    </row>
    <row r="118" spans="1:34" ht="1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29" t="str">
        <f t="shared" si="14"/>
        <v/>
      </c>
      <c r="Q118" s="30"/>
      <c r="R118" s="31"/>
      <c r="S118" s="68"/>
      <c r="T118" s="40"/>
      <c r="U118" s="38"/>
      <c r="V118" s="74"/>
      <c r="W118" s="34" t="str">
        <f t="shared" si="15"/>
        <v>FALSE</v>
      </c>
      <c r="X118" s="34" t="str">
        <f t="shared" si="11"/>
        <v>FALSE</v>
      </c>
      <c r="Y118" s="35">
        <f t="shared" si="16"/>
        <v>0</v>
      </c>
      <c r="Z118" s="36" t="str">
        <f t="shared" si="17"/>
        <v/>
      </c>
      <c r="AA118" s="6"/>
      <c r="AB118" s="41"/>
      <c r="AC118" s="38"/>
      <c r="AD118" s="38"/>
      <c r="AE118" s="34"/>
      <c r="AF118" s="34" t="str">
        <f t="shared" si="18"/>
        <v>FALSE</v>
      </c>
      <c r="AG118" s="35">
        <f t="shared" si="12"/>
        <v>0</v>
      </c>
      <c r="AH118" s="36" t="str">
        <f t="shared" si="13"/>
        <v/>
      </c>
    </row>
    <row r="119" spans="1:34" ht="1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29" t="str">
        <f t="shared" si="14"/>
        <v/>
      </c>
      <c r="Q119" s="30"/>
      <c r="R119" s="31"/>
      <c r="S119" s="68"/>
      <c r="T119" s="40"/>
      <c r="U119" s="38"/>
      <c r="V119" s="74"/>
      <c r="W119" s="34" t="str">
        <f t="shared" si="15"/>
        <v>FALSE</v>
      </c>
      <c r="X119" s="34" t="str">
        <f t="shared" si="11"/>
        <v>FALSE</v>
      </c>
      <c r="Y119" s="35">
        <f t="shared" si="16"/>
        <v>0</v>
      </c>
      <c r="Z119" s="36" t="str">
        <f t="shared" si="17"/>
        <v/>
      </c>
      <c r="AA119" s="6"/>
      <c r="AB119" s="41"/>
      <c r="AC119" s="38"/>
      <c r="AD119" s="38"/>
      <c r="AE119" s="34"/>
      <c r="AF119" s="34" t="str">
        <f t="shared" si="18"/>
        <v>FALSE</v>
      </c>
      <c r="AG119" s="35">
        <f t="shared" si="12"/>
        <v>0</v>
      </c>
      <c r="AH119" s="36" t="str">
        <f t="shared" si="13"/>
        <v/>
      </c>
    </row>
    <row r="120" spans="1:34" ht="1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29" t="str">
        <f t="shared" si="14"/>
        <v/>
      </c>
      <c r="Q120" s="30"/>
      <c r="R120" s="31"/>
      <c r="S120" s="68"/>
      <c r="T120" s="40"/>
      <c r="U120" s="38"/>
      <c r="V120" s="74"/>
      <c r="W120" s="34" t="str">
        <f t="shared" si="15"/>
        <v>FALSE</v>
      </c>
      <c r="X120" s="34" t="str">
        <f t="shared" si="11"/>
        <v>FALSE</v>
      </c>
      <c r="Y120" s="35">
        <f t="shared" si="16"/>
        <v>0</v>
      </c>
      <c r="Z120" s="36" t="str">
        <f t="shared" si="17"/>
        <v/>
      </c>
      <c r="AA120" s="6"/>
      <c r="AB120" s="41"/>
      <c r="AC120" s="38"/>
      <c r="AD120" s="38"/>
      <c r="AE120" s="34"/>
      <c r="AF120" s="34" t="str">
        <f t="shared" si="18"/>
        <v>FALSE</v>
      </c>
      <c r="AG120" s="35">
        <f t="shared" si="12"/>
        <v>0</v>
      </c>
      <c r="AH120" s="36" t="str">
        <f t="shared" si="13"/>
        <v/>
      </c>
    </row>
  </sheetData>
  <mergeCells count="11">
    <mergeCell ref="P6:U6"/>
    <mergeCell ref="X6:AA6"/>
    <mergeCell ref="Q8:Z8"/>
    <mergeCell ref="AB8:AH8"/>
    <mergeCell ref="D1:L2"/>
    <mergeCell ref="X2:AA2"/>
    <mergeCell ref="AC2:AG2"/>
    <mergeCell ref="P3:R3"/>
    <mergeCell ref="T3:U3"/>
    <mergeCell ref="X3:AA3"/>
    <mergeCell ref="AC3:AG3"/>
  </mergeCells>
  <conditionalFormatting sqref="U14:U120">
    <cfRule type="containsBlanks" dxfId="359" priority="1">
      <formula>LEN(TRIM(U14))=0</formula>
    </cfRule>
    <cfRule type="expression" dxfId="358" priority="2">
      <formula>AND(X14&gt;=2,X14&lt;3)</formula>
    </cfRule>
    <cfRule type="expression" dxfId="357" priority="3">
      <formula>X14&gt;3</formula>
    </cfRule>
  </conditionalFormatting>
  <conditionalFormatting sqref="W14:W120">
    <cfRule type="expression" dxfId="356" priority="15">
      <formula>X14="FALSE"</formula>
    </cfRule>
  </conditionalFormatting>
  <conditionalFormatting sqref="X14:X120">
    <cfRule type="expression" dxfId="355" priority="14">
      <formula>X14="FALSE"</formula>
    </cfRule>
    <cfRule type="expression" dxfId="354" priority="16">
      <formula>AND(X14&gt;2,X14&lt;3)</formula>
    </cfRule>
  </conditionalFormatting>
  <conditionalFormatting sqref="X14:Y50 X51:X120">
    <cfRule type="expression" dxfId="353" priority="20">
      <formula>X14&gt;=3</formula>
    </cfRule>
  </conditionalFormatting>
  <conditionalFormatting sqref="Y14:Y50">
    <cfRule type="expression" dxfId="352" priority="19">
      <formula>AND(X14&gt;=2,X14&lt;3)</formula>
    </cfRule>
  </conditionalFormatting>
  <conditionalFormatting sqref="Z14:Z120">
    <cfRule type="cellIs" dxfId="351" priority="17" operator="notBetween">
      <formula>0.8</formula>
      <formula>1.15</formula>
    </cfRule>
  </conditionalFormatting>
  <conditionalFormatting sqref="AC14:AC120">
    <cfRule type="containsBlanks" dxfId="350" priority="4">
      <formula>LEN(TRIM(AC14))=0</formula>
    </cfRule>
    <cfRule type="expression" dxfId="349" priority="5">
      <formula>AND(AF14&gt;=2,AF14&lt;3)</formula>
    </cfRule>
    <cfRule type="expression" dxfId="348" priority="6">
      <formula>AF14&gt;3</formula>
    </cfRule>
  </conditionalFormatting>
  <conditionalFormatting sqref="AE14:AE120">
    <cfRule type="expression" dxfId="347" priority="13">
      <formula>AF14="FALSE"</formula>
    </cfRule>
  </conditionalFormatting>
  <conditionalFormatting sqref="AF14:AF120">
    <cfRule type="expression" dxfId="346" priority="10">
      <formula>AF14="FALSE"</formula>
    </cfRule>
    <cfRule type="expression" dxfId="345" priority="11">
      <formula>AND(AF14&gt;2,AF14&lt;3)</formula>
    </cfRule>
    <cfRule type="expression" dxfId="344" priority="12">
      <formula>AF14&gt;=3</formula>
    </cfRule>
  </conditionalFormatting>
  <conditionalFormatting sqref="AG14:AG120">
    <cfRule type="expression" dxfId="343" priority="7">
      <formula>AF14=0</formula>
    </cfRule>
    <cfRule type="expression" dxfId="342" priority="8">
      <formula>AND(AF14&gt;=2,AF14&lt;3)</formula>
    </cfRule>
    <cfRule type="expression" dxfId="341" priority="9">
      <formula>AG14&gt;=3</formula>
    </cfRule>
  </conditionalFormatting>
  <conditionalFormatting sqref="AH14:AH120">
    <cfRule type="cellIs" dxfId="340" priority="18" operator="notBetween">
      <formula>0.8</formula>
      <formula>1.15</formula>
    </cfRule>
  </conditionalFormatting>
  <pageMargins left="0.4" right="0.4" top="0.4" bottom="0.4" header="0" footer="0"/>
  <pageSetup scale="10" fitToHeight="0" orientation="landscape" horizontalDpi="4294967292" verticalDpi="4294967292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5A271-2DAC-4F6E-9C1A-58B22514C914}">
  <sheetPr>
    <tabColor rgb="FFFFFFFF"/>
    <pageSetUpPr fitToPage="1"/>
  </sheetPr>
  <dimension ref="A1:AH120"/>
  <sheetViews>
    <sheetView showGridLines="0" tabSelected="1" zoomScale="70" zoomScaleNormal="70" workbookViewId="0">
      <selection activeCell="U11" sqref="U11"/>
    </sheetView>
  </sheetViews>
  <sheetFormatPr defaultColWidth="11" defaultRowHeight="13.5" customHeight="1"/>
  <cols>
    <col min="1" max="2" width="3.125" style="12" customWidth="1"/>
    <col min="3" max="8" width="11" style="12"/>
    <col min="9" max="9" width="9" style="12" customWidth="1"/>
    <col min="10" max="13" width="11" style="12"/>
    <col min="14" max="15" width="4" style="12" customWidth="1"/>
    <col min="16" max="16" width="6.125" style="43" customWidth="1"/>
    <col min="17" max="17" width="13" style="12" customWidth="1"/>
    <col min="18" max="18" width="12.875" style="44" customWidth="1"/>
    <col min="19" max="19" width="3" style="44" customWidth="1"/>
    <col min="20" max="20" width="12" style="45" customWidth="1"/>
    <col min="21" max="21" width="14.875" style="8" customWidth="1"/>
    <col min="22" max="22" width="2.375" style="12" customWidth="1"/>
    <col min="23" max="23" width="12.875" style="6" customWidth="1"/>
    <col min="24" max="24" width="11.5" style="6" customWidth="1"/>
    <col min="25" max="25" width="13" style="12" customWidth="1"/>
    <col min="26" max="26" width="11.625" style="12" customWidth="1"/>
    <col min="27" max="27" width="9.125" style="12" customWidth="1"/>
    <col min="28" max="28" width="13.375" style="8" customWidth="1"/>
    <col min="29" max="29" width="13.75" style="12" customWidth="1"/>
    <col min="30" max="30" width="2" style="12" customWidth="1"/>
    <col min="31" max="31" width="12.75" style="12" customWidth="1"/>
    <col min="32" max="32" width="12.375" style="12" customWidth="1"/>
    <col min="33" max="33" width="13.125" style="12" customWidth="1"/>
    <col min="34" max="34" width="15.25" style="12" customWidth="1"/>
    <col min="35" max="16384" width="11" style="12"/>
  </cols>
  <sheetData>
    <row r="1" spans="1:34" s="7" customFormat="1" ht="31.5" customHeight="1">
      <c r="A1" s="1"/>
      <c r="B1" s="1"/>
      <c r="C1" s="1"/>
      <c r="D1" s="162" t="s">
        <v>8</v>
      </c>
      <c r="E1" s="162"/>
      <c r="F1" s="162"/>
      <c r="G1" s="162"/>
      <c r="H1" s="162"/>
      <c r="I1" s="162"/>
      <c r="J1" s="162"/>
      <c r="K1" s="162"/>
      <c r="L1" s="162"/>
      <c r="M1" s="1"/>
      <c r="N1" s="1"/>
      <c r="O1" s="1"/>
      <c r="P1" s="2"/>
      <c r="Q1" s="3" t="s">
        <v>74</v>
      </c>
      <c r="R1" s="4"/>
      <c r="S1" s="4"/>
      <c r="T1" s="4"/>
      <c r="U1" s="5"/>
      <c r="V1" s="6"/>
      <c r="W1" s="6"/>
      <c r="X1" s="6"/>
      <c r="Y1" s="5"/>
      <c r="Z1" s="5"/>
      <c r="AA1" s="5"/>
      <c r="AB1" s="5"/>
      <c r="AC1" s="5"/>
      <c r="AD1" s="5"/>
      <c r="AE1" s="5"/>
      <c r="AF1" s="5"/>
      <c r="AG1" s="5"/>
      <c r="AH1"/>
    </row>
    <row r="2" spans="1:34" ht="15.75" customHeight="1">
      <c r="A2" s="8"/>
      <c r="B2" s="8"/>
      <c r="C2" s="8"/>
      <c r="D2" s="162"/>
      <c r="E2" s="162"/>
      <c r="F2" s="162"/>
      <c r="G2" s="162"/>
      <c r="H2" s="162"/>
      <c r="I2" s="162"/>
      <c r="J2" s="162"/>
      <c r="K2" s="162"/>
      <c r="L2" s="162"/>
      <c r="M2" s="8"/>
      <c r="N2" s="8"/>
      <c r="O2" s="8"/>
      <c r="P2" s="9"/>
      <c r="Q2" s="10" t="s">
        <v>75</v>
      </c>
      <c r="R2" s="11"/>
      <c r="S2" s="11"/>
      <c r="T2" s="10" t="s">
        <v>76</v>
      </c>
      <c r="X2" s="163" t="s">
        <v>77</v>
      </c>
      <c r="Y2" s="163"/>
      <c r="Z2" s="163"/>
      <c r="AA2" s="163"/>
      <c r="AC2" s="163" t="s">
        <v>78</v>
      </c>
      <c r="AD2" s="163"/>
      <c r="AE2" s="163"/>
      <c r="AF2" s="163"/>
      <c r="AG2" s="163"/>
      <c r="AH2"/>
    </row>
    <row r="3" spans="1:34" ht="26.2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164">
        <f>MIN(R14:R16)</f>
        <v>45677</v>
      </c>
      <c r="Q3" s="165"/>
      <c r="R3" s="166"/>
      <c r="S3" s="65"/>
      <c r="T3" s="167">
        <f>MAX(R14:R116)</f>
        <v>46065</v>
      </c>
      <c r="U3" s="168"/>
      <c r="X3" s="164" t="s">
        <v>79</v>
      </c>
      <c r="Y3" s="165"/>
      <c r="Z3" s="165"/>
      <c r="AA3" s="168"/>
      <c r="AC3" s="169" t="s">
        <v>80</v>
      </c>
      <c r="AD3" s="170"/>
      <c r="AE3" s="170"/>
      <c r="AF3" s="170"/>
      <c r="AG3" s="171"/>
      <c r="AH3"/>
    </row>
    <row r="4" spans="1:34" ht="15.7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13"/>
      <c r="Q4" s="14"/>
      <c r="R4" s="15">
        <f>MIN(P14:P120)</f>
        <v>1</v>
      </c>
      <c r="S4" s="15"/>
      <c r="T4" s="16">
        <f>MAX(P14:P120)</f>
        <v>42</v>
      </c>
      <c r="U4" s="14"/>
      <c r="V4" s="6"/>
      <c r="X4" s="14"/>
      <c r="Y4" s="14"/>
      <c r="Z4" s="14"/>
      <c r="AA4" s="14"/>
      <c r="AB4"/>
      <c r="AC4" s="14"/>
      <c r="AD4" s="14"/>
      <c r="AE4" s="14"/>
      <c r="AF4" s="14"/>
      <c r="AH4" s="8"/>
    </row>
    <row r="5" spans="1:34" ht="20.2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17"/>
      <c r="Q5" s="17" t="s">
        <v>81</v>
      </c>
      <c r="R5" s="11"/>
      <c r="S5" s="11"/>
      <c r="T5" s="18"/>
      <c r="U5" s="17"/>
      <c r="V5" s="6"/>
      <c r="X5" s="17" t="s">
        <v>82</v>
      </c>
      <c r="Y5" s="17"/>
      <c r="Z5" s="17"/>
      <c r="AA5" s="14"/>
      <c r="AB5"/>
      <c r="AC5" s="10"/>
      <c r="AD5" s="10"/>
    </row>
    <row r="6" spans="1:34" ht="25.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158" t="s">
        <v>83</v>
      </c>
      <c r="Q6" s="158"/>
      <c r="R6" s="158"/>
      <c r="S6" s="158"/>
      <c r="T6" s="158"/>
      <c r="U6" s="158"/>
      <c r="V6" s="6"/>
      <c r="X6" s="159"/>
      <c r="Y6" s="159"/>
      <c r="Z6" s="159"/>
      <c r="AA6" s="159"/>
      <c r="AB6"/>
      <c r="AC6" s="6"/>
      <c r="AD6" s="6"/>
    </row>
    <row r="7" spans="1:34" ht="23.2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19"/>
      <c r="Q7" s="20" t="s">
        <v>84</v>
      </c>
      <c r="R7" s="21"/>
      <c r="S7" s="21"/>
      <c r="T7" s="22"/>
      <c r="V7" s="8"/>
      <c r="Y7" s="8"/>
      <c r="Z7" s="8"/>
      <c r="AA7" s="8"/>
      <c r="AC7" s="8"/>
      <c r="AD7" s="8"/>
      <c r="AE7" s="8"/>
      <c r="AF7" s="8"/>
      <c r="AG7" s="8"/>
      <c r="AH7" s="8"/>
    </row>
    <row r="8" spans="1:34" ht="31.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19"/>
      <c r="Q8" s="160" t="s">
        <v>85</v>
      </c>
      <c r="R8" s="160"/>
      <c r="S8" s="160"/>
      <c r="T8" s="160"/>
      <c r="U8" s="160"/>
      <c r="V8" s="160"/>
      <c r="W8" s="160"/>
      <c r="X8" s="160"/>
      <c r="Y8" s="160"/>
      <c r="Z8" s="160"/>
      <c r="AA8" s="6"/>
      <c r="AB8" s="161" t="s">
        <v>86</v>
      </c>
      <c r="AC8" s="161"/>
      <c r="AD8" s="161"/>
      <c r="AE8" s="161"/>
      <c r="AF8" s="161"/>
      <c r="AG8" s="161"/>
      <c r="AH8" s="161"/>
    </row>
    <row r="9" spans="1:34" customFormat="1" ht="11.25" customHeight="1"/>
    <row r="10" spans="1:34" s="52" customFormat="1" ht="27.75" customHeight="1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Q10" s="73" t="s">
        <v>87</v>
      </c>
      <c r="R10" s="73" t="s">
        <v>88</v>
      </c>
      <c r="S10" s="66"/>
      <c r="T10" s="49" t="s">
        <v>89</v>
      </c>
      <c r="U10" s="46" t="s">
        <v>90</v>
      </c>
      <c r="V10" s="50"/>
      <c r="W10" s="47" t="s">
        <v>91</v>
      </c>
      <c r="X10" s="61" t="s">
        <v>92</v>
      </c>
      <c r="Y10" s="61" t="s">
        <v>93</v>
      </c>
      <c r="Z10" s="48" t="s">
        <v>94</v>
      </c>
      <c r="AA10" s="53"/>
      <c r="AB10" s="49" t="s">
        <v>95</v>
      </c>
      <c r="AC10" s="46" t="s">
        <v>90</v>
      </c>
      <c r="AE10" s="47" t="s">
        <v>91</v>
      </c>
      <c r="AF10" s="61" t="s">
        <v>92</v>
      </c>
      <c r="AG10" s="61" t="s">
        <v>93</v>
      </c>
      <c r="AH10" s="48" t="s">
        <v>94</v>
      </c>
    </row>
    <row r="11" spans="1:34" s="55" customFormat="1" ht="27.75" customHeight="1" thickBot="1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Q11" s="64">
        <f>IF(U11="","",1.15)</f>
        <v>1.1499999999999999</v>
      </c>
      <c r="R11" s="64">
        <f>IF(U11="","",0.8)</f>
        <v>0.8</v>
      </c>
      <c r="S11" s="67"/>
      <c r="T11" s="62">
        <f>_xlfn.STDEV.P($U$14:$U$120)/$U$11</f>
        <v>0.12481692368520698</v>
      </c>
      <c r="U11" s="63">
        <f>AVERAGE($W$14:$W$120)</f>
        <v>24.774978571428569</v>
      </c>
      <c r="V11" s="56"/>
      <c r="W11" s="60">
        <f>$U$11-(3*_xlfn.STDEV.S($W$14:$W$120))</f>
        <v>15.385516032722359</v>
      </c>
      <c r="X11" s="59">
        <f>$U$11-(2*_xlfn.STDEV.S($W$14:$W$120))</f>
        <v>18.515336878957761</v>
      </c>
      <c r="Y11" s="59">
        <f>$U$11+(2*_xlfn.STDEV.S($W$14:$W$120))</f>
        <v>31.034620263899377</v>
      </c>
      <c r="Z11" s="58">
        <f>$U$11+(3*_xlfn.STDEV.S($W$14:$W$120))</f>
        <v>34.164441110134781</v>
      </c>
      <c r="AA11" s="57"/>
      <c r="AB11" s="62">
        <f>_xlfn.STDEV.P($AC$14:$AC$120)/$AC$11</f>
        <v>0.15255360900019818</v>
      </c>
      <c r="AC11" s="63">
        <f>AVERAGE($AC$14:$AC$120)</f>
        <v>1.3897547619047619</v>
      </c>
      <c r="AE11" s="60">
        <f>$AC$11-(3*_xlfn.STDEV.S($AE$14:$AE$120))</f>
        <v>0.8299696717182472</v>
      </c>
      <c r="AF11" s="59">
        <f>$AC$11-(2*_xlfn.STDEV.S($AE$14:$AE$120))</f>
        <v>1.0165647017804187</v>
      </c>
      <c r="AG11" s="59">
        <f>$AC$11+(2*_xlfn.STDEV.S($AE$14:$AE$120))</f>
        <v>1.7629448220291051</v>
      </c>
      <c r="AH11" s="58">
        <f>$AC$11+(3*_xlfn.STDEV.S($AE$14:$AE$120))</f>
        <v>1.9495398520912766</v>
      </c>
    </row>
    <row r="12" spans="1:34" ht="11.2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19"/>
      <c r="Q12" s="20"/>
      <c r="R12" s="21"/>
      <c r="S12" s="21"/>
      <c r="T12" s="22"/>
      <c r="V12" s="8"/>
      <c r="Y12" s="8"/>
      <c r="Z12" s="8"/>
      <c r="AA12" s="6"/>
      <c r="AC12" s="8"/>
      <c r="AD12" s="8"/>
      <c r="AE12" s="8"/>
      <c r="AF12" s="8"/>
      <c r="AG12" s="8"/>
      <c r="AH12" s="8"/>
    </row>
    <row r="13" spans="1:34" ht="4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70" t="s">
        <v>96</v>
      </c>
      <c r="Q13" s="71" t="s">
        <v>97</v>
      </c>
      <c r="R13" s="71" t="s">
        <v>98</v>
      </c>
      <c r="S13" s="69"/>
      <c r="T13" s="72" t="s">
        <v>99</v>
      </c>
      <c r="U13" s="71" t="s">
        <v>100</v>
      </c>
      <c r="V13" s="69"/>
      <c r="W13" s="75" t="s">
        <v>101</v>
      </c>
      <c r="X13" s="75" t="s">
        <v>102</v>
      </c>
      <c r="Y13" s="76" t="s">
        <v>103</v>
      </c>
      <c r="Z13" s="77" t="s">
        <v>104</v>
      </c>
      <c r="AA13" s="6"/>
      <c r="AB13" s="26" t="s">
        <v>99</v>
      </c>
      <c r="AC13" s="27" t="s">
        <v>100</v>
      </c>
      <c r="AD13" s="28"/>
      <c r="AE13" s="23" t="s">
        <v>101</v>
      </c>
      <c r="AF13" s="23" t="s">
        <v>102</v>
      </c>
      <c r="AG13" s="24" t="s">
        <v>105</v>
      </c>
      <c r="AH13" s="25" t="s">
        <v>104</v>
      </c>
    </row>
    <row r="14" spans="1:34" ht="1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29">
        <v>1</v>
      </c>
      <c r="Q14" s="30" t="s">
        <v>106</v>
      </c>
      <c r="R14" s="31">
        <v>45677</v>
      </c>
      <c r="S14" s="68"/>
      <c r="T14" s="138">
        <v>25.66</v>
      </c>
      <c r="U14" s="38">
        <v>22.294</v>
      </c>
      <c r="V14" s="74"/>
      <c r="W14" s="34">
        <f>IF(X14&gt;3,"FALSE",U14)</f>
        <v>22.294</v>
      </c>
      <c r="X14" s="34">
        <f t="shared" ref="X14:X77" si="0">IF(U14="","FALSE",ABS((U14-AVERAGE($U$14:$U$120))/_xlfn.STDEV.S($U$14:$U$104)))</f>
        <v>0.7926902827082668</v>
      </c>
      <c r="Y14" s="35" t="str">
        <f>IF(OR(U14&gt;$Y$11,U14&lt;$X$11),U14,"")</f>
        <v/>
      </c>
      <c r="Z14" s="36">
        <f>IF(U14="","",U14/T14)</f>
        <v>0.86882307092751365</v>
      </c>
      <c r="AA14" s="6"/>
      <c r="AB14" s="37">
        <v>1.385</v>
      </c>
      <c r="AC14" s="38">
        <v>1.7010000000000001</v>
      </c>
      <c r="AD14" s="38"/>
      <c r="AE14" s="34">
        <f>IF(AF14&gt;3,"FALSE",AC14)</f>
        <v>1.7010000000000001</v>
      </c>
      <c r="AF14" s="34">
        <f>IF(AC14="","FALSE",ABS((AC14-AVERAGE($AC$14:$AC$120))/_xlfn.STDEV.S($AC$14:$AC$104)))</f>
        <v>1.4504719737195904</v>
      </c>
      <c r="AG14" s="35" t="str">
        <f t="shared" ref="AG14:AG77" si="1">IF(OR(AC14&gt;$AG$11,AC14&lt;$AF$11),AC14,"")</f>
        <v/>
      </c>
      <c r="AH14" s="36">
        <f t="shared" ref="AH14:AH77" si="2">IF(AC14="","",AC14/AB14)</f>
        <v>1.2281588447653431</v>
      </c>
    </row>
    <row r="15" spans="1:34" ht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29">
        <f t="shared" ref="P15:P78" si="3">IF(R15&lt;&gt;"",P14+1,"")</f>
        <v>2</v>
      </c>
      <c r="Q15" s="30" t="s">
        <v>106</v>
      </c>
      <c r="R15" s="31">
        <v>45677</v>
      </c>
      <c r="S15" s="68"/>
      <c r="T15" s="138">
        <v>25.66</v>
      </c>
      <c r="U15" s="38">
        <v>26.783000000000001</v>
      </c>
      <c r="V15" s="74"/>
      <c r="W15" s="34">
        <f t="shared" ref="W15:W78" si="4">IF(X15&gt;3,"FALSE",U15)</f>
        <v>26.783000000000001</v>
      </c>
      <c r="X15" s="34">
        <f t="shared" si="0"/>
        <v>0.64157711486480473</v>
      </c>
      <c r="Y15" s="35" t="str">
        <f t="shared" ref="Y15:Y78" si="5">IF(OR(U15&gt;$Y$11,U15&lt;$X$11),U15,"")</f>
        <v/>
      </c>
      <c r="Z15" s="36">
        <f t="shared" ref="Z15:Z78" si="6">IF(U15="","",U15/T15)</f>
        <v>1.0437646141855028</v>
      </c>
      <c r="AA15" s="6"/>
      <c r="AB15" s="37">
        <v>1.385</v>
      </c>
      <c r="AC15" s="38">
        <v>1.4650000000000001</v>
      </c>
      <c r="AD15" s="38"/>
      <c r="AE15" s="34">
        <f t="shared" ref="AE15:AE59" si="7">IF(AF15&gt;3,"FALSE",AC15)</f>
        <v>1.4650000000000001</v>
      </c>
      <c r="AF15" s="34">
        <f t="shared" ref="AF15:AF78" si="8">IF(AC15="","FALSE",ABS((AC15-AVERAGE($AC$14:$AC$120))/_xlfn.STDEV.S($AC$14:$AC$104)))</f>
        <v>0.35065953034630681</v>
      </c>
      <c r="AG15" s="35" t="str">
        <f t="shared" si="1"/>
        <v/>
      </c>
      <c r="AH15" s="36">
        <f t="shared" si="2"/>
        <v>1.0577617328519857</v>
      </c>
    </row>
    <row r="16" spans="1:34" ht="1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29">
        <f t="shared" si="3"/>
        <v>3</v>
      </c>
      <c r="Q16" s="30" t="s">
        <v>106</v>
      </c>
      <c r="R16" s="31">
        <v>45677</v>
      </c>
      <c r="S16" s="68"/>
      <c r="T16" s="138">
        <v>25.66</v>
      </c>
      <c r="U16" s="38">
        <v>25.356000000000002</v>
      </c>
      <c r="V16" s="74"/>
      <c r="W16" s="34">
        <f t="shared" si="4"/>
        <v>25.356000000000002</v>
      </c>
      <c r="X16" s="34">
        <f t="shared" si="0"/>
        <v>0.1856404750036392</v>
      </c>
      <c r="Y16" s="35" t="str">
        <f t="shared" si="5"/>
        <v/>
      </c>
      <c r="Z16" s="36">
        <f t="shared" si="6"/>
        <v>0.98815276695245524</v>
      </c>
      <c r="AA16" s="6"/>
      <c r="AB16" s="37">
        <v>1.385</v>
      </c>
      <c r="AC16" s="38">
        <v>1.81</v>
      </c>
      <c r="AD16" s="38"/>
      <c r="AE16" s="34">
        <f t="shared" si="7"/>
        <v>1.81</v>
      </c>
      <c r="AF16" s="34">
        <f t="shared" si="8"/>
        <v>1.9584361954470815</v>
      </c>
      <c r="AG16" s="35">
        <f t="shared" si="1"/>
        <v>1.81</v>
      </c>
      <c r="AH16" s="36">
        <f t="shared" si="2"/>
        <v>1.3068592057761732</v>
      </c>
    </row>
    <row r="17" spans="1:34" ht="1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29">
        <f t="shared" si="3"/>
        <v>4</v>
      </c>
      <c r="Q17" s="30" t="s">
        <v>106</v>
      </c>
      <c r="R17" s="31">
        <v>45677</v>
      </c>
      <c r="S17" s="68"/>
      <c r="T17" s="138">
        <v>25.66</v>
      </c>
      <c r="U17" s="38">
        <v>20.655999999999999</v>
      </c>
      <c r="V17" s="74"/>
      <c r="W17" s="34">
        <f t="shared" si="4"/>
        <v>20.655999999999999</v>
      </c>
      <c r="X17" s="34">
        <f t="shared" si="0"/>
        <v>1.3160429218761647</v>
      </c>
      <c r="Y17" s="35" t="str">
        <f t="shared" si="5"/>
        <v/>
      </c>
      <c r="Z17" s="36">
        <f t="shared" si="6"/>
        <v>0.80498830865159776</v>
      </c>
      <c r="AA17" s="6"/>
      <c r="AB17" s="37">
        <v>1.385</v>
      </c>
      <c r="AC17" s="38">
        <v>1.6819999999999999</v>
      </c>
      <c r="AD17" s="38"/>
      <c r="AE17" s="34">
        <f t="shared" si="7"/>
        <v>1.6819999999999999</v>
      </c>
      <c r="AF17" s="34">
        <f t="shared" si="8"/>
        <v>1.361927751583605</v>
      </c>
      <c r="AG17" s="35" t="str">
        <f t="shared" si="1"/>
        <v/>
      </c>
      <c r="AH17" s="36">
        <f t="shared" si="2"/>
        <v>1.2144404332129963</v>
      </c>
    </row>
    <row r="18" spans="1:34" ht="1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29">
        <f t="shared" si="3"/>
        <v>5</v>
      </c>
      <c r="Q18" s="30" t="s">
        <v>106</v>
      </c>
      <c r="R18" s="31">
        <v>45677</v>
      </c>
      <c r="S18" s="68"/>
      <c r="T18" s="138">
        <v>25.66</v>
      </c>
      <c r="U18" s="38">
        <v>23.51</v>
      </c>
      <c r="V18" s="74"/>
      <c r="W18" s="34">
        <f t="shared" si="4"/>
        <v>23.51</v>
      </c>
      <c r="X18" s="34">
        <f t="shared" si="0"/>
        <v>0.40416964215383233</v>
      </c>
      <c r="Y18" s="35" t="str">
        <f t="shared" si="5"/>
        <v/>
      </c>
      <c r="Z18" s="36">
        <f t="shared" si="6"/>
        <v>0.91621200311769291</v>
      </c>
      <c r="AA18" s="6"/>
      <c r="AB18" s="37">
        <v>1.385</v>
      </c>
      <c r="AC18" s="38">
        <v>1.2250000000000001</v>
      </c>
      <c r="AD18" s="38"/>
      <c r="AE18" s="34">
        <f t="shared" si="7"/>
        <v>1.2250000000000001</v>
      </c>
      <c r="AF18" s="34">
        <f t="shared" si="8"/>
        <v>0.7677938018977104</v>
      </c>
      <c r="AG18" s="35" t="str">
        <f t="shared" si="1"/>
        <v/>
      </c>
      <c r="AH18" s="36">
        <f t="shared" si="2"/>
        <v>0.8844765342960289</v>
      </c>
    </row>
    <row r="19" spans="1:34" ht="1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29">
        <f t="shared" si="3"/>
        <v>6</v>
      </c>
      <c r="Q19" s="30" t="s">
        <v>106</v>
      </c>
      <c r="R19" s="31">
        <v>45678</v>
      </c>
      <c r="S19" s="68"/>
      <c r="T19" s="138">
        <v>25.66</v>
      </c>
      <c r="U19" s="38">
        <v>19.949000000000002</v>
      </c>
      <c r="V19" s="74"/>
      <c r="W19" s="34">
        <f t="shared" si="4"/>
        <v>19.949000000000002</v>
      </c>
      <c r="X19" s="34">
        <f t="shared" si="0"/>
        <v>1.5419344456195723</v>
      </c>
      <c r="Y19" s="35" t="str">
        <f t="shared" si="5"/>
        <v/>
      </c>
      <c r="Z19" s="36">
        <f t="shared" si="6"/>
        <v>0.77743569758378805</v>
      </c>
      <c r="AA19" s="6"/>
      <c r="AB19" s="37">
        <v>1.385</v>
      </c>
      <c r="AC19" s="38">
        <v>1.5289999999999999</v>
      </c>
      <c r="AD19" s="38"/>
      <c r="AE19" s="34">
        <f t="shared" si="7"/>
        <v>1.5289999999999999</v>
      </c>
      <c r="AF19" s="34">
        <f t="shared" si="8"/>
        <v>0.64891375227804393</v>
      </c>
      <c r="AG19" s="35" t="str">
        <f t="shared" si="1"/>
        <v/>
      </c>
      <c r="AH19" s="36">
        <f t="shared" si="2"/>
        <v>1.1039711191335739</v>
      </c>
    </row>
    <row r="20" spans="1:34" ht="1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29">
        <f t="shared" si="3"/>
        <v>7</v>
      </c>
      <c r="Q20" s="30" t="s">
        <v>106</v>
      </c>
      <c r="R20" s="31">
        <v>45678</v>
      </c>
      <c r="S20" s="68"/>
      <c r="T20" s="138">
        <v>25.66</v>
      </c>
      <c r="U20" s="38">
        <v>22.704000000000001</v>
      </c>
      <c r="V20" s="74"/>
      <c r="W20" s="34">
        <f t="shared" si="4"/>
        <v>22.704000000000001</v>
      </c>
      <c r="X20" s="34">
        <f t="shared" si="0"/>
        <v>0.6616923693634329</v>
      </c>
      <c r="Y20" s="35" t="str">
        <f t="shared" si="5"/>
        <v/>
      </c>
      <c r="Z20" s="36">
        <f t="shared" si="6"/>
        <v>0.8848012470771629</v>
      </c>
      <c r="AA20" s="6"/>
      <c r="AB20" s="37">
        <v>1.385</v>
      </c>
      <c r="AC20" s="38">
        <v>1.6080000000000001</v>
      </c>
      <c r="AD20" s="38"/>
      <c r="AE20" s="34">
        <f t="shared" si="7"/>
        <v>1.6080000000000001</v>
      </c>
      <c r="AF20" s="34">
        <f t="shared" si="8"/>
        <v>1.0170713074750337</v>
      </c>
      <c r="AG20" s="35" t="str">
        <f t="shared" si="1"/>
        <v/>
      </c>
      <c r="AH20" s="36">
        <f t="shared" si="2"/>
        <v>1.1610108303249098</v>
      </c>
    </row>
    <row r="21" spans="1:34" ht="1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29">
        <f t="shared" si="3"/>
        <v>8</v>
      </c>
      <c r="Q21" s="30" t="s">
        <v>106</v>
      </c>
      <c r="R21" s="31">
        <v>45678</v>
      </c>
      <c r="S21" s="68"/>
      <c r="T21" s="138">
        <v>25.66</v>
      </c>
      <c r="U21" s="38">
        <v>25.273</v>
      </c>
      <c r="V21" s="74"/>
      <c r="W21" s="34">
        <f t="shared" si="4"/>
        <v>25.273</v>
      </c>
      <c r="X21" s="34">
        <f t="shared" si="0"/>
        <v>0.15912138522895269</v>
      </c>
      <c r="Y21" s="35" t="str">
        <f t="shared" si="5"/>
        <v/>
      </c>
      <c r="Z21" s="36">
        <f t="shared" si="6"/>
        <v>0.98491816056118475</v>
      </c>
      <c r="AA21" s="6"/>
      <c r="AB21" s="37">
        <v>1.385</v>
      </c>
      <c r="AC21" s="38">
        <v>1.617</v>
      </c>
      <c r="AD21" s="38"/>
      <c r="AE21" s="34">
        <f t="shared" si="7"/>
        <v>1.617</v>
      </c>
      <c r="AF21" s="34">
        <f t="shared" si="8"/>
        <v>1.0590133074341841</v>
      </c>
      <c r="AG21" s="35" t="str">
        <f t="shared" si="1"/>
        <v/>
      </c>
      <c r="AH21" s="36">
        <f t="shared" si="2"/>
        <v>1.1675090252707581</v>
      </c>
    </row>
    <row r="22" spans="1:34" ht="1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29">
        <f t="shared" si="3"/>
        <v>9</v>
      </c>
      <c r="Q22" s="30" t="s">
        <v>106</v>
      </c>
      <c r="R22" s="31">
        <v>45678</v>
      </c>
      <c r="S22" s="68"/>
      <c r="T22" s="138">
        <v>25.66</v>
      </c>
      <c r="U22" s="38">
        <v>23.012</v>
      </c>
      <c r="V22" s="74"/>
      <c r="W22" s="34">
        <f t="shared" si="4"/>
        <v>23.012</v>
      </c>
      <c r="X22" s="34">
        <f t="shared" si="0"/>
        <v>0.56328418080194798</v>
      </c>
      <c r="Y22" s="35" t="str">
        <f t="shared" si="5"/>
        <v/>
      </c>
      <c r="Z22" s="36">
        <f t="shared" si="6"/>
        <v>0.89680436477007019</v>
      </c>
      <c r="AA22" s="6"/>
      <c r="AB22" s="37">
        <v>1.385</v>
      </c>
      <c r="AC22" s="38">
        <v>1.373</v>
      </c>
      <c r="AD22" s="38"/>
      <c r="AE22" s="34">
        <f t="shared" si="7"/>
        <v>1.373</v>
      </c>
      <c r="AF22" s="34">
        <f t="shared" si="8"/>
        <v>7.8080913680566855E-2</v>
      </c>
      <c r="AG22" s="35" t="str">
        <f t="shared" si="1"/>
        <v/>
      </c>
      <c r="AH22" s="36">
        <f t="shared" si="2"/>
        <v>0.99133574007220215</v>
      </c>
    </row>
    <row r="23" spans="1:34" ht="1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29">
        <f t="shared" si="3"/>
        <v>10</v>
      </c>
      <c r="Q23" s="30" t="s">
        <v>106</v>
      </c>
      <c r="R23" s="31">
        <v>45678</v>
      </c>
      <c r="S23" s="68"/>
      <c r="T23" s="138">
        <v>25.66</v>
      </c>
      <c r="U23" s="38">
        <v>25.35</v>
      </c>
      <c r="V23" s="74"/>
      <c r="W23" s="34">
        <f t="shared" si="4"/>
        <v>25.35</v>
      </c>
      <c r="X23" s="34">
        <f t="shared" si="0"/>
        <v>0.18372343236932451</v>
      </c>
      <c r="Y23" s="35" t="str">
        <f t="shared" si="5"/>
        <v/>
      </c>
      <c r="Z23" s="36">
        <f t="shared" si="6"/>
        <v>0.9879189399844116</v>
      </c>
      <c r="AA23" s="6"/>
      <c r="AB23" s="37">
        <v>1.385</v>
      </c>
      <c r="AC23" s="38">
        <v>1.54</v>
      </c>
      <c r="AD23" s="38"/>
      <c r="AE23" s="34">
        <f t="shared" si="7"/>
        <v>1.54</v>
      </c>
      <c r="AF23" s="34">
        <f t="shared" si="8"/>
        <v>0.70017619667256203</v>
      </c>
      <c r="AG23" s="35" t="str">
        <f t="shared" si="1"/>
        <v/>
      </c>
      <c r="AH23" s="36">
        <f t="shared" si="2"/>
        <v>1.1119133574007221</v>
      </c>
    </row>
    <row r="24" spans="1:34" ht="1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29">
        <f t="shared" si="3"/>
        <v>11</v>
      </c>
      <c r="Q24" s="30" t="s">
        <v>106</v>
      </c>
      <c r="R24" s="31">
        <v>45679</v>
      </c>
      <c r="S24" s="68"/>
      <c r="T24" s="138">
        <v>25.66</v>
      </c>
      <c r="U24" s="38">
        <v>33.792999999999999</v>
      </c>
      <c r="V24" s="74"/>
      <c r="W24" s="34">
        <f t="shared" si="4"/>
        <v>33.792999999999999</v>
      </c>
      <c r="X24" s="34">
        <f t="shared" si="0"/>
        <v>2.8813219259557443</v>
      </c>
      <c r="Y24" s="35">
        <f t="shared" si="5"/>
        <v>33.792999999999999</v>
      </c>
      <c r="Z24" s="36">
        <f t="shared" si="6"/>
        <v>1.3169524551831644</v>
      </c>
      <c r="AA24" s="6"/>
      <c r="AB24" s="37">
        <v>1.385</v>
      </c>
      <c r="AC24" s="38">
        <v>1.3009999999999999</v>
      </c>
      <c r="AD24" s="38"/>
      <c r="AE24" s="34">
        <f t="shared" si="7"/>
        <v>1.3009999999999999</v>
      </c>
      <c r="AF24" s="34">
        <f t="shared" si="8"/>
        <v>0.41361691335377232</v>
      </c>
      <c r="AG24" s="35" t="str">
        <f t="shared" si="1"/>
        <v/>
      </c>
      <c r="AH24" s="36">
        <f t="shared" si="2"/>
        <v>0.93935018050541508</v>
      </c>
    </row>
    <row r="25" spans="1:34" ht="1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29">
        <f t="shared" si="3"/>
        <v>12</v>
      </c>
      <c r="Q25" s="30" t="s">
        <v>106</v>
      </c>
      <c r="R25" s="31">
        <v>45679</v>
      </c>
      <c r="S25" s="68"/>
      <c r="T25" s="138">
        <v>25.66</v>
      </c>
      <c r="U25" s="38">
        <v>24.981000000000002</v>
      </c>
      <c r="V25" s="74"/>
      <c r="W25" s="34">
        <f t="shared" si="4"/>
        <v>24.981000000000002</v>
      </c>
      <c r="X25" s="34">
        <f t="shared" si="0"/>
        <v>6.5825310358974085E-2</v>
      </c>
      <c r="Y25" s="35" t="str">
        <f t="shared" si="5"/>
        <v/>
      </c>
      <c r="Z25" s="36">
        <f t="shared" si="6"/>
        <v>0.97353858144972727</v>
      </c>
      <c r="AA25" s="6"/>
      <c r="AB25" s="37">
        <v>1.385</v>
      </c>
      <c r="AC25" s="38">
        <v>1.4750000000000001</v>
      </c>
      <c r="AD25" s="38"/>
      <c r="AE25" s="34">
        <f t="shared" si="7"/>
        <v>1.4750000000000001</v>
      </c>
      <c r="AF25" s="34">
        <f t="shared" si="8"/>
        <v>0.39726175252314089</v>
      </c>
      <c r="AG25" s="35" t="str">
        <f t="shared" si="1"/>
        <v/>
      </c>
      <c r="AH25" s="36">
        <f t="shared" si="2"/>
        <v>1.0649819494584838</v>
      </c>
    </row>
    <row r="26" spans="1:34" ht="1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29">
        <f t="shared" si="3"/>
        <v>13</v>
      </c>
      <c r="Q26" s="30" t="s">
        <v>106</v>
      </c>
      <c r="R26" s="31">
        <v>45679</v>
      </c>
      <c r="S26" s="68"/>
      <c r="T26" s="138">
        <v>25.66</v>
      </c>
      <c r="U26" s="38">
        <v>27.821999999999999</v>
      </c>
      <c r="V26" s="74"/>
      <c r="W26" s="34">
        <f t="shared" si="4"/>
        <v>27.821999999999999</v>
      </c>
      <c r="X26" s="34">
        <f t="shared" si="0"/>
        <v>0.97354499770695624</v>
      </c>
      <c r="Y26" s="35" t="str">
        <f t="shared" si="5"/>
        <v/>
      </c>
      <c r="Z26" s="36">
        <f t="shared" si="6"/>
        <v>1.0842556508183943</v>
      </c>
      <c r="AA26" s="6"/>
      <c r="AB26" s="37">
        <v>1.385</v>
      </c>
      <c r="AC26" s="38">
        <v>1.2350000000000001</v>
      </c>
      <c r="AD26" s="38"/>
      <c r="AE26" s="34">
        <f t="shared" si="7"/>
        <v>1.2350000000000001</v>
      </c>
      <c r="AF26" s="34">
        <f t="shared" si="8"/>
        <v>0.72119157972087633</v>
      </c>
      <c r="AG26" s="35" t="str">
        <f t="shared" si="1"/>
        <v/>
      </c>
      <c r="AH26" s="36">
        <f t="shared" si="2"/>
        <v>0.89169675090252709</v>
      </c>
    </row>
    <row r="27" spans="1:34" ht="1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29">
        <f t="shared" si="3"/>
        <v>14</v>
      </c>
      <c r="Q27" s="30" t="s">
        <v>106</v>
      </c>
      <c r="R27" s="31">
        <v>45679</v>
      </c>
      <c r="S27" s="68"/>
      <c r="T27" s="138">
        <v>25.66</v>
      </c>
      <c r="U27" s="38">
        <v>27.548999999999999</v>
      </c>
      <c r="V27" s="74"/>
      <c r="W27" s="34">
        <f t="shared" si="4"/>
        <v>27.548999999999999</v>
      </c>
      <c r="X27" s="34">
        <f t="shared" si="0"/>
        <v>0.8863195578456402</v>
      </c>
      <c r="Y27" s="35" t="str">
        <f t="shared" si="5"/>
        <v/>
      </c>
      <c r="Z27" s="36">
        <f t="shared" si="6"/>
        <v>1.0736165237724085</v>
      </c>
      <c r="AA27" s="6"/>
      <c r="AB27" s="37">
        <v>1.385</v>
      </c>
      <c r="AC27" s="38">
        <v>1.349</v>
      </c>
      <c r="AD27" s="38"/>
      <c r="AE27" s="34">
        <f t="shared" si="7"/>
        <v>1.349</v>
      </c>
      <c r="AF27" s="34">
        <f t="shared" si="8"/>
        <v>0.18992624690496868</v>
      </c>
      <c r="AG27" s="35" t="str">
        <f t="shared" si="1"/>
        <v/>
      </c>
      <c r="AH27" s="36">
        <f t="shared" si="2"/>
        <v>0.97400722021660646</v>
      </c>
    </row>
    <row r="28" spans="1:34" ht="1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29">
        <f t="shared" si="3"/>
        <v>15</v>
      </c>
      <c r="Q28" s="30" t="s">
        <v>106</v>
      </c>
      <c r="R28" s="31">
        <v>45679</v>
      </c>
      <c r="S28" s="68"/>
      <c r="T28" s="138">
        <v>25.66</v>
      </c>
      <c r="U28" s="38">
        <v>24.777999999999999</v>
      </c>
      <c r="V28" s="74"/>
      <c r="W28" s="34">
        <f t="shared" si="4"/>
        <v>24.777999999999999</v>
      </c>
      <c r="X28" s="34">
        <f t="shared" si="0"/>
        <v>9.653678979944226E-4</v>
      </c>
      <c r="Y28" s="35" t="str">
        <f t="shared" si="5"/>
        <v/>
      </c>
      <c r="Z28" s="36">
        <f t="shared" si="6"/>
        <v>0.96562743569758369</v>
      </c>
      <c r="AA28" s="6"/>
      <c r="AB28" s="37">
        <v>1.385</v>
      </c>
      <c r="AC28" s="38">
        <v>1.2330000000000001</v>
      </c>
      <c r="AD28" s="38"/>
      <c r="AE28" s="34">
        <f t="shared" si="7"/>
        <v>1.2330000000000001</v>
      </c>
      <c r="AF28" s="34">
        <f t="shared" si="8"/>
        <v>0.73051202415624317</v>
      </c>
      <c r="AG28" s="35" t="str">
        <f t="shared" si="1"/>
        <v/>
      </c>
      <c r="AH28" s="36">
        <f t="shared" si="2"/>
        <v>0.89025270758122754</v>
      </c>
    </row>
    <row r="29" spans="1:34" ht="1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 t="s">
        <v>107</v>
      </c>
      <c r="O29" s="8"/>
      <c r="P29" s="29">
        <f t="shared" si="3"/>
        <v>16</v>
      </c>
      <c r="Q29" s="30" t="s">
        <v>106</v>
      </c>
      <c r="R29" s="31">
        <v>45681</v>
      </c>
      <c r="S29" s="68"/>
      <c r="T29" s="138">
        <v>25.66</v>
      </c>
      <c r="U29" s="38">
        <v>23.436</v>
      </c>
      <c r="V29" s="74"/>
      <c r="W29" s="34">
        <f t="shared" si="4"/>
        <v>23.436</v>
      </c>
      <c r="X29" s="34">
        <f t="shared" si="0"/>
        <v>0.42781316797704677</v>
      </c>
      <c r="Y29" s="35" t="str">
        <f t="shared" si="5"/>
        <v/>
      </c>
      <c r="Z29" s="36">
        <f t="shared" si="6"/>
        <v>0.91332813717848793</v>
      </c>
      <c r="AA29" s="6"/>
      <c r="AB29" s="37">
        <v>1.385</v>
      </c>
      <c r="AC29" s="38">
        <v>1.343</v>
      </c>
      <c r="AD29" s="38"/>
      <c r="AE29" s="34">
        <f t="shared" si="7"/>
        <v>1.343</v>
      </c>
      <c r="AF29" s="34">
        <f t="shared" si="8"/>
        <v>0.21788758021106913</v>
      </c>
      <c r="AG29" s="35" t="str">
        <f t="shared" si="1"/>
        <v/>
      </c>
      <c r="AH29" s="36">
        <f t="shared" si="2"/>
        <v>0.96967509025270759</v>
      </c>
    </row>
    <row r="30" spans="1:34" ht="1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29">
        <f t="shared" si="3"/>
        <v>17</v>
      </c>
      <c r="Q30" s="30" t="s">
        <v>106</v>
      </c>
      <c r="R30" s="31">
        <v>45681</v>
      </c>
      <c r="S30" s="68"/>
      <c r="T30" s="138">
        <v>25.66</v>
      </c>
      <c r="U30" s="38">
        <v>24.805</v>
      </c>
      <c r="V30" s="74"/>
      <c r="W30" s="34">
        <f t="shared" si="4"/>
        <v>24.805</v>
      </c>
      <c r="X30" s="34">
        <f t="shared" si="0"/>
        <v>9.592059752410639E-3</v>
      </c>
      <c r="Y30" s="35" t="str">
        <f t="shared" si="5"/>
        <v/>
      </c>
      <c r="Z30" s="36">
        <f t="shared" si="6"/>
        <v>0.96667965705378023</v>
      </c>
      <c r="AA30" s="6"/>
      <c r="AB30" s="37">
        <v>1.385</v>
      </c>
      <c r="AC30" s="38">
        <v>1.298</v>
      </c>
      <c r="AD30" s="38"/>
      <c r="AE30" s="34">
        <f t="shared" si="7"/>
        <v>1.298</v>
      </c>
      <c r="AF30" s="34">
        <f t="shared" si="8"/>
        <v>0.42759758000682202</v>
      </c>
      <c r="AG30" s="35" t="str">
        <f t="shared" si="1"/>
        <v/>
      </c>
      <c r="AH30" s="36">
        <f t="shared" si="2"/>
        <v>0.9371841155234657</v>
      </c>
    </row>
    <row r="31" spans="1:34" ht="1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29">
        <f t="shared" si="3"/>
        <v>18</v>
      </c>
      <c r="Q31" s="30" t="s">
        <v>106</v>
      </c>
      <c r="R31" s="31">
        <v>45681</v>
      </c>
      <c r="S31" s="68"/>
      <c r="T31" s="138">
        <v>25.66</v>
      </c>
      <c r="U31" s="38">
        <v>28.38</v>
      </c>
      <c r="V31" s="74"/>
      <c r="W31" s="34">
        <f t="shared" si="4"/>
        <v>28.38</v>
      </c>
      <c r="X31" s="34">
        <f t="shared" si="0"/>
        <v>1.1518299626982178</v>
      </c>
      <c r="Y31" s="35" t="str">
        <f t="shared" si="5"/>
        <v/>
      </c>
      <c r="Z31" s="36">
        <f t="shared" si="6"/>
        <v>1.1060015588464536</v>
      </c>
      <c r="AA31" s="6"/>
      <c r="AB31" s="37">
        <v>1.385</v>
      </c>
      <c r="AC31" s="38">
        <v>1.415</v>
      </c>
      <c r="AD31" s="38"/>
      <c r="AE31" s="34">
        <f t="shared" si="7"/>
        <v>1.415</v>
      </c>
      <c r="AF31" s="34">
        <f t="shared" si="8"/>
        <v>0.11764841946213633</v>
      </c>
      <c r="AG31" s="35" t="str">
        <f t="shared" si="1"/>
        <v/>
      </c>
      <c r="AH31" s="36">
        <f t="shared" si="2"/>
        <v>1.0216606498194947</v>
      </c>
    </row>
    <row r="32" spans="1:34" ht="1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29">
        <f t="shared" si="3"/>
        <v>19</v>
      </c>
      <c r="Q32" s="30" t="s">
        <v>106</v>
      </c>
      <c r="R32" s="31">
        <v>45681</v>
      </c>
      <c r="S32" s="68"/>
      <c r="T32" s="138">
        <v>25.66</v>
      </c>
      <c r="U32" s="38">
        <v>25.913</v>
      </c>
      <c r="V32" s="74"/>
      <c r="W32" s="34">
        <f t="shared" si="4"/>
        <v>25.913</v>
      </c>
      <c r="X32" s="34">
        <f t="shared" si="0"/>
        <v>0.36360593288918136</v>
      </c>
      <c r="Y32" s="35" t="str">
        <f t="shared" si="5"/>
        <v/>
      </c>
      <c r="Z32" s="36">
        <f t="shared" si="6"/>
        <v>1.0098597038191739</v>
      </c>
      <c r="AA32" s="6"/>
      <c r="AB32" s="37">
        <v>1.385</v>
      </c>
      <c r="AC32" s="38">
        <v>1.042</v>
      </c>
      <c r="AD32" s="38"/>
      <c r="AE32" s="34">
        <f t="shared" si="7"/>
        <v>1.042</v>
      </c>
      <c r="AF32" s="34">
        <f t="shared" si="8"/>
        <v>1.6206144677337737</v>
      </c>
      <c r="AG32" s="35" t="str">
        <f t="shared" si="1"/>
        <v/>
      </c>
      <c r="AH32" s="36">
        <f t="shared" si="2"/>
        <v>0.75234657039711195</v>
      </c>
    </row>
    <row r="33" spans="1:34" ht="1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29">
        <f t="shared" si="3"/>
        <v>20</v>
      </c>
      <c r="Q33" s="30" t="s">
        <v>106</v>
      </c>
      <c r="R33" s="31">
        <v>45681</v>
      </c>
      <c r="S33" s="68"/>
      <c r="T33" s="138">
        <v>25.66</v>
      </c>
      <c r="U33" s="38">
        <v>20.530999999999999</v>
      </c>
      <c r="V33" s="74"/>
      <c r="W33" s="34">
        <f t="shared" si="4"/>
        <v>20.530999999999999</v>
      </c>
      <c r="X33" s="34">
        <f t="shared" si="0"/>
        <v>1.3559813100910529</v>
      </c>
      <c r="Y33" s="35" t="str">
        <f t="shared" si="5"/>
        <v/>
      </c>
      <c r="Z33" s="36">
        <f t="shared" si="6"/>
        <v>0.80011691348402181</v>
      </c>
      <c r="AA33" s="6"/>
      <c r="AB33" s="37">
        <v>1.385</v>
      </c>
      <c r="AC33" s="38">
        <v>1.3009999999999999</v>
      </c>
      <c r="AD33" s="38"/>
      <c r="AE33" s="34">
        <f t="shared" si="7"/>
        <v>1.3009999999999999</v>
      </c>
      <c r="AF33" s="34">
        <f t="shared" si="8"/>
        <v>0.41361691335377232</v>
      </c>
      <c r="AG33" s="35" t="str">
        <f t="shared" si="1"/>
        <v/>
      </c>
      <c r="AH33" s="36">
        <f t="shared" si="2"/>
        <v>0.93935018050541508</v>
      </c>
    </row>
    <row r="34" spans="1:34" ht="1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29">
        <f t="shared" si="3"/>
        <v>21</v>
      </c>
      <c r="Q34" s="30" t="s">
        <v>108</v>
      </c>
      <c r="R34" s="31">
        <v>45743</v>
      </c>
      <c r="S34" s="68"/>
      <c r="T34" s="39">
        <v>26.47</v>
      </c>
      <c r="U34" s="38">
        <v>28.178000000000001</v>
      </c>
      <c r="V34" s="74"/>
      <c r="W34" s="34">
        <f t="shared" si="4"/>
        <v>28.178000000000001</v>
      </c>
      <c r="X34" s="34">
        <f t="shared" si="0"/>
        <v>1.0872895273429588</v>
      </c>
      <c r="Y34" s="35" t="str">
        <f t="shared" si="5"/>
        <v/>
      </c>
      <c r="Z34" s="36">
        <f t="shared" si="6"/>
        <v>1.0645258783528524</v>
      </c>
      <c r="AA34" s="6"/>
      <c r="AB34" s="37">
        <v>1.3779999999999999</v>
      </c>
      <c r="AC34" s="38">
        <v>1.2090000000000001</v>
      </c>
      <c r="AD34" s="38"/>
      <c r="AE34" s="34">
        <f t="shared" si="7"/>
        <v>1.2090000000000001</v>
      </c>
      <c r="AF34" s="34">
        <f t="shared" si="8"/>
        <v>0.84235735738064499</v>
      </c>
      <c r="AG34" s="35" t="str">
        <f t="shared" si="1"/>
        <v/>
      </c>
      <c r="AH34" s="36">
        <f t="shared" si="2"/>
        <v>0.87735849056603787</v>
      </c>
    </row>
    <row r="35" spans="1:34" ht="1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29">
        <f t="shared" si="3"/>
        <v>22</v>
      </c>
      <c r="Q35" s="30" t="s">
        <v>108</v>
      </c>
      <c r="R35" s="31">
        <v>45743</v>
      </c>
      <c r="S35" s="68"/>
      <c r="T35" s="39">
        <v>26.47</v>
      </c>
      <c r="U35" s="38">
        <v>18.611999999999998</v>
      </c>
      <c r="V35" s="74"/>
      <c r="W35" s="34">
        <f t="shared" si="4"/>
        <v>18.611999999999998</v>
      </c>
      <c r="X35" s="34">
        <f t="shared" si="0"/>
        <v>1.9691154459660194</v>
      </c>
      <c r="Y35" s="35" t="str">
        <f t="shared" si="5"/>
        <v/>
      </c>
      <c r="Z35" s="36">
        <f t="shared" si="6"/>
        <v>0.70313562523611628</v>
      </c>
      <c r="AA35" s="6"/>
      <c r="AB35" s="37">
        <v>1.3779999999999999</v>
      </c>
      <c r="AC35" s="38">
        <v>1.1240000000000001</v>
      </c>
      <c r="AD35" s="38"/>
      <c r="AE35" s="34">
        <f t="shared" si="7"/>
        <v>1.1240000000000001</v>
      </c>
      <c r="AF35" s="34">
        <f t="shared" si="8"/>
        <v>1.2384762458837342</v>
      </c>
      <c r="AG35" s="35" t="str">
        <f t="shared" si="1"/>
        <v/>
      </c>
      <c r="AH35" s="36">
        <f t="shared" si="2"/>
        <v>0.81567489114658942</v>
      </c>
    </row>
    <row r="36" spans="1:34" ht="1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29">
        <f t="shared" si="3"/>
        <v>23</v>
      </c>
      <c r="Q36" s="30" t="s">
        <v>108</v>
      </c>
      <c r="R36" s="31">
        <v>45772</v>
      </c>
      <c r="S36" s="68"/>
      <c r="T36" s="39">
        <v>26.47</v>
      </c>
      <c r="U36" s="38">
        <v>23.413</v>
      </c>
      <c r="V36" s="74"/>
      <c r="W36" s="34">
        <f t="shared" si="4"/>
        <v>23.413</v>
      </c>
      <c r="X36" s="34">
        <f t="shared" si="0"/>
        <v>0.43516183140858611</v>
      </c>
      <c r="Y36" s="35" t="str">
        <f t="shared" si="5"/>
        <v/>
      </c>
      <c r="Z36" s="36">
        <f t="shared" si="6"/>
        <v>0.88451076690593133</v>
      </c>
      <c r="AA36" s="6"/>
      <c r="AB36" s="37">
        <v>1.3779999999999999</v>
      </c>
      <c r="AC36" s="38">
        <v>1.468</v>
      </c>
      <c r="AD36" s="38"/>
      <c r="AE36" s="34">
        <f t="shared" si="7"/>
        <v>1.468</v>
      </c>
      <c r="AF36" s="34">
        <f t="shared" si="8"/>
        <v>0.36464019699935651</v>
      </c>
      <c r="AG36" s="35" t="str">
        <f t="shared" si="1"/>
        <v/>
      </c>
      <c r="AH36" s="36">
        <f t="shared" si="2"/>
        <v>1.0653120464441219</v>
      </c>
    </row>
    <row r="37" spans="1:34" ht="1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29">
        <f t="shared" si="3"/>
        <v>24</v>
      </c>
      <c r="Q37" s="30" t="s">
        <v>108</v>
      </c>
      <c r="R37" s="31">
        <v>45772</v>
      </c>
      <c r="S37" s="68"/>
      <c r="T37" s="39">
        <v>26.47</v>
      </c>
      <c r="U37" s="38">
        <v>22.283000000000001</v>
      </c>
      <c r="V37" s="74"/>
      <c r="W37" s="34">
        <f t="shared" si="4"/>
        <v>22.283000000000001</v>
      </c>
      <c r="X37" s="34">
        <f t="shared" si="0"/>
        <v>0.7962048608711767</v>
      </c>
      <c r="Y37" s="35" t="str">
        <f t="shared" si="5"/>
        <v/>
      </c>
      <c r="Z37" s="36">
        <f t="shared" si="6"/>
        <v>0.84182092935398578</v>
      </c>
      <c r="AA37" s="6"/>
      <c r="AB37" s="37">
        <v>1.3779999999999999</v>
      </c>
      <c r="AC37" s="38">
        <v>1.08</v>
      </c>
      <c r="AD37" s="38"/>
      <c r="AE37" s="34">
        <f t="shared" si="7"/>
        <v>1.08</v>
      </c>
      <c r="AF37" s="34">
        <f t="shared" si="8"/>
        <v>1.4435260234618041</v>
      </c>
      <c r="AG37" s="35" t="str">
        <f t="shared" si="1"/>
        <v/>
      </c>
      <c r="AH37" s="36">
        <f t="shared" si="2"/>
        <v>0.78374455732946313</v>
      </c>
    </row>
    <row r="38" spans="1:34" ht="1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29">
        <f t="shared" si="3"/>
        <v>25</v>
      </c>
      <c r="Q38" s="30" t="s">
        <v>108</v>
      </c>
      <c r="R38" s="31">
        <v>45785</v>
      </c>
      <c r="S38" s="68"/>
      <c r="T38" s="39">
        <v>26.47</v>
      </c>
      <c r="U38" s="38">
        <v>21.5503</v>
      </c>
      <c r="V38" s="74"/>
      <c r="W38" s="34">
        <f t="shared" si="4"/>
        <v>21.5503</v>
      </c>
      <c r="X38" s="34">
        <f t="shared" si="0"/>
        <v>1.0303077172315669</v>
      </c>
      <c r="Y38" s="35" t="str">
        <f t="shared" si="5"/>
        <v/>
      </c>
      <c r="Z38" s="36">
        <f t="shared" si="6"/>
        <v>0.81414053645636575</v>
      </c>
      <c r="AA38" s="6"/>
      <c r="AB38" s="37">
        <v>1.3779999999999999</v>
      </c>
      <c r="AC38" s="38">
        <v>1.5225</v>
      </c>
      <c r="AD38" s="38"/>
      <c r="AE38" s="34">
        <f t="shared" si="7"/>
        <v>1.5225</v>
      </c>
      <c r="AF38" s="34">
        <f t="shared" si="8"/>
        <v>0.61862230786310202</v>
      </c>
      <c r="AG38" s="35" t="str">
        <f t="shared" si="1"/>
        <v/>
      </c>
      <c r="AH38" s="36">
        <f t="shared" si="2"/>
        <v>1.1048621190130625</v>
      </c>
    </row>
    <row r="39" spans="1:34" ht="1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29">
        <f t="shared" si="3"/>
        <v>26</v>
      </c>
      <c r="Q39" s="30" t="s">
        <v>108</v>
      </c>
      <c r="R39" s="31">
        <v>45785</v>
      </c>
      <c r="S39" s="68"/>
      <c r="T39" s="39">
        <v>26.47</v>
      </c>
      <c r="U39" s="38">
        <v>20.905799999999999</v>
      </c>
      <c r="V39" s="74"/>
      <c r="W39" s="34">
        <f t="shared" si="4"/>
        <v>20.905799999999999</v>
      </c>
      <c r="X39" s="34">
        <f t="shared" si="0"/>
        <v>1.2362300468675316</v>
      </c>
      <c r="Y39" s="35" t="str">
        <f t="shared" si="5"/>
        <v/>
      </c>
      <c r="Z39" s="36">
        <f t="shared" si="6"/>
        <v>0.78979221760483564</v>
      </c>
      <c r="AA39" s="6"/>
      <c r="AB39" s="37">
        <v>1.3779999999999999</v>
      </c>
      <c r="AC39" s="38">
        <v>1.2372000000000001</v>
      </c>
      <c r="AD39" s="38"/>
      <c r="AE39" s="34">
        <f t="shared" si="7"/>
        <v>1.2372000000000001</v>
      </c>
      <c r="AF39" s="34">
        <f t="shared" si="8"/>
        <v>0.71093909084197293</v>
      </c>
      <c r="AG39" s="35" t="str">
        <f t="shared" si="1"/>
        <v/>
      </c>
      <c r="AH39" s="36">
        <f t="shared" si="2"/>
        <v>0.89782293178519601</v>
      </c>
    </row>
    <row r="40" spans="1:34" ht="1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29">
        <f t="shared" si="3"/>
        <v>27</v>
      </c>
      <c r="Q40" s="30" t="s">
        <v>109</v>
      </c>
      <c r="R40" s="31">
        <v>45793</v>
      </c>
      <c r="S40" s="68"/>
      <c r="T40" s="39">
        <v>26.47</v>
      </c>
      <c r="U40" s="38">
        <v>24.94</v>
      </c>
      <c r="V40" s="74"/>
      <c r="W40" s="34">
        <f t="shared" si="4"/>
        <v>24.94</v>
      </c>
      <c r="X40" s="34">
        <f t="shared" si="0"/>
        <v>5.2725519024490582E-2</v>
      </c>
      <c r="Y40" s="35" t="str">
        <f t="shared" si="5"/>
        <v/>
      </c>
      <c r="Z40" s="36">
        <f t="shared" si="6"/>
        <v>0.94219871552701184</v>
      </c>
      <c r="AA40" s="6"/>
      <c r="AB40" s="37">
        <v>1.3779999999999999</v>
      </c>
      <c r="AC40" s="38">
        <v>1.2809999999999999</v>
      </c>
      <c r="AD40" s="38"/>
      <c r="AE40" s="34">
        <f t="shared" si="7"/>
        <v>1.2809999999999999</v>
      </c>
      <c r="AF40" s="34">
        <f t="shared" si="8"/>
        <v>0.50682135770744052</v>
      </c>
      <c r="AG40" s="35" t="str">
        <f t="shared" si="1"/>
        <v/>
      </c>
      <c r="AH40" s="36">
        <f t="shared" si="2"/>
        <v>0.92960812772133528</v>
      </c>
    </row>
    <row r="41" spans="1:34" ht="1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29">
        <f t="shared" si="3"/>
        <v>28</v>
      </c>
      <c r="Q41" s="30" t="s">
        <v>109</v>
      </c>
      <c r="R41" s="31">
        <v>45793</v>
      </c>
      <c r="S41" s="68"/>
      <c r="T41" s="39">
        <v>26.47</v>
      </c>
      <c r="U41" s="38">
        <v>27.268999999999998</v>
      </c>
      <c r="V41" s="74"/>
      <c r="W41" s="34">
        <f t="shared" si="4"/>
        <v>27.268999999999998</v>
      </c>
      <c r="X41" s="34">
        <f t="shared" si="0"/>
        <v>0.79685756824428988</v>
      </c>
      <c r="Y41" s="35" t="str">
        <f t="shared" si="5"/>
        <v/>
      </c>
      <c r="Z41" s="36">
        <f t="shared" si="6"/>
        <v>1.0301851152247827</v>
      </c>
      <c r="AA41" s="6"/>
      <c r="AB41" s="37">
        <v>1.3779999999999999</v>
      </c>
      <c r="AC41" s="38">
        <v>1.2070000000000001</v>
      </c>
      <c r="AD41" s="38"/>
      <c r="AE41" s="34">
        <f t="shared" si="7"/>
        <v>1.2070000000000001</v>
      </c>
      <c r="AF41" s="34">
        <f t="shared" si="8"/>
        <v>0.85167780181601183</v>
      </c>
      <c r="AG41" s="35" t="str">
        <f t="shared" si="1"/>
        <v/>
      </c>
      <c r="AH41" s="36">
        <f t="shared" si="2"/>
        <v>0.87590711175616853</v>
      </c>
    </row>
    <row r="42" spans="1:34" ht="1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29">
        <f t="shared" si="3"/>
        <v>29</v>
      </c>
      <c r="Q42" s="30" t="s">
        <v>108</v>
      </c>
      <c r="R42" s="31">
        <v>45804</v>
      </c>
      <c r="S42" s="68"/>
      <c r="T42" s="39">
        <v>26.47</v>
      </c>
      <c r="U42" s="38">
        <v>25.202999999999999</v>
      </c>
      <c r="V42" s="74"/>
      <c r="W42" s="34">
        <f t="shared" si="4"/>
        <v>25.202999999999999</v>
      </c>
      <c r="X42" s="34">
        <f t="shared" si="0"/>
        <v>0.13675588782861511</v>
      </c>
      <c r="Y42" s="35" t="str">
        <f t="shared" si="5"/>
        <v/>
      </c>
      <c r="Z42" s="36">
        <f t="shared" si="6"/>
        <v>0.95213449187759724</v>
      </c>
      <c r="AA42" s="6"/>
      <c r="AB42" s="37">
        <v>1.3779999999999999</v>
      </c>
      <c r="AC42" s="38">
        <v>1.075</v>
      </c>
      <c r="AD42" s="38"/>
      <c r="AE42" s="34">
        <f t="shared" si="7"/>
        <v>1.075</v>
      </c>
      <c r="AF42" s="34">
        <f t="shared" si="8"/>
        <v>1.4668271345502217</v>
      </c>
      <c r="AG42" s="35" t="str">
        <f t="shared" si="1"/>
        <v/>
      </c>
      <c r="AH42" s="36">
        <f t="shared" si="2"/>
        <v>0.78011611030478956</v>
      </c>
    </row>
    <row r="43" spans="1:34" ht="1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29">
        <f t="shared" si="3"/>
        <v>30</v>
      </c>
      <c r="Q43" s="30" t="s">
        <v>108</v>
      </c>
      <c r="R43" s="31">
        <v>45804</v>
      </c>
      <c r="S43" s="68"/>
      <c r="T43" s="39">
        <v>26.47</v>
      </c>
      <c r="U43" s="38">
        <v>27.81</v>
      </c>
      <c r="V43" s="74"/>
      <c r="W43" s="34">
        <f t="shared" si="4"/>
        <v>27.81</v>
      </c>
      <c r="X43" s="34">
        <f t="shared" si="0"/>
        <v>0.96971091243832686</v>
      </c>
      <c r="Y43" s="35" t="str">
        <f t="shared" si="5"/>
        <v/>
      </c>
      <c r="Z43" s="36">
        <f t="shared" si="6"/>
        <v>1.0506233471854931</v>
      </c>
      <c r="AA43" s="6"/>
      <c r="AB43" s="37">
        <v>1.3779999999999999</v>
      </c>
      <c r="AC43" s="38">
        <v>1.2669999999999999</v>
      </c>
      <c r="AD43" s="38"/>
      <c r="AE43" s="34">
        <f t="shared" si="7"/>
        <v>1.2669999999999999</v>
      </c>
      <c r="AF43" s="34">
        <f t="shared" si="8"/>
        <v>0.57206446875500827</v>
      </c>
      <c r="AG43" s="35" t="str">
        <f t="shared" si="1"/>
        <v/>
      </c>
      <c r="AH43" s="36">
        <f t="shared" si="2"/>
        <v>0.91944847605224966</v>
      </c>
    </row>
    <row r="44" spans="1:34" ht="1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29">
        <f t="shared" si="3"/>
        <v>31</v>
      </c>
      <c r="Q44" s="30" t="s">
        <v>108</v>
      </c>
      <c r="R44" s="31">
        <v>45825</v>
      </c>
      <c r="S44" s="68"/>
      <c r="T44" s="39">
        <v>26.47</v>
      </c>
      <c r="U44" s="38">
        <v>23.591999999999999</v>
      </c>
      <c r="V44" s="74"/>
      <c r="W44" s="34">
        <f t="shared" si="4"/>
        <v>23.591999999999999</v>
      </c>
      <c r="X44" s="34">
        <f t="shared" si="0"/>
        <v>0.37797005948486645</v>
      </c>
      <c r="Y44" s="35" t="str">
        <f t="shared" si="5"/>
        <v/>
      </c>
      <c r="Z44" s="36">
        <f t="shared" si="6"/>
        <v>0.89127313940309782</v>
      </c>
      <c r="AA44" s="6"/>
      <c r="AB44" s="37">
        <v>1.3779999999999999</v>
      </c>
      <c r="AC44" s="38">
        <v>1.3460000000000001</v>
      </c>
      <c r="AD44" s="38"/>
      <c r="AE44" s="34">
        <f t="shared" si="7"/>
        <v>1.3460000000000001</v>
      </c>
      <c r="AF44" s="34">
        <f t="shared" si="8"/>
        <v>0.2039069135580184</v>
      </c>
      <c r="AG44" s="35" t="str">
        <f t="shared" si="1"/>
        <v/>
      </c>
      <c r="AH44" s="36">
        <f t="shared" si="2"/>
        <v>0.97677793904209009</v>
      </c>
    </row>
    <row r="45" spans="1:34" ht="1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29">
        <f t="shared" si="3"/>
        <v>32</v>
      </c>
      <c r="Q45" s="30" t="s">
        <v>108</v>
      </c>
      <c r="R45" s="31">
        <v>45825</v>
      </c>
      <c r="S45" s="68"/>
      <c r="T45" s="39">
        <v>26.47</v>
      </c>
      <c r="U45" s="38">
        <v>22.306000000000001</v>
      </c>
      <c r="V45" s="74"/>
      <c r="W45" s="34">
        <f t="shared" si="4"/>
        <v>22.306000000000001</v>
      </c>
      <c r="X45" s="34">
        <f t="shared" si="0"/>
        <v>0.78885619743963731</v>
      </c>
      <c r="Y45" s="35" t="str">
        <f t="shared" si="5"/>
        <v/>
      </c>
      <c r="Z45" s="36">
        <f t="shared" si="6"/>
        <v>0.84268983755194571</v>
      </c>
      <c r="AA45" s="6"/>
      <c r="AB45" s="37">
        <v>1.3779999999999999</v>
      </c>
      <c r="AC45" s="38">
        <v>1.3089999999999999</v>
      </c>
      <c r="AD45" s="38"/>
      <c r="AE45" s="34">
        <f t="shared" si="7"/>
        <v>1.3089999999999999</v>
      </c>
      <c r="AF45" s="34">
        <f t="shared" si="8"/>
        <v>0.37633513561230508</v>
      </c>
      <c r="AG45" s="35" t="str">
        <f t="shared" si="1"/>
        <v/>
      </c>
      <c r="AH45" s="36">
        <f t="shared" si="2"/>
        <v>0.94992743105950661</v>
      </c>
    </row>
    <row r="46" spans="1:34" ht="1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29">
        <f t="shared" si="3"/>
        <v>33</v>
      </c>
      <c r="Q46" s="30" t="s">
        <v>108</v>
      </c>
      <c r="R46" s="31">
        <v>45825</v>
      </c>
      <c r="S46" s="68"/>
      <c r="T46" s="39">
        <v>26.47</v>
      </c>
      <c r="U46" s="38">
        <v>23.241</v>
      </c>
      <c r="V46" s="74"/>
      <c r="W46" s="34">
        <f t="shared" si="4"/>
        <v>23.241</v>
      </c>
      <c r="X46" s="34">
        <f t="shared" si="0"/>
        <v>0.4901170535922727</v>
      </c>
      <c r="Y46" s="35" t="str">
        <f t="shared" si="5"/>
        <v/>
      </c>
      <c r="Z46" s="36">
        <f t="shared" si="6"/>
        <v>0.87801284472988295</v>
      </c>
      <c r="AA46" s="6"/>
      <c r="AB46" s="37">
        <v>1.3779999999999999</v>
      </c>
      <c r="AC46" s="38">
        <v>1.6020000000000001</v>
      </c>
      <c r="AD46" s="38"/>
      <c r="AE46" s="34">
        <f t="shared" si="7"/>
        <v>1.6020000000000001</v>
      </c>
      <c r="AF46" s="34">
        <f t="shared" si="8"/>
        <v>0.98910997416893331</v>
      </c>
      <c r="AG46" s="35" t="str">
        <f t="shared" si="1"/>
        <v/>
      </c>
      <c r="AH46" s="36">
        <f t="shared" si="2"/>
        <v>1.1625544267053702</v>
      </c>
    </row>
    <row r="47" spans="1:34" ht="1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29">
        <f t="shared" si="3"/>
        <v>34</v>
      </c>
      <c r="Q47" s="30" t="s">
        <v>108</v>
      </c>
      <c r="R47" s="31">
        <v>45825</v>
      </c>
      <c r="S47" s="68"/>
      <c r="T47" s="39">
        <v>26.47</v>
      </c>
      <c r="U47" s="38">
        <v>22.177</v>
      </c>
      <c r="V47" s="74"/>
      <c r="W47" s="34">
        <f t="shared" si="4"/>
        <v>22.177</v>
      </c>
      <c r="X47" s="34">
        <f t="shared" si="0"/>
        <v>0.83007261407740263</v>
      </c>
      <c r="Y47" s="35" t="str">
        <f t="shared" si="5"/>
        <v/>
      </c>
      <c r="Z47" s="36">
        <f t="shared" si="6"/>
        <v>0.83781639591990931</v>
      </c>
      <c r="AA47" s="6"/>
      <c r="AB47" s="37">
        <v>1.3779999999999999</v>
      </c>
      <c r="AC47" s="38">
        <v>1.2450000000000001</v>
      </c>
      <c r="AD47" s="38"/>
      <c r="AE47" s="34">
        <f t="shared" si="7"/>
        <v>1.2450000000000001</v>
      </c>
      <c r="AF47" s="34">
        <f t="shared" si="8"/>
        <v>0.67458935754404226</v>
      </c>
      <c r="AG47" s="35" t="str">
        <f t="shared" si="1"/>
        <v/>
      </c>
      <c r="AH47" s="36">
        <f t="shared" si="2"/>
        <v>0.90348330914368669</v>
      </c>
    </row>
    <row r="48" spans="1:34" ht="1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29">
        <f t="shared" si="3"/>
        <v>35</v>
      </c>
      <c r="Q48" s="30" t="s">
        <v>106</v>
      </c>
      <c r="R48" s="31">
        <v>45860</v>
      </c>
      <c r="S48" s="68"/>
      <c r="T48" s="39">
        <v>26.47</v>
      </c>
      <c r="U48" s="38">
        <v>26.789000000000001</v>
      </c>
      <c r="V48" s="74"/>
      <c r="W48" s="34">
        <f t="shared" si="4"/>
        <v>26.789000000000001</v>
      </c>
      <c r="X48" s="34">
        <f t="shared" si="0"/>
        <v>0.64349415749911942</v>
      </c>
      <c r="Y48" s="35" t="str">
        <f t="shared" si="5"/>
        <v/>
      </c>
      <c r="Z48" s="36">
        <f t="shared" si="6"/>
        <v>1.0120513789195316</v>
      </c>
      <c r="AA48" s="6"/>
      <c r="AB48" s="37">
        <v>1.3779999999999999</v>
      </c>
      <c r="AC48" s="38">
        <v>1.238</v>
      </c>
      <c r="AD48" s="38"/>
      <c r="AE48" s="34">
        <f t="shared" si="7"/>
        <v>1.238</v>
      </c>
      <c r="AF48" s="34">
        <f t="shared" si="8"/>
        <v>0.70721091306782657</v>
      </c>
      <c r="AG48" s="35" t="str">
        <f t="shared" si="1"/>
        <v/>
      </c>
      <c r="AH48" s="36">
        <f t="shared" si="2"/>
        <v>0.89840348330914377</v>
      </c>
    </row>
    <row r="49" spans="1:34" ht="1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29">
        <f t="shared" si="3"/>
        <v>36</v>
      </c>
      <c r="Q49" s="30" t="s">
        <v>106</v>
      </c>
      <c r="R49" s="31">
        <v>45860</v>
      </c>
      <c r="S49" s="68"/>
      <c r="T49" s="39">
        <v>26.47</v>
      </c>
      <c r="U49" s="38">
        <v>21.981999999999999</v>
      </c>
      <c r="V49" s="74"/>
      <c r="W49" s="34">
        <f t="shared" si="4"/>
        <v>21.981999999999999</v>
      </c>
      <c r="X49" s="34">
        <f t="shared" si="0"/>
        <v>0.89237649969262856</v>
      </c>
      <c r="Y49" s="35" t="str">
        <f t="shared" si="5"/>
        <v/>
      </c>
      <c r="Z49" s="36">
        <f t="shared" si="6"/>
        <v>0.83044956554590099</v>
      </c>
      <c r="AA49" s="6"/>
      <c r="AB49" s="37">
        <v>1.3779999999999999</v>
      </c>
      <c r="AC49" s="38">
        <v>1.512</v>
      </c>
      <c r="AD49" s="38"/>
      <c r="AE49" s="34">
        <f t="shared" si="7"/>
        <v>1.512</v>
      </c>
      <c r="AF49" s="34">
        <f t="shared" si="8"/>
        <v>0.56968997457742654</v>
      </c>
      <c r="AG49" s="35" t="str">
        <f t="shared" si="1"/>
        <v/>
      </c>
      <c r="AH49" s="36">
        <f t="shared" si="2"/>
        <v>1.0972423802612483</v>
      </c>
    </row>
    <row r="50" spans="1:34" ht="1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29">
        <f t="shared" si="3"/>
        <v>37</v>
      </c>
      <c r="Q50" s="30" t="s">
        <v>106</v>
      </c>
      <c r="R50" s="31">
        <v>45912</v>
      </c>
      <c r="S50" s="68"/>
      <c r="T50" s="39">
        <v>26.47</v>
      </c>
      <c r="U50" s="38">
        <v>30.56</v>
      </c>
      <c r="V50" s="74"/>
      <c r="W50" s="34">
        <f t="shared" si="4"/>
        <v>30.56</v>
      </c>
      <c r="X50" s="34">
        <f t="shared" si="0"/>
        <v>1.848355453165871</v>
      </c>
      <c r="Y50" s="35" t="str">
        <f t="shared" si="5"/>
        <v/>
      </c>
      <c r="Z50" s="36">
        <f t="shared" si="6"/>
        <v>1.1545145447676615</v>
      </c>
      <c r="AA50" s="6"/>
      <c r="AB50" s="37">
        <v>1.3779999999999999</v>
      </c>
      <c r="AC50" s="38">
        <v>1.31</v>
      </c>
      <c r="AD50" s="38"/>
      <c r="AE50" s="34">
        <f t="shared" si="7"/>
        <v>1.31</v>
      </c>
      <c r="AF50" s="34">
        <f t="shared" si="8"/>
        <v>0.37167491339462111</v>
      </c>
      <c r="AG50" s="35" t="str">
        <f t="shared" si="1"/>
        <v/>
      </c>
      <c r="AH50" s="36">
        <f t="shared" si="2"/>
        <v>0.95065312046444128</v>
      </c>
    </row>
    <row r="51" spans="1:34" ht="1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29">
        <f t="shared" si="3"/>
        <v>38</v>
      </c>
      <c r="Q51" s="30" t="s">
        <v>106</v>
      </c>
      <c r="R51" s="31">
        <v>46044</v>
      </c>
      <c r="S51" s="68"/>
      <c r="T51" s="39">
        <v>26.47</v>
      </c>
      <c r="U51" s="38">
        <v>25.581</v>
      </c>
      <c r="V51" s="74"/>
      <c r="W51" s="34">
        <f t="shared" si="4"/>
        <v>25.581</v>
      </c>
      <c r="X51" s="34">
        <f t="shared" si="0"/>
        <v>0.25752957379043762</v>
      </c>
      <c r="Y51" s="35" t="str">
        <f t="shared" si="5"/>
        <v/>
      </c>
      <c r="Z51" s="36">
        <f t="shared" si="6"/>
        <v>0.96641480921798262</v>
      </c>
      <c r="AA51" s="6"/>
      <c r="AB51" s="37">
        <v>1.3779999999999999</v>
      </c>
      <c r="AC51" s="38">
        <v>1.1399999999999999</v>
      </c>
      <c r="AD51" s="38"/>
      <c r="AE51" s="34">
        <f t="shared" si="7"/>
        <v>1.1399999999999999</v>
      </c>
      <c r="AF51" s="34">
        <f t="shared" si="8"/>
        <v>1.1639126904008008</v>
      </c>
      <c r="AG51" s="35" t="str">
        <f t="shared" si="1"/>
        <v/>
      </c>
      <c r="AH51" s="36">
        <f t="shared" si="2"/>
        <v>0.82728592162554426</v>
      </c>
    </row>
    <row r="52" spans="1:34" ht="1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29">
        <f t="shared" si="3"/>
        <v>39</v>
      </c>
      <c r="Q52" s="30" t="s">
        <v>106</v>
      </c>
      <c r="R52" s="31">
        <v>46044</v>
      </c>
      <c r="S52" s="68"/>
      <c r="T52" s="39">
        <v>26.47</v>
      </c>
      <c r="U52" s="38">
        <v>29.381</v>
      </c>
      <c r="V52" s="74"/>
      <c r="W52" s="34">
        <f t="shared" si="4"/>
        <v>29.381</v>
      </c>
      <c r="X52" s="34">
        <f t="shared" si="0"/>
        <v>1.4716565755230444</v>
      </c>
      <c r="Y52" s="35" t="str">
        <f t="shared" si="5"/>
        <v/>
      </c>
      <c r="Z52" s="36">
        <f t="shared" si="6"/>
        <v>1.1099735549678882</v>
      </c>
      <c r="AA52" s="6"/>
      <c r="AB52" s="37">
        <v>1.3779999999999999</v>
      </c>
      <c r="AC52" s="38">
        <v>1.6040000000000001</v>
      </c>
      <c r="AD52" s="38"/>
      <c r="AE52" s="34">
        <f t="shared" si="7"/>
        <v>1.6040000000000001</v>
      </c>
      <c r="AF52" s="34">
        <f t="shared" si="8"/>
        <v>0.99843041860430015</v>
      </c>
      <c r="AG52" s="35" t="str">
        <f t="shared" si="1"/>
        <v/>
      </c>
      <c r="AH52" s="36">
        <f t="shared" si="2"/>
        <v>1.1640058055152396</v>
      </c>
    </row>
    <row r="53" spans="1:34" ht="1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29">
        <f t="shared" si="3"/>
        <v>40</v>
      </c>
      <c r="Q53" s="30" t="s">
        <v>106</v>
      </c>
      <c r="R53" s="31">
        <v>46048</v>
      </c>
      <c r="S53" s="68"/>
      <c r="T53" s="39">
        <v>26.47</v>
      </c>
      <c r="U53" s="38">
        <v>25.584</v>
      </c>
      <c r="V53" s="74"/>
      <c r="W53" s="34">
        <f t="shared" si="4"/>
        <v>25.584</v>
      </c>
      <c r="X53" s="34">
        <f t="shared" si="0"/>
        <v>0.25848809510759496</v>
      </c>
      <c r="Y53" s="35" t="str">
        <f t="shared" si="5"/>
        <v/>
      </c>
      <c r="Z53" s="36">
        <f t="shared" si="6"/>
        <v>0.96652814506989049</v>
      </c>
      <c r="AA53" s="6"/>
      <c r="AB53" s="37">
        <v>1.3779999999999999</v>
      </c>
      <c r="AC53" s="38">
        <v>1.5720000000000001</v>
      </c>
      <c r="AD53" s="38"/>
      <c r="AE53" s="34">
        <f t="shared" si="7"/>
        <v>1.5720000000000001</v>
      </c>
      <c r="AF53" s="34">
        <f t="shared" si="8"/>
        <v>0.84930330763843109</v>
      </c>
      <c r="AG53" s="35" t="str">
        <f t="shared" si="1"/>
        <v/>
      </c>
      <c r="AH53" s="36">
        <f t="shared" si="2"/>
        <v>1.1407837445573297</v>
      </c>
    </row>
    <row r="54" spans="1:34" ht="1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29">
        <f t="shared" si="3"/>
        <v>41</v>
      </c>
      <c r="Q54" s="30" t="s">
        <v>106</v>
      </c>
      <c r="R54" s="31">
        <v>46048</v>
      </c>
      <c r="S54" s="68"/>
      <c r="T54" s="39">
        <v>26.47</v>
      </c>
      <c r="U54" s="38">
        <v>29.469000000000001</v>
      </c>
      <c r="V54" s="74"/>
      <c r="W54" s="34">
        <f t="shared" si="4"/>
        <v>29.469000000000001</v>
      </c>
      <c r="X54" s="34">
        <f t="shared" si="0"/>
        <v>1.499773200826326</v>
      </c>
      <c r="Y54" s="35" t="str">
        <f t="shared" si="5"/>
        <v/>
      </c>
      <c r="Z54" s="36">
        <f t="shared" si="6"/>
        <v>1.1132980732905176</v>
      </c>
      <c r="AA54" s="6"/>
      <c r="AB54" s="37">
        <v>1.3779999999999999</v>
      </c>
      <c r="AC54" s="38">
        <v>2.085</v>
      </c>
      <c r="AD54" s="38"/>
      <c r="AE54" s="34" t="str">
        <f t="shared" si="7"/>
        <v>FALSE</v>
      </c>
      <c r="AF54" s="34">
        <f t="shared" si="8"/>
        <v>3.2399973053100175</v>
      </c>
      <c r="AG54" s="35">
        <f t="shared" si="1"/>
        <v>2.085</v>
      </c>
      <c r="AH54" s="36">
        <f t="shared" si="2"/>
        <v>1.5130624092888245</v>
      </c>
    </row>
    <row r="55" spans="1:34" ht="1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29">
        <f t="shared" si="3"/>
        <v>42</v>
      </c>
      <c r="Q55" s="30" t="s">
        <v>106</v>
      </c>
      <c r="R55" s="31">
        <v>46065</v>
      </c>
      <c r="S55" s="68"/>
      <c r="T55" s="39">
        <v>26.47</v>
      </c>
      <c r="U55" s="38">
        <v>22.847999999999999</v>
      </c>
      <c r="V55" s="74"/>
      <c r="W55" s="34">
        <f t="shared" si="4"/>
        <v>22.847999999999999</v>
      </c>
      <c r="X55" s="34">
        <f t="shared" si="0"/>
        <v>0.61568334613988196</v>
      </c>
      <c r="Y55" s="35" t="str">
        <f t="shared" si="5"/>
        <v/>
      </c>
      <c r="Z55" s="36">
        <f t="shared" si="6"/>
        <v>0.86316584812995845</v>
      </c>
      <c r="AA55" s="6"/>
      <c r="AB55" s="37">
        <v>1.3779999999999999</v>
      </c>
      <c r="AC55" s="38">
        <v>1.3939999999999999</v>
      </c>
      <c r="AD55" s="38"/>
      <c r="AE55" s="34">
        <f t="shared" si="7"/>
        <v>1.3939999999999999</v>
      </c>
      <c r="AF55" s="34">
        <f t="shared" si="8"/>
        <v>1.9783752890784219E-2</v>
      </c>
      <c r="AG55" s="35" t="str">
        <f t="shared" si="1"/>
        <v/>
      </c>
      <c r="AH55" s="36">
        <f t="shared" si="2"/>
        <v>1.011611030478955</v>
      </c>
    </row>
    <row r="56" spans="1:34" ht="1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29" t="str">
        <f t="shared" si="3"/>
        <v/>
      </c>
      <c r="Q56" s="30"/>
      <c r="R56" s="31"/>
      <c r="S56" s="68"/>
      <c r="T56" s="39">
        <v>26.47</v>
      </c>
      <c r="U56" s="38"/>
      <c r="V56" s="74"/>
      <c r="W56" s="34" t="str">
        <f t="shared" si="4"/>
        <v>FALSE</v>
      </c>
      <c r="X56" s="34" t="str">
        <f t="shared" si="0"/>
        <v>FALSE</v>
      </c>
      <c r="Y56" s="35">
        <f t="shared" si="5"/>
        <v>0</v>
      </c>
      <c r="Z56" s="36" t="str">
        <f t="shared" si="6"/>
        <v/>
      </c>
      <c r="AA56" s="6"/>
      <c r="AB56" s="37">
        <v>1.3779999999999999</v>
      </c>
      <c r="AC56" s="38"/>
      <c r="AD56" s="38"/>
      <c r="AE56" s="34" t="str">
        <f t="shared" si="7"/>
        <v>FALSE</v>
      </c>
      <c r="AF56" s="34" t="str">
        <f t="shared" si="8"/>
        <v>FALSE</v>
      </c>
      <c r="AG56" s="35">
        <f t="shared" si="1"/>
        <v>0</v>
      </c>
      <c r="AH56" s="36" t="str">
        <f t="shared" si="2"/>
        <v/>
      </c>
    </row>
    <row r="57" spans="1:34" ht="14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29" t="str">
        <f t="shared" si="3"/>
        <v/>
      </c>
      <c r="Q57" s="30"/>
      <c r="R57" s="31"/>
      <c r="S57" s="68"/>
      <c r="T57" s="39">
        <v>26.47</v>
      </c>
      <c r="U57" s="38"/>
      <c r="V57" s="74"/>
      <c r="W57" s="34" t="str">
        <f t="shared" si="4"/>
        <v>FALSE</v>
      </c>
      <c r="X57" s="34" t="str">
        <f t="shared" si="0"/>
        <v>FALSE</v>
      </c>
      <c r="Y57" s="35">
        <f t="shared" si="5"/>
        <v>0</v>
      </c>
      <c r="Z57" s="36" t="str">
        <f t="shared" si="6"/>
        <v/>
      </c>
      <c r="AA57" s="42"/>
      <c r="AB57" s="37">
        <v>1.3779999999999999</v>
      </c>
      <c r="AC57" s="38"/>
      <c r="AD57" s="38"/>
      <c r="AE57" s="34" t="str">
        <f t="shared" si="7"/>
        <v>FALSE</v>
      </c>
      <c r="AF57" s="34" t="str">
        <f t="shared" si="8"/>
        <v>FALSE</v>
      </c>
      <c r="AG57" s="35">
        <f t="shared" si="1"/>
        <v>0</v>
      </c>
      <c r="AH57" s="36" t="str">
        <f t="shared" si="2"/>
        <v/>
      </c>
    </row>
    <row r="58" spans="1:34" ht="1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29" t="str">
        <f t="shared" si="3"/>
        <v/>
      </c>
      <c r="Q58" s="30"/>
      <c r="R58" s="31"/>
      <c r="S58" s="68"/>
      <c r="T58" s="39">
        <v>26.47</v>
      </c>
      <c r="U58" s="38"/>
      <c r="V58" s="74"/>
      <c r="W58" s="34" t="str">
        <f t="shared" si="4"/>
        <v>FALSE</v>
      </c>
      <c r="X58" s="34" t="str">
        <f t="shared" si="0"/>
        <v>FALSE</v>
      </c>
      <c r="Y58" s="35">
        <f t="shared" si="5"/>
        <v>0</v>
      </c>
      <c r="Z58" s="36" t="str">
        <f t="shared" si="6"/>
        <v/>
      </c>
      <c r="AA58" s="6"/>
      <c r="AB58" s="37">
        <v>1.3779999999999999</v>
      </c>
      <c r="AC58" s="38"/>
      <c r="AD58" s="38"/>
      <c r="AE58" s="34" t="str">
        <f t="shared" si="7"/>
        <v>FALSE</v>
      </c>
      <c r="AF58" s="34" t="str">
        <f t="shared" si="8"/>
        <v>FALSE</v>
      </c>
      <c r="AG58" s="35">
        <f t="shared" si="1"/>
        <v>0</v>
      </c>
      <c r="AH58" s="36" t="str">
        <f t="shared" si="2"/>
        <v/>
      </c>
    </row>
    <row r="59" spans="1:34" ht="1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29" t="str">
        <f t="shared" si="3"/>
        <v/>
      </c>
      <c r="Q59" s="30"/>
      <c r="R59" s="31"/>
      <c r="S59" s="68"/>
      <c r="T59" s="40"/>
      <c r="U59" s="38"/>
      <c r="V59" s="74"/>
      <c r="W59" s="34" t="str">
        <f t="shared" si="4"/>
        <v>FALSE</v>
      </c>
      <c r="X59" s="34" t="str">
        <f t="shared" si="0"/>
        <v>FALSE</v>
      </c>
      <c r="Y59" s="35">
        <f t="shared" si="5"/>
        <v>0</v>
      </c>
      <c r="Z59" s="36" t="str">
        <f t="shared" si="6"/>
        <v/>
      </c>
      <c r="AA59" s="6"/>
      <c r="AB59" s="37">
        <v>1.3779999999999999</v>
      </c>
      <c r="AC59" s="38"/>
      <c r="AD59" s="38"/>
      <c r="AE59" s="34" t="str">
        <f t="shared" si="7"/>
        <v>FALSE</v>
      </c>
      <c r="AF59" s="34" t="str">
        <f t="shared" si="8"/>
        <v>FALSE</v>
      </c>
      <c r="AG59" s="35">
        <f t="shared" si="1"/>
        <v>0</v>
      </c>
      <c r="AH59" s="36" t="str">
        <f t="shared" si="2"/>
        <v/>
      </c>
    </row>
    <row r="60" spans="1:34" ht="1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29" t="str">
        <f t="shared" si="3"/>
        <v/>
      </c>
      <c r="Q60" s="30"/>
      <c r="R60" s="31"/>
      <c r="S60" s="68"/>
      <c r="T60" s="40"/>
      <c r="U60" s="38"/>
      <c r="V60" s="74"/>
      <c r="W60" s="34" t="str">
        <f t="shared" si="4"/>
        <v>FALSE</v>
      </c>
      <c r="X60" s="34" t="str">
        <f t="shared" si="0"/>
        <v>FALSE</v>
      </c>
      <c r="Y60" s="35">
        <f t="shared" si="5"/>
        <v>0</v>
      </c>
      <c r="Z60" s="36" t="str">
        <f t="shared" si="6"/>
        <v/>
      </c>
      <c r="AA60" s="6"/>
      <c r="AB60" s="41"/>
      <c r="AC60" s="38"/>
      <c r="AD60" s="38"/>
      <c r="AE60" s="34"/>
      <c r="AF60" s="34" t="str">
        <f t="shared" si="8"/>
        <v>FALSE</v>
      </c>
      <c r="AG60" s="35">
        <f t="shared" si="1"/>
        <v>0</v>
      </c>
      <c r="AH60" s="36" t="str">
        <f t="shared" si="2"/>
        <v/>
      </c>
    </row>
    <row r="61" spans="1:34" ht="1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29" t="str">
        <f t="shared" si="3"/>
        <v/>
      </c>
      <c r="Q61" s="30"/>
      <c r="R61" s="31"/>
      <c r="S61" s="68"/>
      <c r="T61" s="40"/>
      <c r="U61" s="38"/>
      <c r="V61" s="74"/>
      <c r="W61" s="34" t="str">
        <f t="shared" si="4"/>
        <v>FALSE</v>
      </c>
      <c r="X61" s="34" t="str">
        <f t="shared" si="0"/>
        <v>FALSE</v>
      </c>
      <c r="Y61" s="35">
        <f t="shared" si="5"/>
        <v>0</v>
      </c>
      <c r="Z61" s="36" t="str">
        <f t="shared" si="6"/>
        <v/>
      </c>
      <c r="AA61" s="6"/>
      <c r="AB61" s="41"/>
      <c r="AC61" s="38"/>
      <c r="AD61" s="38"/>
      <c r="AE61" s="34"/>
      <c r="AF61" s="34" t="str">
        <f t="shared" si="8"/>
        <v>FALSE</v>
      </c>
      <c r="AG61" s="35">
        <f t="shared" si="1"/>
        <v>0</v>
      </c>
      <c r="AH61" s="36" t="str">
        <f t="shared" si="2"/>
        <v/>
      </c>
    </row>
    <row r="62" spans="1:34" ht="1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29" t="str">
        <f t="shared" si="3"/>
        <v/>
      </c>
      <c r="Q62" s="30"/>
      <c r="R62" s="31"/>
      <c r="S62" s="68"/>
      <c r="T62" s="40"/>
      <c r="U62" s="38"/>
      <c r="V62" s="74"/>
      <c r="W62" s="34" t="str">
        <f t="shared" si="4"/>
        <v>FALSE</v>
      </c>
      <c r="X62" s="34" t="str">
        <f t="shared" si="0"/>
        <v>FALSE</v>
      </c>
      <c r="Y62" s="35">
        <f t="shared" si="5"/>
        <v>0</v>
      </c>
      <c r="Z62" s="36" t="str">
        <f t="shared" si="6"/>
        <v/>
      </c>
      <c r="AA62" s="6"/>
      <c r="AB62" s="41"/>
      <c r="AC62" s="38"/>
      <c r="AD62" s="38"/>
      <c r="AE62" s="34"/>
      <c r="AF62" s="34" t="str">
        <f t="shared" si="8"/>
        <v>FALSE</v>
      </c>
      <c r="AG62" s="35">
        <f t="shared" si="1"/>
        <v>0</v>
      </c>
      <c r="AH62" s="36" t="str">
        <f t="shared" si="2"/>
        <v/>
      </c>
    </row>
    <row r="63" spans="1:34" ht="1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29" t="str">
        <f t="shared" si="3"/>
        <v/>
      </c>
      <c r="Q63" s="30"/>
      <c r="R63" s="31"/>
      <c r="S63" s="68"/>
      <c r="T63" s="40"/>
      <c r="U63" s="38"/>
      <c r="V63" s="74"/>
      <c r="W63" s="34" t="str">
        <f t="shared" si="4"/>
        <v>FALSE</v>
      </c>
      <c r="X63" s="34" t="str">
        <f t="shared" si="0"/>
        <v>FALSE</v>
      </c>
      <c r="Y63" s="35">
        <f t="shared" si="5"/>
        <v>0</v>
      </c>
      <c r="Z63" s="36" t="str">
        <f t="shared" si="6"/>
        <v/>
      </c>
      <c r="AA63" s="6"/>
      <c r="AB63" s="41"/>
      <c r="AC63" s="38"/>
      <c r="AD63" s="38"/>
      <c r="AE63" s="34"/>
      <c r="AF63" s="34" t="str">
        <f t="shared" si="8"/>
        <v>FALSE</v>
      </c>
      <c r="AG63" s="35">
        <f t="shared" si="1"/>
        <v>0</v>
      </c>
      <c r="AH63" s="36" t="str">
        <f t="shared" si="2"/>
        <v/>
      </c>
    </row>
    <row r="64" spans="1:34" ht="1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29" t="str">
        <f t="shared" si="3"/>
        <v/>
      </c>
      <c r="Q64" s="30"/>
      <c r="R64" s="31"/>
      <c r="S64" s="68"/>
      <c r="T64" s="40"/>
      <c r="U64" s="38"/>
      <c r="V64" s="74"/>
      <c r="W64" s="34" t="str">
        <f t="shared" si="4"/>
        <v>FALSE</v>
      </c>
      <c r="X64" s="34" t="str">
        <f t="shared" si="0"/>
        <v>FALSE</v>
      </c>
      <c r="Y64" s="35">
        <f t="shared" si="5"/>
        <v>0</v>
      </c>
      <c r="Z64" s="36" t="str">
        <f t="shared" si="6"/>
        <v/>
      </c>
      <c r="AA64" s="6"/>
      <c r="AB64" s="41"/>
      <c r="AC64" s="38"/>
      <c r="AD64" s="38"/>
      <c r="AE64" s="34"/>
      <c r="AF64" s="34" t="str">
        <f t="shared" si="8"/>
        <v>FALSE</v>
      </c>
      <c r="AG64" s="35">
        <f t="shared" si="1"/>
        <v>0</v>
      </c>
      <c r="AH64" s="36" t="str">
        <f t="shared" si="2"/>
        <v/>
      </c>
    </row>
    <row r="65" spans="1:34" ht="1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29" t="str">
        <f t="shared" si="3"/>
        <v/>
      </c>
      <c r="Q65" s="30"/>
      <c r="R65" s="31"/>
      <c r="S65" s="68"/>
      <c r="T65" s="40"/>
      <c r="U65" s="38"/>
      <c r="V65" s="74"/>
      <c r="W65" s="34" t="str">
        <f t="shared" si="4"/>
        <v>FALSE</v>
      </c>
      <c r="X65" s="34" t="str">
        <f t="shared" si="0"/>
        <v>FALSE</v>
      </c>
      <c r="Y65" s="35">
        <f t="shared" si="5"/>
        <v>0</v>
      </c>
      <c r="Z65" s="36" t="str">
        <f t="shared" si="6"/>
        <v/>
      </c>
      <c r="AA65" s="6"/>
      <c r="AB65" s="41"/>
      <c r="AC65" s="38"/>
      <c r="AD65" s="38"/>
      <c r="AE65" s="34"/>
      <c r="AF65" s="34" t="str">
        <f t="shared" si="8"/>
        <v>FALSE</v>
      </c>
      <c r="AG65" s="35">
        <f t="shared" si="1"/>
        <v>0</v>
      </c>
      <c r="AH65" s="36" t="str">
        <f t="shared" si="2"/>
        <v/>
      </c>
    </row>
    <row r="66" spans="1:34" ht="1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29" t="str">
        <f t="shared" si="3"/>
        <v/>
      </c>
      <c r="Q66" s="30"/>
      <c r="R66" s="31"/>
      <c r="S66" s="68"/>
      <c r="T66" s="40"/>
      <c r="U66" s="38"/>
      <c r="V66" s="74"/>
      <c r="W66" s="34" t="str">
        <f t="shared" si="4"/>
        <v>FALSE</v>
      </c>
      <c r="X66" s="34" t="str">
        <f t="shared" si="0"/>
        <v>FALSE</v>
      </c>
      <c r="Y66" s="35">
        <f t="shared" si="5"/>
        <v>0</v>
      </c>
      <c r="Z66" s="36" t="str">
        <f t="shared" si="6"/>
        <v/>
      </c>
      <c r="AA66" s="6"/>
      <c r="AB66" s="41"/>
      <c r="AC66" s="38"/>
      <c r="AD66" s="38"/>
      <c r="AE66" s="34"/>
      <c r="AF66" s="34" t="str">
        <f t="shared" si="8"/>
        <v>FALSE</v>
      </c>
      <c r="AG66" s="35">
        <f t="shared" si="1"/>
        <v>0</v>
      </c>
      <c r="AH66" s="36" t="str">
        <f t="shared" si="2"/>
        <v/>
      </c>
    </row>
    <row r="67" spans="1:34" ht="1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29" t="str">
        <f t="shared" si="3"/>
        <v/>
      </c>
      <c r="Q67" s="30"/>
      <c r="R67" s="31"/>
      <c r="S67" s="68"/>
      <c r="T67" s="40"/>
      <c r="U67" s="38"/>
      <c r="V67" s="74"/>
      <c r="W67" s="34" t="str">
        <f t="shared" si="4"/>
        <v>FALSE</v>
      </c>
      <c r="X67" s="34" t="str">
        <f t="shared" si="0"/>
        <v>FALSE</v>
      </c>
      <c r="Y67" s="35">
        <f t="shared" si="5"/>
        <v>0</v>
      </c>
      <c r="Z67" s="36" t="str">
        <f t="shared" si="6"/>
        <v/>
      </c>
      <c r="AA67" s="6"/>
      <c r="AB67" s="41"/>
      <c r="AC67" s="38"/>
      <c r="AD67" s="38"/>
      <c r="AE67" s="34"/>
      <c r="AF67" s="34" t="str">
        <f t="shared" si="8"/>
        <v>FALSE</v>
      </c>
      <c r="AG67" s="35">
        <f t="shared" si="1"/>
        <v>0</v>
      </c>
      <c r="AH67" s="36" t="str">
        <f t="shared" si="2"/>
        <v/>
      </c>
    </row>
    <row r="68" spans="1:34" ht="1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29" t="str">
        <f t="shared" si="3"/>
        <v/>
      </c>
      <c r="Q68" s="30"/>
      <c r="R68" s="31"/>
      <c r="S68" s="68"/>
      <c r="T68" s="40"/>
      <c r="U68" s="38"/>
      <c r="V68" s="74"/>
      <c r="W68" s="34" t="str">
        <f t="shared" si="4"/>
        <v>FALSE</v>
      </c>
      <c r="X68" s="34" t="str">
        <f t="shared" si="0"/>
        <v>FALSE</v>
      </c>
      <c r="Y68" s="35">
        <f t="shared" si="5"/>
        <v>0</v>
      </c>
      <c r="Z68" s="36" t="str">
        <f t="shared" si="6"/>
        <v/>
      </c>
      <c r="AA68" s="6"/>
      <c r="AB68" s="41"/>
      <c r="AC68" s="38"/>
      <c r="AD68" s="38"/>
      <c r="AE68" s="34"/>
      <c r="AF68" s="34" t="str">
        <f t="shared" si="8"/>
        <v>FALSE</v>
      </c>
      <c r="AG68" s="35">
        <f t="shared" si="1"/>
        <v>0</v>
      </c>
      <c r="AH68" s="36" t="str">
        <f t="shared" si="2"/>
        <v/>
      </c>
    </row>
    <row r="69" spans="1:34" ht="1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29" t="str">
        <f t="shared" si="3"/>
        <v/>
      </c>
      <c r="Q69" s="30"/>
      <c r="R69" s="31"/>
      <c r="S69" s="68"/>
      <c r="T69" s="40"/>
      <c r="U69" s="38"/>
      <c r="V69" s="74"/>
      <c r="W69" s="34" t="str">
        <f t="shared" si="4"/>
        <v>FALSE</v>
      </c>
      <c r="X69" s="34" t="str">
        <f t="shared" si="0"/>
        <v>FALSE</v>
      </c>
      <c r="Y69" s="35">
        <f t="shared" si="5"/>
        <v>0</v>
      </c>
      <c r="Z69" s="36" t="str">
        <f t="shared" si="6"/>
        <v/>
      </c>
      <c r="AA69" s="6"/>
      <c r="AB69" s="41"/>
      <c r="AC69" s="38"/>
      <c r="AD69" s="38"/>
      <c r="AE69" s="34"/>
      <c r="AF69" s="34" t="str">
        <f t="shared" si="8"/>
        <v>FALSE</v>
      </c>
      <c r="AG69" s="35">
        <f t="shared" si="1"/>
        <v>0</v>
      </c>
      <c r="AH69" s="36" t="str">
        <f t="shared" si="2"/>
        <v/>
      </c>
    </row>
    <row r="70" spans="1:34" ht="1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29" t="str">
        <f t="shared" si="3"/>
        <v/>
      </c>
      <c r="Q70" s="30"/>
      <c r="R70" s="31"/>
      <c r="S70" s="68"/>
      <c r="T70" s="40"/>
      <c r="U70" s="38"/>
      <c r="V70" s="74"/>
      <c r="W70" s="34" t="str">
        <f t="shared" si="4"/>
        <v>FALSE</v>
      </c>
      <c r="X70" s="34" t="str">
        <f t="shared" si="0"/>
        <v>FALSE</v>
      </c>
      <c r="Y70" s="35">
        <f t="shared" si="5"/>
        <v>0</v>
      </c>
      <c r="Z70" s="36" t="str">
        <f t="shared" si="6"/>
        <v/>
      </c>
      <c r="AA70" s="6"/>
      <c r="AB70" s="41"/>
      <c r="AC70" s="38"/>
      <c r="AD70" s="38"/>
      <c r="AE70" s="34"/>
      <c r="AF70" s="34" t="str">
        <f t="shared" si="8"/>
        <v>FALSE</v>
      </c>
      <c r="AG70" s="35">
        <f t="shared" si="1"/>
        <v>0</v>
      </c>
      <c r="AH70" s="36" t="str">
        <f t="shared" si="2"/>
        <v/>
      </c>
    </row>
    <row r="71" spans="1:34" ht="1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29" t="str">
        <f t="shared" si="3"/>
        <v/>
      </c>
      <c r="Q71" s="30"/>
      <c r="R71" s="31"/>
      <c r="S71" s="68"/>
      <c r="T71" s="40"/>
      <c r="U71" s="38"/>
      <c r="V71" s="74"/>
      <c r="W71" s="34" t="str">
        <f t="shared" si="4"/>
        <v>FALSE</v>
      </c>
      <c r="X71" s="34" t="str">
        <f t="shared" si="0"/>
        <v>FALSE</v>
      </c>
      <c r="Y71" s="35">
        <f t="shared" si="5"/>
        <v>0</v>
      </c>
      <c r="Z71" s="36" t="str">
        <f t="shared" si="6"/>
        <v/>
      </c>
      <c r="AA71" s="6"/>
      <c r="AB71" s="41"/>
      <c r="AC71" s="38"/>
      <c r="AD71" s="38"/>
      <c r="AE71" s="34"/>
      <c r="AF71" s="34" t="str">
        <f t="shared" si="8"/>
        <v>FALSE</v>
      </c>
      <c r="AG71" s="35">
        <f t="shared" si="1"/>
        <v>0</v>
      </c>
      <c r="AH71" s="36" t="str">
        <f t="shared" si="2"/>
        <v/>
      </c>
    </row>
    <row r="72" spans="1:34" ht="1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29" t="str">
        <f t="shared" si="3"/>
        <v/>
      </c>
      <c r="Q72" s="30"/>
      <c r="R72" s="31"/>
      <c r="S72" s="68"/>
      <c r="T72" s="40"/>
      <c r="U72" s="38"/>
      <c r="V72" s="74"/>
      <c r="W72" s="34" t="str">
        <f t="shared" si="4"/>
        <v>FALSE</v>
      </c>
      <c r="X72" s="34" t="str">
        <f t="shared" si="0"/>
        <v>FALSE</v>
      </c>
      <c r="Y72" s="35">
        <f t="shared" si="5"/>
        <v>0</v>
      </c>
      <c r="Z72" s="36" t="str">
        <f t="shared" si="6"/>
        <v/>
      </c>
      <c r="AA72" s="6"/>
      <c r="AB72" s="41"/>
      <c r="AC72" s="38"/>
      <c r="AD72" s="38"/>
      <c r="AE72" s="34"/>
      <c r="AF72" s="34" t="str">
        <f t="shared" si="8"/>
        <v>FALSE</v>
      </c>
      <c r="AG72" s="35">
        <f t="shared" si="1"/>
        <v>0</v>
      </c>
      <c r="AH72" s="36" t="str">
        <f t="shared" si="2"/>
        <v/>
      </c>
    </row>
    <row r="73" spans="1:34" ht="1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29" t="str">
        <f t="shared" si="3"/>
        <v/>
      </c>
      <c r="Q73" s="30"/>
      <c r="R73" s="31"/>
      <c r="S73" s="68"/>
      <c r="T73" s="40"/>
      <c r="U73" s="38"/>
      <c r="V73" s="74"/>
      <c r="W73" s="34" t="str">
        <f t="shared" si="4"/>
        <v>FALSE</v>
      </c>
      <c r="X73" s="34" t="str">
        <f t="shared" si="0"/>
        <v>FALSE</v>
      </c>
      <c r="Y73" s="35">
        <f t="shared" si="5"/>
        <v>0</v>
      </c>
      <c r="Z73" s="36" t="str">
        <f t="shared" si="6"/>
        <v/>
      </c>
      <c r="AA73" s="6"/>
      <c r="AB73" s="41"/>
      <c r="AC73" s="38"/>
      <c r="AD73" s="38"/>
      <c r="AE73" s="34"/>
      <c r="AF73" s="34" t="str">
        <f t="shared" si="8"/>
        <v>FALSE</v>
      </c>
      <c r="AG73" s="35">
        <f t="shared" si="1"/>
        <v>0</v>
      </c>
      <c r="AH73" s="36" t="str">
        <f t="shared" si="2"/>
        <v/>
      </c>
    </row>
    <row r="74" spans="1:34" ht="1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29" t="str">
        <f t="shared" si="3"/>
        <v/>
      </c>
      <c r="Q74" s="30"/>
      <c r="R74" s="31"/>
      <c r="S74" s="68"/>
      <c r="T74" s="40"/>
      <c r="U74" s="38"/>
      <c r="V74" s="74"/>
      <c r="W74" s="34" t="str">
        <f t="shared" si="4"/>
        <v>FALSE</v>
      </c>
      <c r="X74" s="34" t="str">
        <f t="shared" si="0"/>
        <v>FALSE</v>
      </c>
      <c r="Y74" s="35">
        <f t="shared" si="5"/>
        <v>0</v>
      </c>
      <c r="Z74" s="36" t="str">
        <f t="shared" si="6"/>
        <v/>
      </c>
      <c r="AA74" s="6"/>
      <c r="AB74" s="41"/>
      <c r="AC74" s="38"/>
      <c r="AD74" s="38"/>
      <c r="AE74" s="34"/>
      <c r="AF74" s="34" t="str">
        <f t="shared" si="8"/>
        <v>FALSE</v>
      </c>
      <c r="AG74" s="35">
        <f t="shared" si="1"/>
        <v>0</v>
      </c>
      <c r="AH74" s="36" t="str">
        <f t="shared" si="2"/>
        <v/>
      </c>
    </row>
    <row r="75" spans="1:34" ht="1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29" t="str">
        <f t="shared" si="3"/>
        <v/>
      </c>
      <c r="Q75" s="30"/>
      <c r="R75" s="31"/>
      <c r="S75" s="68"/>
      <c r="T75" s="40"/>
      <c r="U75" s="38"/>
      <c r="V75" s="74"/>
      <c r="W75" s="34" t="str">
        <f t="shared" si="4"/>
        <v>FALSE</v>
      </c>
      <c r="X75" s="34" t="str">
        <f t="shared" si="0"/>
        <v>FALSE</v>
      </c>
      <c r="Y75" s="35">
        <f t="shared" si="5"/>
        <v>0</v>
      </c>
      <c r="Z75" s="36" t="str">
        <f t="shared" si="6"/>
        <v/>
      </c>
      <c r="AA75" s="6"/>
      <c r="AB75" s="41"/>
      <c r="AC75" s="38"/>
      <c r="AD75" s="38"/>
      <c r="AE75" s="34"/>
      <c r="AF75" s="34" t="str">
        <f t="shared" si="8"/>
        <v>FALSE</v>
      </c>
      <c r="AG75" s="35">
        <f t="shared" si="1"/>
        <v>0</v>
      </c>
      <c r="AH75" s="36" t="str">
        <f t="shared" si="2"/>
        <v/>
      </c>
    </row>
    <row r="76" spans="1:34" ht="1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29" t="str">
        <f t="shared" si="3"/>
        <v/>
      </c>
      <c r="Q76" s="30"/>
      <c r="R76" s="31"/>
      <c r="S76" s="68"/>
      <c r="T76" s="40"/>
      <c r="U76" s="38"/>
      <c r="V76" s="74"/>
      <c r="W76" s="34" t="str">
        <f t="shared" si="4"/>
        <v>FALSE</v>
      </c>
      <c r="X76" s="34" t="str">
        <f t="shared" si="0"/>
        <v>FALSE</v>
      </c>
      <c r="Y76" s="35">
        <f t="shared" si="5"/>
        <v>0</v>
      </c>
      <c r="Z76" s="36" t="str">
        <f t="shared" si="6"/>
        <v/>
      </c>
      <c r="AA76" s="6"/>
      <c r="AB76" s="41"/>
      <c r="AC76" s="38"/>
      <c r="AD76" s="38"/>
      <c r="AE76" s="34"/>
      <c r="AF76" s="34" t="str">
        <f t="shared" si="8"/>
        <v>FALSE</v>
      </c>
      <c r="AG76" s="35">
        <f t="shared" si="1"/>
        <v>0</v>
      </c>
      <c r="AH76" s="36" t="str">
        <f t="shared" si="2"/>
        <v/>
      </c>
    </row>
    <row r="77" spans="1:34" ht="1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29" t="str">
        <f t="shared" si="3"/>
        <v/>
      </c>
      <c r="Q77" s="30"/>
      <c r="R77" s="31"/>
      <c r="S77" s="68"/>
      <c r="T77" s="40"/>
      <c r="U77" s="38"/>
      <c r="V77" s="74"/>
      <c r="W77" s="34" t="str">
        <f t="shared" si="4"/>
        <v>FALSE</v>
      </c>
      <c r="X77" s="34" t="str">
        <f t="shared" si="0"/>
        <v>FALSE</v>
      </c>
      <c r="Y77" s="35">
        <f t="shared" si="5"/>
        <v>0</v>
      </c>
      <c r="Z77" s="36" t="str">
        <f t="shared" si="6"/>
        <v/>
      </c>
      <c r="AA77" s="6"/>
      <c r="AB77" s="41"/>
      <c r="AC77" s="38"/>
      <c r="AD77" s="38"/>
      <c r="AE77" s="34"/>
      <c r="AF77" s="34" t="str">
        <f t="shared" si="8"/>
        <v>FALSE</v>
      </c>
      <c r="AG77" s="35">
        <f t="shared" si="1"/>
        <v>0</v>
      </c>
      <c r="AH77" s="36" t="str">
        <f t="shared" si="2"/>
        <v/>
      </c>
    </row>
    <row r="78" spans="1:34" ht="1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29" t="str">
        <f t="shared" si="3"/>
        <v/>
      </c>
      <c r="Q78" s="30"/>
      <c r="R78" s="31"/>
      <c r="S78" s="68"/>
      <c r="T78" s="40"/>
      <c r="U78" s="38"/>
      <c r="V78" s="74"/>
      <c r="W78" s="34" t="str">
        <f t="shared" si="4"/>
        <v>FALSE</v>
      </c>
      <c r="X78" s="34" t="str">
        <f t="shared" ref="X78:X120" si="9">IF(U78="","FALSE",ABS((U78-AVERAGE($U$14:$U$120))/_xlfn.STDEV.S($U$14:$U$104)))</f>
        <v>FALSE</v>
      </c>
      <c r="Y78" s="35">
        <f t="shared" si="5"/>
        <v>0</v>
      </c>
      <c r="Z78" s="36" t="str">
        <f t="shared" si="6"/>
        <v/>
      </c>
      <c r="AA78" s="6"/>
      <c r="AB78" s="41"/>
      <c r="AC78" s="38"/>
      <c r="AD78" s="38"/>
      <c r="AE78" s="34"/>
      <c r="AF78" s="34" t="str">
        <f t="shared" si="8"/>
        <v>FALSE</v>
      </c>
      <c r="AG78" s="35">
        <f t="shared" ref="AG78:AG120" si="10">IF(OR(AC78&gt;$AG$11,AC78&lt;$AF$11),AC78,"")</f>
        <v>0</v>
      </c>
      <c r="AH78" s="36" t="str">
        <f t="shared" ref="AH78:AH120" si="11">IF(AC78="","",AC78/AB78)</f>
        <v/>
      </c>
    </row>
    <row r="79" spans="1:34" ht="1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29" t="str">
        <f t="shared" ref="P79:P120" si="12">IF(R79&lt;&gt;"",P78+1,"")</f>
        <v/>
      </c>
      <c r="Q79" s="30"/>
      <c r="R79" s="31"/>
      <c r="S79" s="68"/>
      <c r="T79" s="40"/>
      <c r="U79" s="38"/>
      <c r="V79" s="74"/>
      <c r="W79" s="34" t="str">
        <f t="shared" ref="W79:W120" si="13">IF(X79&gt;3,"FALSE",U79)</f>
        <v>FALSE</v>
      </c>
      <c r="X79" s="34" t="str">
        <f t="shared" si="9"/>
        <v>FALSE</v>
      </c>
      <c r="Y79" s="35">
        <f t="shared" ref="Y79:Y120" si="14">IF(OR(U79&gt;$Y$11,U79&lt;$X$11),U79,"")</f>
        <v>0</v>
      </c>
      <c r="Z79" s="36" t="str">
        <f t="shared" ref="Z79:Z120" si="15">IF(U79="","",U79/T79)</f>
        <v/>
      </c>
      <c r="AA79" s="6"/>
      <c r="AB79" s="41"/>
      <c r="AC79" s="38"/>
      <c r="AD79" s="38"/>
      <c r="AE79" s="34"/>
      <c r="AF79" s="34" t="str">
        <f t="shared" ref="AF79:AF120" si="16">IF(AC79="","FALSE",ABS((AC79-AVERAGE($AC$14:$AC$120))/_xlfn.STDEV.S($AC$14:$AC$104)))</f>
        <v>FALSE</v>
      </c>
      <c r="AG79" s="35">
        <f t="shared" si="10"/>
        <v>0</v>
      </c>
      <c r="AH79" s="36" t="str">
        <f t="shared" si="11"/>
        <v/>
      </c>
    </row>
    <row r="80" spans="1:34" ht="1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29" t="str">
        <f t="shared" si="12"/>
        <v/>
      </c>
      <c r="Q80" s="30"/>
      <c r="R80" s="31"/>
      <c r="S80" s="68"/>
      <c r="T80" s="40"/>
      <c r="U80" s="38"/>
      <c r="V80" s="74"/>
      <c r="W80" s="34" t="str">
        <f t="shared" si="13"/>
        <v>FALSE</v>
      </c>
      <c r="X80" s="34" t="str">
        <f t="shared" si="9"/>
        <v>FALSE</v>
      </c>
      <c r="Y80" s="35">
        <f t="shared" si="14"/>
        <v>0</v>
      </c>
      <c r="Z80" s="36" t="str">
        <f t="shared" si="15"/>
        <v/>
      </c>
      <c r="AA80" s="6"/>
      <c r="AB80" s="41"/>
      <c r="AC80" s="38"/>
      <c r="AD80" s="38"/>
      <c r="AE80" s="34"/>
      <c r="AF80" s="34" t="str">
        <f t="shared" si="16"/>
        <v>FALSE</v>
      </c>
      <c r="AG80" s="35">
        <f t="shared" si="10"/>
        <v>0</v>
      </c>
      <c r="AH80" s="36" t="str">
        <f t="shared" si="11"/>
        <v/>
      </c>
    </row>
    <row r="81" spans="1:34" ht="1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29" t="str">
        <f t="shared" si="12"/>
        <v/>
      </c>
      <c r="Q81" s="30"/>
      <c r="R81" s="31"/>
      <c r="S81" s="68"/>
      <c r="T81" s="40"/>
      <c r="U81" s="38"/>
      <c r="V81" s="74"/>
      <c r="W81" s="34" t="str">
        <f t="shared" si="13"/>
        <v>FALSE</v>
      </c>
      <c r="X81" s="34" t="str">
        <f t="shared" si="9"/>
        <v>FALSE</v>
      </c>
      <c r="Y81" s="35">
        <f t="shared" si="14"/>
        <v>0</v>
      </c>
      <c r="Z81" s="36" t="str">
        <f t="shared" si="15"/>
        <v/>
      </c>
      <c r="AA81" s="6"/>
      <c r="AB81" s="41"/>
      <c r="AC81" s="38"/>
      <c r="AD81" s="38"/>
      <c r="AE81" s="34"/>
      <c r="AF81" s="34" t="str">
        <f t="shared" si="16"/>
        <v>FALSE</v>
      </c>
      <c r="AG81" s="35">
        <f t="shared" si="10"/>
        <v>0</v>
      </c>
      <c r="AH81" s="36" t="str">
        <f t="shared" si="11"/>
        <v/>
      </c>
    </row>
    <row r="82" spans="1:34" ht="1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29" t="str">
        <f t="shared" si="12"/>
        <v/>
      </c>
      <c r="Q82" s="30"/>
      <c r="R82" s="31"/>
      <c r="S82" s="68"/>
      <c r="T82" s="40"/>
      <c r="U82" s="38"/>
      <c r="V82" s="74"/>
      <c r="W82" s="34" t="str">
        <f t="shared" si="13"/>
        <v>FALSE</v>
      </c>
      <c r="X82" s="34" t="str">
        <f t="shared" si="9"/>
        <v>FALSE</v>
      </c>
      <c r="Y82" s="35">
        <f t="shared" si="14"/>
        <v>0</v>
      </c>
      <c r="Z82" s="36" t="str">
        <f t="shared" si="15"/>
        <v/>
      </c>
      <c r="AA82" s="6"/>
      <c r="AB82" s="41"/>
      <c r="AC82" s="38"/>
      <c r="AD82" s="38"/>
      <c r="AE82" s="34"/>
      <c r="AF82" s="34" t="str">
        <f t="shared" si="16"/>
        <v>FALSE</v>
      </c>
      <c r="AG82" s="35">
        <f t="shared" si="10"/>
        <v>0</v>
      </c>
      <c r="AH82" s="36" t="str">
        <f t="shared" si="11"/>
        <v/>
      </c>
    </row>
    <row r="83" spans="1:34" ht="1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29" t="str">
        <f t="shared" si="12"/>
        <v/>
      </c>
      <c r="Q83" s="30"/>
      <c r="R83" s="31"/>
      <c r="S83" s="68"/>
      <c r="T83" s="40"/>
      <c r="U83" s="38"/>
      <c r="V83" s="74"/>
      <c r="W83" s="34" t="str">
        <f t="shared" si="13"/>
        <v>FALSE</v>
      </c>
      <c r="X83" s="34" t="str">
        <f t="shared" si="9"/>
        <v>FALSE</v>
      </c>
      <c r="Y83" s="35">
        <f t="shared" si="14"/>
        <v>0</v>
      </c>
      <c r="Z83" s="36" t="str">
        <f t="shared" si="15"/>
        <v/>
      </c>
      <c r="AA83" s="6"/>
      <c r="AB83" s="41"/>
      <c r="AC83" s="38"/>
      <c r="AD83" s="38"/>
      <c r="AE83" s="34"/>
      <c r="AF83" s="34" t="str">
        <f t="shared" si="16"/>
        <v>FALSE</v>
      </c>
      <c r="AG83" s="35">
        <f t="shared" si="10"/>
        <v>0</v>
      </c>
      <c r="AH83" s="36" t="str">
        <f t="shared" si="11"/>
        <v/>
      </c>
    </row>
    <row r="84" spans="1:34" ht="1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29" t="str">
        <f t="shared" si="12"/>
        <v/>
      </c>
      <c r="Q84" s="30"/>
      <c r="R84" s="31"/>
      <c r="S84" s="68"/>
      <c r="T84" s="40"/>
      <c r="U84" s="38"/>
      <c r="V84" s="74"/>
      <c r="W84" s="34" t="str">
        <f t="shared" si="13"/>
        <v>FALSE</v>
      </c>
      <c r="X84" s="34" t="str">
        <f t="shared" si="9"/>
        <v>FALSE</v>
      </c>
      <c r="Y84" s="35">
        <f t="shared" si="14"/>
        <v>0</v>
      </c>
      <c r="Z84" s="36" t="str">
        <f t="shared" si="15"/>
        <v/>
      </c>
      <c r="AA84" s="6"/>
      <c r="AB84" s="41"/>
      <c r="AC84" s="38"/>
      <c r="AD84" s="38"/>
      <c r="AE84" s="34"/>
      <c r="AF84" s="34" t="str">
        <f t="shared" si="16"/>
        <v>FALSE</v>
      </c>
      <c r="AG84" s="35">
        <f t="shared" si="10"/>
        <v>0</v>
      </c>
      <c r="AH84" s="36" t="str">
        <f t="shared" si="11"/>
        <v/>
      </c>
    </row>
    <row r="85" spans="1:34" ht="1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29" t="str">
        <f t="shared" si="12"/>
        <v/>
      </c>
      <c r="Q85" s="30"/>
      <c r="R85" s="31"/>
      <c r="S85" s="68"/>
      <c r="T85" s="40"/>
      <c r="U85" s="38"/>
      <c r="V85" s="74"/>
      <c r="W85" s="34" t="str">
        <f t="shared" si="13"/>
        <v>FALSE</v>
      </c>
      <c r="X85" s="34" t="str">
        <f t="shared" si="9"/>
        <v>FALSE</v>
      </c>
      <c r="Y85" s="35">
        <f t="shared" si="14"/>
        <v>0</v>
      </c>
      <c r="Z85" s="36" t="str">
        <f t="shared" si="15"/>
        <v/>
      </c>
      <c r="AA85" s="6"/>
      <c r="AB85" s="41"/>
      <c r="AC85" s="38"/>
      <c r="AD85" s="38"/>
      <c r="AE85" s="34"/>
      <c r="AF85" s="34" t="str">
        <f t="shared" si="16"/>
        <v>FALSE</v>
      </c>
      <c r="AG85" s="35">
        <f t="shared" si="10"/>
        <v>0</v>
      </c>
      <c r="AH85" s="36" t="str">
        <f t="shared" si="11"/>
        <v/>
      </c>
    </row>
    <row r="86" spans="1:34" ht="1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29" t="str">
        <f t="shared" si="12"/>
        <v/>
      </c>
      <c r="Q86" s="30"/>
      <c r="R86" s="31"/>
      <c r="S86" s="68"/>
      <c r="T86" s="40"/>
      <c r="U86" s="38"/>
      <c r="V86" s="74"/>
      <c r="W86" s="34" t="str">
        <f t="shared" si="13"/>
        <v>FALSE</v>
      </c>
      <c r="X86" s="34" t="str">
        <f t="shared" si="9"/>
        <v>FALSE</v>
      </c>
      <c r="Y86" s="35">
        <f t="shared" si="14"/>
        <v>0</v>
      </c>
      <c r="Z86" s="36" t="str">
        <f t="shared" si="15"/>
        <v/>
      </c>
      <c r="AA86" s="6"/>
      <c r="AB86" s="41"/>
      <c r="AC86" s="38"/>
      <c r="AD86" s="38"/>
      <c r="AE86" s="34"/>
      <c r="AF86" s="34" t="str">
        <f t="shared" si="16"/>
        <v>FALSE</v>
      </c>
      <c r="AG86" s="35">
        <f t="shared" si="10"/>
        <v>0</v>
      </c>
      <c r="AH86" s="36" t="str">
        <f t="shared" si="11"/>
        <v/>
      </c>
    </row>
    <row r="87" spans="1:34" ht="1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29" t="str">
        <f t="shared" si="12"/>
        <v/>
      </c>
      <c r="Q87" s="30"/>
      <c r="R87" s="31"/>
      <c r="S87" s="68"/>
      <c r="T87" s="40"/>
      <c r="U87" s="38"/>
      <c r="V87" s="74"/>
      <c r="W87" s="34" t="str">
        <f t="shared" si="13"/>
        <v>FALSE</v>
      </c>
      <c r="X87" s="34" t="str">
        <f t="shared" si="9"/>
        <v>FALSE</v>
      </c>
      <c r="Y87" s="35">
        <f t="shared" si="14"/>
        <v>0</v>
      </c>
      <c r="Z87" s="36" t="str">
        <f t="shared" si="15"/>
        <v/>
      </c>
      <c r="AA87" s="6"/>
      <c r="AB87" s="41"/>
      <c r="AC87" s="38"/>
      <c r="AD87" s="38"/>
      <c r="AE87" s="34"/>
      <c r="AF87" s="34" t="str">
        <f t="shared" si="16"/>
        <v>FALSE</v>
      </c>
      <c r="AG87" s="35">
        <f t="shared" si="10"/>
        <v>0</v>
      </c>
      <c r="AH87" s="36" t="str">
        <f t="shared" si="11"/>
        <v/>
      </c>
    </row>
    <row r="88" spans="1:34" ht="1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29" t="str">
        <f t="shared" si="12"/>
        <v/>
      </c>
      <c r="Q88" s="30"/>
      <c r="R88" s="31"/>
      <c r="S88" s="68"/>
      <c r="T88" s="40"/>
      <c r="U88" s="38"/>
      <c r="V88" s="74"/>
      <c r="W88" s="34" t="str">
        <f t="shared" si="13"/>
        <v>FALSE</v>
      </c>
      <c r="X88" s="34" t="str">
        <f t="shared" si="9"/>
        <v>FALSE</v>
      </c>
      <c r="Y88" s="35">
        <f t="shared" si="14"/>
        <v>0</v>
      </c>
      <c r="Z88" s="36" t="str">
        <f t="shared" si="15"/>
        <v/>
      </c>
      <c r="AA88" s="6"/>
      <c r="AB88" s="41"/>
      <c r="AC88" s="38"/>
      <c r="AD88" s="38"/>
      <c r="AE88" s="34"/>
      <c r="AF88" s="34" t="str">
        <f t="shared" si="16"/>
        <v>FALSE</v>
      </c>
      <c r="AG88" s="35">
        <f t="shared" si="10"/>
        <v>0</v>
      </c>
      <c r="AH88" s="36" t="str">
        <f t="shared" si="11"/>
        <v/>
      </c>
    </row>
    <row r="89" spans="1:34" ht="1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29" t="str">
        <f t="shared" si="12"/>
        <v/>
      </c>
      <c r="Q89" s="30"/>
      <c r="R89" s="31"/>
      <c r="S89" s="68"/>
      <c r="T89" s="40"/>
      <c r="U89" s="38"/>
      <c r="V89" s="74"/>
      <c r="W89" s="34" t="str">
        <f t="shared" si="13"/>
        <v>FALSE</v>
      </c>
      <c r="X89" s="34" t="str">
        <f t="shared" si="9"/>
        <v>FALSE</v>
      </c>
      <c r="Y89" s="35">
        <f t="shared" si="14"/>
        <v>0</v>
      </c>
      <c r="Z89" s="36" t="str">
        <f t="shared" si="15"/>
        <v/>
      </c>
      <c r="AA89" s="6"/>
      <c r="AB89" s="41"/>
      <c r="AC89" s="38"/>
      <c r="AD89" s="38"/>
      <c r="AE89" s="34"/>
      <c r="AF89" s="34" t="str">
        <f t="shared" si="16"/>
        <v>FALSE</v>
      </c>
      <c r="AG89" s="35">
        <f t="shared" si="10"/>
        <v>0</v>
      </c>
      <c r="AH89" s="36" t="str">
        <f t="shared" si="11"/>
        <v/>
      </c>
    </row>
    <row r="90" spans="1:34" ht="1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29" t="str">
        <f t="shared" si="12"/>
        <v/>
      </c>
      <c r="Q90" s="30"/>
      <c r="R90" s="31"/>
      <c r="S90" s="68"/>
      <c r="T90" s="40"/>
      <c r="U90" s="38"/>
      <c r="V90" s="74"/>
      <c r="W90" s="34" t="str">
        <f t="shared" si="13"/>
        <v>FALSE</v>
      </c>
      <c r="X90" s="34" t="str">
        <f t="shared" si="9"/>
        <v>FALSE</v>
      </c>
      <c r="Y90" s="35">
        <f t="shared" si="14"/>
        <v>0</v>
      </c>
      <c r="Z90" s="36" t="str">
        <f t="shared" si="15"/>
        <v/>
      </c>
      <c r="AA90" s="6"/>
      <c r="AB90" s="41"/>
      <c r="AC90" s="38"/>
      <c r="AD90" s="38"/>
      <c r="AE90" s="34"/>
      <c r="AF90" s="34" t="str">
        <f t="shared" si="16"/>
        <v>FALSE</v>
      </c>
      <c r="AG90" s="35">
        <f t="shared" si="10"/>
        <v>0</v>
      </c>
      <c r="AH90" s="36" t="str">
        <f t="shared" si="11"/>
        <v/>
      </c>
    </row>
    <row r="91" spans="1:34" ht="1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29" t="str">
        <f t="shared" si="12"/>
        <v/>
      </c>
      <c r="Q91" s="30"/>
      <c r="R91" s="31"/>
      <c r="S91" s="68"/>
      <c r="T91" s="40"/>
      <c r="U91" s="38"/>
      <c r="V91" s="74"/>
      <c r="W91" s="34" t="str">
        <f t="shared" si="13"/>
        <v>FALSE</v>
      </c>
      <c r="X91" s="34" t="str">
        <f t="shared" si="9"/>
        <v>FALSE</v>
      </c>
      <c r="Y91" s="35">
        <f t="shared" si="14"/>
        <v>0</v>
      </c>
      <c r="Z91" s="36" t="str">
        <f t="shared" si="15"/>
        <v/>
      </c>
      <c r="AA91" s="6"/>
      <c r="AB91" s="41"/>
      <c r="AC91" s="38"/>
      <c r="AD91" s="38"/>
      <c r="AE91" s="34"/>
      <c r="AF91" s="34" t="str">
        <f t="shared" si="16"/>
        <v>FALSE</v>
      </c>
      <c r="AG91" s="35">
        <f t="shared" si="10"/>
        <v>0</v>
      </c>
      <c r="AH91" s="36" t="str">
        <f t="shared" si="11"/>
        <v/>
      </c>
    </row>
    <row r="92" spans="1:34" ht="1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29" t="str">
        <f t="shared" si="12"/>
        <v/>
      </c>
      <c r="Q92" s="30"/>
      <c r="R92" s="31"/>
      <c r="S92" s="68"/>
      <c r="T92" s="40"/>
      <c r="U92" s="38"/>
      <c r="V92" s="74"/>
      <c r="W92" s="34" t="str">
        <f t="shared" si="13"/>
        <v>FALSE</v>
      </c>
      <c r="X92" s="34" t="str">
        <f t="shared" si="9"/>
        <v>FALSE</v>
      </c>
      <c r="Y92" s="35">
        <f t="shared" si="14"/>
        <v>0</v>
      </c>
      <c r="Z92" s="36" t="str">
        <f t="shared" si="15"/>
        <v/>
      </c>
      <c r="AA92" s="6"/>
      <c r="AB92" s="41"/>
      <c r="AC92" s="38"/>
      <c r="AD92" s="38"/>
      <c r="AE92" s="34"/>
      <c r="AF92" s="34" t="str">
        <f t="shared" si="16"/>
        <v>FALSE</v>
      </c>
      <c r="AG92" s="35">
        <f t="shared" si="10"/>
        <v>0</v>
      </c>
      <c r="AH92" s="36" t="str">
        <f t="shared" si="11"/>
        <v/>
      </c>
    </row>
    <row r="93" spans="1:34" ht="1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29" t="str">
        <f t="shared" si="12"/>
        <v/>
      </c>
      <c r="Q93" s="30"/>
      <c r="R93" s="31"/>
      <c r="S93" s="68"/>
      <c r="T93" s="40"/>
      <c r="U93" s="38"/>
      <c r="V93" s="74"/>
      <c r="W93" s="34" t="str">
        <f t="shared" si="13"/>
        <v>FALSE</v>
      </c>
      <c r="X93" s="34" t="str">
        <f t="shared" si="9"/>
        <v>FALSE</v>
      </c>
      <c r="Y93" s="35">
        <f t="shared" si="14"/>
        <v>0</v>
      </c>
      <c r="Z93" s="36" t="str">
        <f t="shared" si="15"/>
        <v/>
      </c>
      <c r="AA93" s="6"/>
      <c r="AB93" s="41"/>
      <c r="AC93" s="38"/>
      <c r="AD93" s="38"/>
      <c r="AE93" s="34"/>
      <c r="AF93" s="34" t="str">
        <f t="shared" si="16"/>
        <v>FALSE</v>
      </c>
      <c r="AG93" s="35">
        <f t="shared" si="10"/>
        <v>0</v>
      </c>
      <c r="AH93" s="36" t="str">
        <f t="shared" si="11"/>
        <v/>
      </c>
    </row>
    <row r="94" spans="1:34" ht="1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29" t="str">
        <f t="shared" si="12"/>
        <v/>
      </c>
      <c r="Q94" s="30"/>
      <c r="R94" s="31"/>
      <c r="S94" s="68"/>
      <c r="T94" s="40"/>
      <c r="U94" s="38"/>
      <c r="V94" s="74"/>
      <c r="W94" s="34" t="str">
        <f t="shared" si="13"/>
        <v>FALSE</v>
      </c>
      <c r="X94" s="34" t="str">
        <f t="shared" si="9"/>
        <v>FALSE</v>
      </c>
      <c r="Y94" s="35">
        <f t="shared" si="14"/>
        <v>0</v>
      </c>
      <c r="Z94" s="36" t="str">
        <f t="shared" si="15"/>
        <v/>
      </c>
      <c r="AA94" s="6"/>
      <c r="AB94" s="41"/>
      <c r="AC94" s="38"/>
      <c r="AD94" s="38"/>
      <c r="AE94" s="34"/>
      <c r="AF94" s="34" t="str">
        <f t="shared" si="16"/>
        <v>FALSE</v>
      </c>
      <c r="AG94" s="35">
        <f t="shared" si="10"/>
        <v>0</v>
      </c>
      <c r="AH94" s="36" t="str">
        <f t="shared" si="11"/>
        <v/>
      </c>
    </row>
    <row r="95" spans="1:34" ht="1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29" t="str">
        <f t="shared" si="12"/>
        <v/>
      </c>
      <c r="Q95" s="30"/>
      <c r="R95" s="31"/>
      <c r="S95" s="68"/>
      <c r="T95" s="40"/>
      <c r="U95" s="38"/>
      <c r="V95" s="74"/>
      <c r="W95" s="34" t="str">
        <f t="shared" si="13"/>
        <v>FALSE</v>
      </c>
      <c r="X95" s="34" t="str">
        <f t="shared" si="9"/>
        <v>FALSE</v>
      </c>
      <c r="Y95" s="35">
        <f t="shared" si="14"/>
        <v>0</v>
      </c>
      <c r="Z95" s="36" t="str">
        <f t="shared" si="15"/>
        <v/>
      </c>
      <c r="AA95" s="6"/>
      <c r="AB95" s="41"/>
      <c r="AC95" s="38"/>
      <c r="AD95" s="38"/>
      <c r="AE95" s="34"/>
      <c r="AF95" s="34" t="str">
        <f t="shared" si="16"/>
        <v>FALSE</v>
      </c>
      <c r="AG95" s="35">
        <f t="shared" si="10"/>
        <v>0</v>
      </c>
      <c r="AH95" s="36" t="str">
        <f t="shared" si="11"/>
        <v/>
      </c>
    </row>
    <row r="96" spans="1:34" ht="1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29" t="str">
        <f t="shared" si="12"/>
        <v/>
      </c>
      <c r="Q96" s="30"/>
      <c r="R96" s="31"/>
      <c r="S96" s="68"/>
      <c r="T96" s="40"/>
      <c r="U96" s="38"/>
      <c r="V96" s="74"/>
      <c r="W96" s="34" t="str">
        <f t="shared" si="13"/>
        <v>FALSE</v>
      </c>
      <c r="X96" s="34" t="str">
        <f t="shared" si="9"/>
        <v>FALSE</v>
      </c>
      <c r="Y96" s="35">
        <f t="shared" si="14"/>
        <v>0</v>
      </c>
      <c r="Z96" s="36" t="str">
        <f t="shared" si="15"/>
        <v/>
      </c>
      <c r="AA96" s="6"/>
      <c r="AB96" s="41"/>
      <c r="AC96" s="38"/>
      <c r="AD96" s="38"/>
      <c r="AE96" s="34"/>
      <c r="AF96" s="34" t="str">
        <f t="shared" si="16"/>
        <v>FALSE</v>
      </c>
      <c r="AG96" s="35">
        <f t="shared" si="10"/>
        <v>0</v>
      </c>
      <c r="AH96" s="36" t="str">
        <f t="shared" si="11"/>
        <v/>
      </c>
    </row>
    <row r="97" spans="1:34" ht="1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29" t="str">
        <f t="shared" si="12"/>
        <v/>
      </c>
      <c r="Q97" s="30"/>
      <c r="R97" s="31"/>
      <c r="S97" s="68"/>
      <c r="T97" s="40"/>
      <c r="U97" s="38"/>
      <c r="V97" s="74"/>
      <c r="W97" s="34" t="str">
        <f t="shared" si="13"/>
        <v>FALSE</v>
      </c>
      <c r="X97" s="34" t="str">
        <f t="shared" si="9"/>
        <v>FALSE</v>
      </c>
      <c r="Y97" s="35">
        <f t="shared" si="14"/>
        <v>0</v>
      </c>
      <c r="Z97" s="36" t="str">
        <f t="shared" si="15"/>
        <v/>
      </c>
      <c r="AA97" s="6"/>
      <c r="AB97" s="41"/>
      <c r="AC97" s="38"/>
      <c r="AD97" s="38"/>
      <c r="AE97" s="34"/>
      <c r="AF97" s="34" t="str">
        <f t="shared" si="16"/>
        <v>FALSE</v>
      </c>
      <c r="AG97" s="35">
        <f t="shared" si="10"/>
        <v>0</v>
      </c>
      <c r="AH97" s="36" t="str">
        <f t="shared" si="11"/>
        <v/>
      </c>
    </row>
    <row r="98" spans="1:34" ht="1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29" t="str">
        <f t="shared" si="12"/>
        <v/>
      </c>
      <c r="Q98" s="30"/>
      <c r="R98" s="31"/>
      <c r="S98" s="68"/>
      <c r="T98" s="40"/>
      <c r="U98" s="38"/>
      <c r="V98" s="74"/>
      <c r="W98" s="34" t="str">
        <f t="shared" si="13"/>
        <v>FALSE</v>
      </c>
      <c r="X98" s="34" t="str">
        <f t="shared" si="9"/>
        <v>FALSE</v>
      </c>
      <c r="Y98" s="35">
        <f t="shared" si="14"/>
        <v>0</v>
      </c>
      <c r="Z98" s="36" t="str">
        <f t="shared" si="15"/>
        <v/>
      </c>
      <c r="AA98" s="6"/>
      <c r="AB98" s="41"/>
      <c r="AC98" s="38"/>
      <c r="AD98" s="38"/>
      <c r="AE98" s="34"/>
      <c r="AF98" s="34" t="str">
        <f t="shared" si="16"/>
        <v>FALSE</v>
      </c>
      <c r="AG98" s="35">
        <f t="shared" si="10"/>
        <v>0</v>
      </c>
      <c r="AH98" s="36" t="str">
        <f t="shared" si="11"/>
        <v/>
      </c>
    </row>
    <row r="99" spans="1:34" ht="1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29" t="str">
        <f t="shared" si="12"/>
        <v/>
      </c>
      <c r="Q99" s="30"/>
      <c r="R99" s="31"/>
      <c r="S99" s="68"/>
      <c r="T99" s="40"/>
      <c r="U99" s="38"/>
      <c r="V99" s="74"/>
      <c r="W99" s="34" t="str">
        <f t="shared" si="13"/>
        <v>FALSE</v>
      </c>
      <c r="X99" s="34" t="str">
        <f t="shared" si="9"/>
        <v>FALSE</v>
      </c>
      <c r="Y99" s="35">
        <f t="shared" si="14"/>
        <v>0</v>
      </c>
      <c r="Z99" s="36" t="str">
        <f t="shared" si="15"/>
        <v/>
      </c>
      <c r="AA99" s="6"/>
      <c r="AB99" s="41"/>
      <c r="AC99" s="38"/>
      <c r="AD99" s="38"/>
      <c r="AE99" s="34"/>
      <c r="AF99" s="34" t="str">
        <f t="shared" si="16"/>
        <v>FALSE</v>
      </c>
      <c r="AG99" s="35">
        <f t="shared" si="10"/>
        <v>0</v>
      </c>
      <c r="AH99" s="36" t="str">
        <f t="shared" si="11"/>
        <v/>
      </c>
    </row>
    <row r="100" spans="1:34" ht="1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29" t="str">
        <f t="shared" si="12"/>
        <v/>
      </c>
      <c r="Q100" s="30"/>
      <c r="R100" s="31"/>
      <c r="S100" s="68"/>
      <c r="T100" s="40"/>
      <c r="U100" s="38"/>
      <c r="V100" s="74"/>
      <c r="W100" s="34" t="str">
        <f t="shared" si="13"/>
        <v>FALSE</v>
      </c>
      <c r="X100" s="34" t="str">
        <f t="shared" si="9"/>
        <v>FALSE</v>
      </c>
      <c r="Y100" s="35">
        <f t="shared" si="14"/>
        <v>0</v>
      </c>
      <c r="Z100" s="36" t="str">
        <f t="shared" si="15"/>
        <v/>
      </c>
      <c r="AA100" s="6"/>
      <c r="AB100" s="41"/>
      <c r="AC100" s="38"/>
      <c r="AD100" s="38"/>
      <c r="AE100" s="34"/>
      <c r="AF100" s="34" t="str">
        <f t="shared" si="16"/>
        <v>FALSE</v>
      </c>
      <c r="AG100" s="35">
        <f t="shared" si="10"/>
        <v>0</v>
      </c>
      <c r="AH100" s="36" t="str">
        <f t="shared" si="11"/>
        <v/>
      </c>
    </row>
    <row r="101" spans="1:34" ht="1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29" t="str">
        <f t="shared" si="12"/>
        <v/>
      </c>
      <c r="Q101" s="30"/>
      <c r="R101" s="31"/>
      <c r="S101" s="68"/>
      <c r="T101" s="40"/>
      <c r="U101" s="38"/>
      <c r="V101" s="74"/>
      <c r="W101" s="34" t="str">
        <f t="shared" si="13"/>
        <v>FALSE</v>
      </c>
      <c r="X101" s="34" t="str">
        <f t="shared" si="9"/>
        <v>FALSE</v>
      </c>
      <c r="Y101" s="35">
        <f t="shared" si="14"/>
        <v>0</v>
      </c>
      <c r="Z101" s="36" t="str">
        <f t="shared" si="15"/>
        <v/>
      </c>
      <c r="AA101" s="6"/>
      <c r="AB101" s="41"/>
      <c r="AC101" s="38"/>
      <c r="AD101" s="38"/>
      <c r="AE101" s="34"/>
      <c r="AF101" s="34" t="str">
        <f t="shared" si="16"/>
        <v>FALSE</v>
      </c>
      <c r="AG101" s="35">
        <f t="shared" si="10"/>
        <v>0</v>
      </c>
      <c r="AH101" s="36" t="str">
        <f t="shared" si="11"/>
        <v/>
      </c>
    </row>
    <row r="102" spans="1:34" ht="1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29" t="str">
        <f t="shared" si="12"/>
        <v/>
      </c>
      <c r="Q102" s="30"/>
      <c r="R102" s="31"/>
      <c r="S102" s="68"/>
      <c r="T102" s="40"/>
      <c r="U102" s="38"/>
      <c r="V102" s="74"/>
      <c r="W102" s="34" t="str">
        <f t="shared" si="13"/>
        <v>FALSE</v>
      </c>
      <c r="X102" s="34" t="str">
        <f t="shared" si="9"/>
        <v>FALSE</v>
      </c>
      <c r="Y102" s="35">
        <f t="shared" si="14"/>
        <v>0</v>
      </c>
      <c r="Z102" s="36" t="str">
        <f t="shared" si="15"/>
        <v/>
      </c>
      <c r="AA102" s="6"/>
      <c r="AB102" s="41"/>
      <c r="AC102" s="38"/>
      <c r="AD102" s="38"/>
      <c r="AE102" s="34"/>
      <c r="AF102" s="34" t="str">
        <f t="shared" si="16"/>
        <v>FALSE</v>
      </c>
      <c r="AG102" s="35">
        <f t="shared" si="10"/>
        <v>0</v>
      </c>
      <c r="AH102" s="36" t="str">
        <f t="shared" si="11"/>
        <v/>
      </c>
    </row>
    <row r="103" spans="1:34" ht="1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29" t="str">
        <f t="shared" si="12"/>
        <v/>
      </c>
      <c r="Q103" s="30"/>
      <c r="R103" s="31"/>
      <c r="S103" s="68"/>
      <c r="T103" s="40"/>
      <c r="U103" s="38"/>
      <c r="V103" s="74"/>
      <c r="W103" s="34" t="str">
        <f t="shared" si="13"/>
        <v>FALSE</v>
      </c>
      <c r="X103" s="34" t="str">
        <f t="shared" si="9"/>
        <v>FALSE</v>
      </c>
      <c r="Y103" s="35">
        <f t="shared" si="14"/>
        <v>0</v>
      </c>
      <c r="Z103" s="36" t="str">
        <f t="shared" si="15"/>
        <v/>
      </c>
      <c r="AA103" s="6"/>
      <c r="AB103" s="41"/>
      <c r="AC103" s="38"/>
      <c r="AD103" s="38"/>
      <c r="AE103" s="34"/>
      <c r="AF103" s="34" t="str">
        <f t="shared" si="16"/>
        <v>FALSE</v>
      </c>
      <c r="AG103" s="35">
        <f t="shared" si="10"/>
        <v>0</v>
      </c>
      <c r="AH103" s="36" t="str">
        <f t="shared" si="11"/>
        <v/>
      </c>
    </row>
    <row r="104" spans="1:34" ht="1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29" t="str">
        <f t="shared" si="12"/>
        <v/>
      </c>
      <c r="Q104" s="30"/>
      <c r="R104" s="31"/>
      <c r="S104" s="68"/>
      <c r="T104" s="40"/>
      <c r="U104" s="38"/>
      <c r="V104" s="74"/>
      <c r="W104" s="34" t="str">
        <f t="shared" si="13"/>
        <v>FALSE</v>
      </c>
      <c r="X104" s="34" t="str">
        <f t="shared" si="9"/>
        <v>FALSE</v>
      </c>
      <c r="Y104" s="35">
        <f t="shared" si="14"/>
        <v>0</v>
      </c>
      <c r="Z104" s="36" t="str">
        <f t="shared" si="15"/>
        <v/>
      </c>
      <c r="AA104" s="6"/>
      <c r="AB104" s="41"/>
      <c r="AC104" s="38"/>
      <c r="AD104" s="38"/>
      <c r="AE104" s="34"/>
      <c r="AF104" s="34" t="str">
        <f t="shared" si="16"/>
        <v>FALSE</v>
      </c>
      <c r="AG104" s="35">
        <f t="shared" si="10"/>
        <v>0</v>
      </c>
      <c r="AH104" s="36" t="str">
        <f t="shared" si="11"/>
        <v/>
      </c>
    </row>
    <row r="105" spans="1:34" ht="1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29" t="str">
        <f t="shared" si="12"/>
        <v/>
      </c>
      <c r="Q105" s="30"/>
      <c r="R105" s="31"/>
      <c r="S105" s="68"/>
      <c r="T105" s="40"/>
      <c r="U105" s="38"/>
      <c r="V105" s="74"/>
      <c r="W105" s="34" t="str">
        <f t="shared" si="13"/>
        <v>FALSE</v>
      </c>
      <c r="X105" s="34" t="str">
        <f t="shared" si="9"/>
        <v>FALSE</v>
      </c>
      <c r="Y105" s="35">
        <f t="shared" si="14"/>
        <v>0</v>
      </c>
      <c r="Z105" s="36" t="str">
        <f t="shared" si="15"/>
        <v/>
      </c>
      <c r="AA105" s="6"/>
      <c r="AB105" s="41"/>
      <c r="AC105" s="38"/>
      <c r="AD105" s="38"/>
      <c r="AE105" s="34"/>
      <c r="AF105" s="34" t="str">
        <f t="shared" si="16"/>
        <v>FALSE</v>
      </c>
      <c r="AG105" s="35">
        <f t="shared" si="10"/>
        <v>0</v>
      </c>
      <c r="AH105" s="36" t="str">
        <f t="shared" si="11"/>
        <v/>
      </c>
    </row>
    <row r="106" spans="1:34" ht="1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29" t="str">
        <f t="shared" si="12"/>
        <v/>
      </c>
      <c r="Q106" s="30"/>
      <c r="R106" s="31"/>
      <c r="S106" s="68"/>
      <c r="T106" s="40"/>
      <c r="U106" s="38"/>
      <c r="V106" s="74"/>
      <c r="W106" s="34" t="str">
        <f t="shared" si="13"/>
        <v>FALSE</v>
      </c>
      <c r="X106" s="34" t="str">
        <f t="shared" si="9"/>
        <v>FALSE</v>
      </c>
      <c r="Y106" s="35">
        <f t="shared" si="14"/>
        <v>0</v>
      </c>
      <c r="Z106" s="36" t="str">
        <f t="shared" si="15"/>
        <v/>
      </c>
      <c r="AA106" s="6"/>
      <c r="AB106" s="41"/>
      <c r="AC106" s="38"/>
      <c r="AD106" s="38"/>
      <c r="AE106" s="34"/>
      <c r="AF106" s="34" t="str">
        <f t="shared" si="16"/>
        <v>FALSE</v>
      </c>
      <c r="AG106" s="35">
        <f t="shared" si="10"/>
        <v>0</v>
      </c>
      <c r="AH106" s="36" t="str">
        <f t="shared" si="11"/>
        <v/>
      </c>
    </row>
    <row r="107" spans="1:34" ht="1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29" t="str">
        <f t="shared" si="12"/>
        <v/>
      </c>
      <c r="Q107" s="30"/>
      <c r="R107" s="31"/>
      <c r="S107" s="68"/>
      <c r="T107" s="40"/>
      <c r="U107" s="38"/>
      <c r="V107" s="74"/>
      <c r="W107" s="34" t="str">
        <f t="shared" si="13"/>
        <v>FALSE</v>
      </c>
      <c r="X107" s="34" t="str">
        <f t="shared" si="9"/>
        <v>FALSE</v>
      </c>
      <c r="Y107" s="35">
        <f t="shared" si="14"/>
        <v>0</v>
      </c>
      <c r="Z107" s="36" t="str">
        <f t="shared" si="15"/>
        <v/>
      </c>
      <c r="AA107" s="6"/>
      <c r="AB107" s="41"/>
      <c r="AC107" s="38"/>
      <c r="AD107" s="38"/>
      <c r="AE107" s="34"/>
      <c r="AF107" s="34" t="str">
        <f t="shared" si="16"/>
        <v>FALSE</v>
      </c>
      <c r="AG107" s="35">
        <f t="shared" si="10"/>
        <v>0</v>
      </c>
      <c r="AH107" s="36" t="str">
        <f t="shared" si="11"/>
        <v/>
      </c>
    </row>
    <row r="108" spans="1:34" ht="1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29" t="str">
        <f t="shared" si="12"/>
        <v/>
      </c>
      <c r="Q108" s="30"/>
      <c r="R108" s="31"/>
      <c r="S108" s="68"/>
      <c r="T108" s="40"/>
      <c r="U108" s="38"/>
      <c r="V108" s="74"/>
      <c r="W108" s="34" t="str">
        <f t="shared" si="13"/>
        <v>FALSE</v>
      </c>
      <c r="X108" s="34" t="str">
        <f t="shared" si="9"/>
        <v>FALSE</v>
      </c>
      <c r="Y108" s="35">
        <f t="shared" si="14"/>
        <v>0</v>
      </c>
      <c r="Z108" s="36" t="str">
        <f t="shared" si="15"/>
        <v/>
      </c>
      <c r="AA108" s="6"/>
      <c r="AB108" s="41"/>
      <c r="AC108" s="38"/>
      <c r="AD108" s="38"/>
      <c r="AE108" s="34"/>
      <c r="AF108" s="34" t="str">
        <f t="shared" si="16"/>
        <v>FALSE</v>
      </c>
      <c r="AG108" s="35">
        <f t="shared" si="10"/>
        <v>0</v>
      </c>
      <c r="AH108" s="36" t="str">
        <f t="shared" si="11"/>
        <v/>
      </c>
    </row>
    <row r="109" spans="1:34" ht="1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29" t="str">
        <f t="shared" si="12"/>
        <v/>
      </c>
      <c r="Q109" s="30"/>
      <c r="R109" s="31"/>
      <c r="S109" s="68"/>
      <c r="T109" s="40"/>
      <c r="U109" s="38"/>
      <c r="V109" s="74"/>
      <c r="W109" s="34" t="str">
        <f t="shared" si="13"/>
        <v>FALSE</v>
      </c>
      <c r="X109" s="34" t="str">
        <f t="shared" si="9"/>
        <v>FALSE</v>
      </c>
      <c r="Y109" s="35">
        <f t="shared" si="14"/>
        <v>0</v>
      </c>
      <c r="Z109" s="36" t="str">
        <f t="shared" si="15"/>
        <v/>
      </c>
      <c r="AA109" s="6"/>
      <c r="AB109" s="41"/>
      <c r="AC109" s="38"/>
      <c r="AD109" s="38"/>
      <c r="AE109" s="34"/>
      <c r="AF109" s="34" t="str">
        <f t="shared" si="16"/>
        <v>FALSE</v>
      </c>
      <c r="AG109" s="35">
        <f t="shared" si="10"/>
        <v>0</v>
      </c>
      <c r="AH109" s="36" t="str">
        <f t="shared" si="11"/>
        <v/>
      </c>
    </row>
    <row r="110" spans="1:34" ht="1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29" t="str">
        <f t="shared" si="12"/>
        <v/>
      </c>
      <c r="Q110" s="30"/>
      <c r="R110" s="31"/>
      <c r="S110" s="68"/>
      <c r="T110" s="40"/>
      <c r="U110" s="38"/>
      <c r="V110" s="74"/>
      <c r="W110" s="34" t="str">
        <f t="shared" si="13"/>
        <v>FALSE</v>
      </c>
      <c r="X110" s="34" t="str">
        <f t="shared" si="9"/>
        <v>FALSE</v>
      </c>
      <c r="Y110" s="35">
        <f t="shared" si="14"/>
        <v>0</v>
      </c>
      <c r="Z110" s="36" t="str">
        <f t="shared" si="15"/>
        <v/>
      </c>
      <c r="AA110" s="6"/>
      <c r="AB110" s="41"/>
      <c r="AC110" s="38"/>
      <c r="AD110" s="38"/>
      <c r="AE110" s="34"/>
      <c r="AF110" s="34" t="str">
        <f t="shared" si="16"/>
        <v>FALSE</v>
      </c>
      <c r="AG110" s="35">
        <f t="shared" si="10"/>
        <v>0</v>
      </c>
      <c r="AH110" s="36" t="str">
        <f t="shared" si="11"/>
        <v/>
      </c>
    </row>
    <row r="111" spans="1:34" ht="1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29" t="str">
        <f t="shared" si="12"/>
        <v/>
      </c>
      <c r="Q111" s="30"/>
      <c r="R111" s="31"/>
      <c r="S111" s="68"/>
      <c r="T111" s="40"/>
      <c r="U111" s="38"/>
      <c r="V111" s="74"/>
      <c r="W111" s="34" t="str">
        <f t="shared" si="13"/>
        <v>FALSE</v>
      </c>
      <c r="X111" s="34" t="str">
        <f t="shared" si="9"/>
        <v>FALSE</v>
      </c>
      <c r="Y111" s="35">
        <f t="shared" si="14"/>
        <v>0</v>
      </c>
      <c r="Z111" s="36" t="str">
        <f t="shared" si="15"/>
        <v/>
      </c>
      <c r="AA111" s="6"/>
      <c r="AB111" s="41"/>
      <c r="AC111" s="38"/>
      <c r="AD111" s="38"/>
      <c r="AE111" s="34"/>
      <c r="AF111" s="34" t="str">
        <f t="shared" si="16"/>
        <v>FALSE</v>
      </c>
      <c r="AG111" s="35">
        <f t="shared" si="10"/>
        <v>0</v>
      </c>
      <c r="AH111" s="36" t="str">
        <f t="shared" si="11"/>
        <v/>
      </c>
    </row>
    <row r="112" spans="1:34" ht="1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29" t="str">
        <f t="shared" si="12"/>
        <v/>
      </c>
      <c r="Q112" s="30"/>
      <c r="R112" s="31"/>
      <c r="S112" s="68"/>
      <c r="T112" s="40"/>
      <c r="U112" s="38"/>
      <c r="V112" s="74"/>
      <c r="W112" s="34" t="str">
        <f t="shared" si="13"/>
        <v>FALSE</v>
      </c>
      <c r="X112" s="34" t="str">
        <f t="shared" si="9"/>
        <v>FALSE</v>
      </c>
      <c r="Y112" s="35">
        <f t="shared" si="14"/>
        <v>0</v>
      </c>
      <c r="Z112" s="36" t="str">
        <f t="shared" si="15"/>
        <v/>
      </c>
      <c r="AA112" s="6"/>
      <c r="AB112" s="41"/>
      <c r="AC112" s="38"/>
      <c r="AD112" s="38"/>
      <c r="AE112" s="34"/>
      <c r="AF112" s="34" t="str">
        <f t="shared" si="16"/>
        <v>FALSE</v>
      </c>
      <c r="AG112" s="35">
        <f t="shared" si="10"/>
        <v>0</v>
      </c>
      <c r="AH112" s="36" t="str">
        <f t="shared" si="11"/>
        <v/>
      </c>
    </row>
    <row r="113" spans="1:34" ht="1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29" t="str">
        <f t="shared" si="12"/>
        <v/>
      </c>
      <c r="Q113" s="30"/>
      <c r="R113" s="31"/>
      <c r="S113" s="68"/>
      <c r="T113" s="40"/>
      <c r="U113" s="38"/>
      <c r="V113" s="74"/>
      <c r="W113" s="34" t="str">
        <f t="shared" si="13"/>
        <v>FALSE</v>
      </c>
      <c r="X113" s="34" t="str">
        <f t="shared" si="9"/>
        <v>FALSE</v>
      </c>
      <c r="Y113" s="35">
        <f t="shared" si="14"/>
        <v>0</v>
      </c>
      <c r="Z113" s="36" t="str">
        <f t="shared" si="15"/>
        <v/>
      </c>
      <c r="AA113" s="6"/>
      <c r="AB113" s="41"/>
      <c r="AC113" s="38"/>
      <c r="AD113" s="38"/>
      <c r="AE113" s="34"/>
      <c r="AF113" s="34" t="str">
        <f t="shared" si="16"/>
        <v>FALSE</v>
      </c>
      <c r="AG113" s="35">
        <f t="shared" si="10"/>
        <v>0</v>
      </c>
      <c r="AH113" s="36" t="str">
        <f t="shared" si="11"/>
        <v/>
      </c>
    </row>
    <row r="114" spans="1:34" ht="1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29" t="str">
        <f t="shared" si="12"/>
        <v/>
      </c>
      <c r="Q114" s="30"/>
      <c r="R114" s="31"/>
      <c r="S114" s="68"/>
      <c r="T114" s="40"/>
      <c r="U114" s="38"/>
      <c r="V114" s="74"/>
      <c r="W114" s="34" t="str">
        <f t="shared" si="13"/>
        <v>FALSE</v>
      </c>
      <c r="X114" s="34" t="str">
        <f t="shared" si="9"/>
        <v>FALSE</v>
      </c>
      <c r="Y114" s="35">
        <f t="shared" si="14"/>
        <v>0</v>
      </c>
      <c r="Z114" s="36" t="str">
        <f t="shared" si="15"/>
        <v/>
      </c>
      <c r="AA114" s="6"/>
      <c r="AB114" s="41"/>
      <c r="AC114" s="38"/>
      <c r="AD114" s="38"/>
      <c r="AE114" s="34"/>
      <c r="AF114" s="34" t="str">
        <f t="shared" si="16"/>
        <v>FALSE</v>
      </c>
      <c r="AG114" s="35">
        <f t="shared" si="10"/>
        <v>0</v>
      </c>
      <c r="AH114" s="36" t="str">
        <f t="shared" si="11"/>
        <v/>
      </c>
    </row>
    <row r="115" spans="1:34" ht="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29" t="str">
        <f t="shared" si="12"/>
        <v/>
      </c>
      <c r="Q115" s="30"/>
      <c r="R115" s="31"/>
      <c r="S115" s="68"/>
      <c r="T115" s="40"/>
      <c r="U115" s="38"/>
      <c r="V115" s="74"/>
      <c r="W115" s="34" t="str">
        <f t="shared" si="13"/>
        <v>FALSE</v>
      </c>
      <c r="X115" s="34" t="str">
        <f t="shared" si="9"/>
        <v>FALSE</v>
      </c>
      <c r="Y115" s="35">
        <f t="shared" si="14"/>
        <v>0</v>
      </c>
      <c r="Z115" s="36" t="str">
        <f t="shared" si="15"/>
        <v/>
      </c>
      <c r="AA115" s="6"/>
      <c r="AB115" s="41"/>
      <c r="AC115" s="38"/>
      <c r="AD115" s="38"/>
      <c r="AE115" s="34"/>
      <c r="AF115" s="34" t="str">
        <f t="shared" si="16"/>
        <v>FALSE</v>
      </c>
      <c r="AG115" s="35">
        <f t="shared" si="10"/>
        <v>0</v>
      </c>
      <c r="AH115" s="36" t="str">
        <f t="shared" si="11"/>
        <v/>
      </c>
    </row>
    <row r="116" spans="1:34" ht="1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29" t="str">
        <f t="shared" si="12"/>
        <v/>
      </c>
      <c r="Q116" s="30"/>
      <c r="R116" s="31"/>
      <c r="S116" s="68"/>
      <c r="T116" s="40"/>
      <c r="U116" s="38"/>
      <c r="V116" s="74"/>
      <c r="W116" s="34" t="str">
        <f t="shared" si="13"/>
        <v>FALSE</v>
      </c>
      <c r="X116" s="34" t="str">
        <f t="shared" si="9"/>
        <v>FALSE</v>
      </c>
      <c r="Y116" s="35">
        <f t="shared" si="14"/>
        <v>0</v>
      </c>
      <c r="Z116" s="36" t="str">
        <f t="shared" si="15"/>
        <v/>
      </c>
      <c r="AA116" s="6"/>
      <c r="AB116" s="41"/>
      <c r="AC116" s="38"/>
      <c r="AD116" s="38"/>
      <c r="AE116" s="34"/>
      <c r="AF116" s="34" t="str">
        <f t="shared" si="16"/>
        <v>FALSE</v>
      </c>
      <c r="AG116" s="35">
        <f t="shared" si="10"/>
        <v>0</v>
      </c>
      <c r="AH116" s="36" t="str">
        <f t="shared" si="11"/>
        <v/>
      </c>
    </row>
    <row r="117" spans="1:34" ht="1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29" t="str">
        <f t="shared" si="12"/>
        <v/>
      </c>
      <c r="Q117" s="30"/>
      <c r="R117" s="31"/>
      <c r="S117" s="68"/>
      <c r="T117" s="40"/>
      <c r="U117" s="38"/>
      <c r="V117" s="74"/>
      <c r="W117" s="34" t="str">
        <f t="shared" si="13"/>
        <v>FALSE</v>
      </c>
      <c r="X117" s="34" t="str">
        <f t="shared" si="9"/>
        <v>FALSE</v>
      </c>
      <c r="Y117" s="35">
        <f t="shared" si="14"/>
        <v>0</v>
      </c>
      <c r="Z117" s="36" t="str">
        <f t="shared" si="15"/>
        <v/>
      </c>
      <c r="AA117" s="6"/>
      <c r="AB117" s="41"/>
      <c r="AC117" s="38"/>
      <c r="AD117" s="38"/>
      <c r="AE117" s="34"/>
      <c r="AF117" s="34" t="str">
        <f t="shared" si="16"/>
        <v>FALSE</v>
      </c>
      <c r="AG117" s="35">
        <f t="shared" si="10"/>
        <v>0</v>
      </c>
      <c r="AH117" s="36" t="str">
        <f t="shared" si="11"/>
        <v/>
      </c>
    </row>
    <row r="118" spans="1:34" ht="1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29" t="str">
        <f t="shared" si="12"/>
        <v/>
      </c>
      <c r="Q118" s="30"/>
      <c r="R118" s="31"/>
      <c r="S118" s="68"/>
      <c r="T118" s="40"/>
      <c r="U118" s="38"/>
      <c r="V118" s="74"/>
      <c r="W118" s="34" t="str">
        <f t="shared" si="13"/>
        <v>FALSE</v>
      </c>
      <c r="X118" s="34" t="str">
        <f t="shared" si="9"/>
        <v>FALSE</v>
      </c>
      <c r="Y118" s="35">
        <f t="shared" si="14"/>
        <v>0</v>
      </c>
      <c r="Z118" s="36" t="str">
        <f t="shared" si="15"/>
        <v/>
      </c>
      <c r="AA118" s="6"/>
      <c r="AB118" s="41"/>
      <c r="AC118" s="38"/>
      <c r="AD118" s="38"/>
      <c r="AE118" s="34"/>
      <c r="AF118" s="34" t="str">
        <f t="shared" si="16"/>
        <v>FALSE</v>
      </c>
      <c r="AG118" s="35">
        <f t="shared" si="10"/>
        <v>0</v>
      </c>
      <c r="AH118" s="36" t="str">
        <f t="shared" si="11"/>
        <v/>
      </c>
    </row>
    <row r="119" spans="1:34" ht="1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29" t="str">
        <f t="shared" si="12"/>
        <v/>
      </c>
      <c r="Q119" s="30"/>
      <c r="R119" s="31"/>
      <c r="S119" s="68"/>
      <c r="T119" s="40"/>
      <c r="U119" s="38"/>
      <c r="V119" s="74"/>
      <c r="W119" s="34" t="str">
        <f t="shared" si="13"/>
        <v>FALSE</v>
      </c>
      <c r="X119" s="34" t="str">
        <f t="shared" si="9"/>
        <v>FALSE</v>
      </c>
      <c r="Y119" s="35">
        <f t="shared" si="14"/>
        <v>0</v>
      </c>
      <c r="Z119" s="36" t="str">
        <f t="shared" si="15"/>
        <v/>
      </c>
      <c r="AA119" s="6"/>
      <c r="AB119" s="41"/>
      <c r="AC119" s="38"/>
      <c r="AD119" s="38"/>
      <c r="AE119" s="34"/>
      <c r="AF119" s="34" t="str">
        <f t="shared" si="16"/>
        <v>FALSE</v>
      </c>
      <c r="AG119" s="35">
        <f t="shared" si="10"/>
        <v>0</v>
      </c>
      <c r="AH119" s="36" t="str">
        <f t="shared" si="11"/>
        <v/>
      </c>
    </row>
    <row r="120" spans="1:34" ht="1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29" t="str">
        <f t="shared" si="12"/>
        <v/>
      </c>
      <c r="Q120" s="30"/>
      <c r="R120" s="31"/>
      <c r="S120" s="68"/>
      <c r="T120" s="40"/>
      <c r="U120" s="38"/>
      <c r="V120" s="74"/>
      <c r="W120" s="34" t="str">
        <f t="shared" si="13"/>
        <v>FALSE</v>
      </c>
      <c r="X120" s="34" t="str">
        <f t="shared" si="9"/>
        <v>FALSE</v>
      </c>
      <c r="Y120" s="35">
        <f t="shared" si="14"/>
        <v>0</v>
      </c>
      <c r="Z120" s="36" t="str">
        <f t="shared" si="15"/>
        <v/>
      </c>
      <c r="AA120" s="6"/>
      <c r="AB120" s="41"/>
      <c r="AC120" s="38"/>
      <c r="AD120" s="38"/>
      <c r="AE120" s="34"/>
      <c r="AF120" s="34" t="str">
        <f t="shared" si="16"/>
        <v>FALSE</v>
      </c>
      <c r="AG120" s="35">
        <f t="shared" si="10"/>
        <v>0</v>
      </c>
      <c r="AH120" s="36" t="str">
        <f t="shared" si="11"/>
        <v/>
      </c>
    </row>
  </sheetData>
  <mergeCells count="11">
    <mergeCell ref="P6:U6"/>
    <mergeCell ref="X6:AA6"/>
    <mergeCell ref="Q8:Z8"/>
    <mergeCell ref="AB8:AH8"/>
    <mergeCell ref="D1:L2"/>
    <mergeCell ref="X2:AA2"/>
    <mergeCell ref="AC2:AG2"/>
    <mergeCell ref="P3:R3"/>
    <mergeCell ref="T3:U3"/>
    <mergeCell ref="X3:AA3"/>
    <mergeCell ref="AC3:AG3"/>
  </mergeCells>
  <conditionalFormatting sqref="U14:U120">
    <cfRule type="containsBlanks" dxfId="339" priority="1">
      <formula>LEN(TRIM(U14))=0</formula>
    </cfRule>
    <cfRule type="expression" dxfId="338" priority="2">
      <formula>AND(X14&gt;=2,X14&lt;3)</formula>
    </cfRule>
    <cfRule type="expression" dxfId="337" priority="3">
      <formula>X14&gt;3</formula>
    </cfRule>
  </conditionalFormatting>
  <conditionalFormatting sqref="W14:W120">
    <cfRule type="expression" dxfId="336" priority="15">
      <formula>X14="FALSE"</formula>
    </cfRule>
  </conditionalFormatting>
  <conditionalFormatting sqref="X14:X120">
    <cfRule type="expression" dxfId="335" priority="14">
      <formula>X14="FALSE"</formula>
    </cfRule>
    <cfRule type="expression" dxfId="334" priority="16">
      <formula>AND(X14&gt;2,X14&lt;3)</formula>
    </cfRule>
  </conditionalFormatting>
  <conditionalFormatting sqref="X14:Y50 X51:X120">
    <cfRule type="expression" dxfId="333" priority="20">
      <formula>X14&gt;=3</formula>
    </cfRule>
  </conditionalFormatting>
  <conditionalFormatting sqref="Y14:Y50">
    <cfRule type="expression" dxfId="332" priority="19">
      <formula>AND(X14&gt;=2,X14&lt;3)</formula>
    </cfRule>
  </conditionalFormatting>
  <conditionalFormatting sqref="Z14:Z120">
    <cfRule type="cellIs" dxfId="331" priority="17" operator="notBetween">
      <formula>0.8</formula>
      <formula>1.15</formula>
    </cfRule>
  </conditionalFormatting>
  <conditionalFormatting sqref="AC14:AC120">
    <cfRule type="containsBlanks" dxfId="330" priority="4">
      <formula>LEN(TRIM(AC14))=0</formula>
    </cfRule>
    <cfRule type="expression" dxfId="329" priority="5">
      <formula>AND(AF14&gt;=2,AF14&lt;3)</formula>
    </cfRule>
    <cfRule type="expression" dxfId="328" priority="6">
      <formula>AF14&gt;3</formula>
    </cfRule>
  </conditionalFormatting>
  <conditionalFormatting sqref="AE14:AE120">
    <cfRule type="expression" dxfId="327" priority="13">
      <formula>AF14="FALSE"</formula>
    </cfRule>
  </conditionalFormatting>
  <conditionalFormatting sqref="AF14:AF120">
    <cfRule type="expression" dxfId="326" priority="10">
      <formula>AF14="FALSE"</formula>
    </cfRule>
    <cfRule type="expression" dxfId="325" priority="11">
      <formula>AND(AF14&gt;2,AF14&lt;3)</formula>
    </cfRule>
    <cfRule type="expression" dxfId="324" priority="12">
      <formula>AF14&gt;=3</formula>
    </cfRule>
  </conditionalFormatting>
  <conditionalFormatting sqref="AG14:AG120">
    <cfRule type="expression" dxfId="323" priority="7">
      <formula>AF14=0</formula>
    </cfRule>
    <cfRule type="expression" dxfId="322" priority="8">
      <formula>AND(AF14&gt;=2,AF14&lt;3)</formula>
    </cfRule>
    <cfRule type="expression" dxfId="321" priority="9">
      <formula>AG14&gt;=3</formula>
    </cfRule>
  </conditionalFormatting>
  <conditionalFormatting sqref="AH14:AH120">
    <cfRule type="cellIs" dxfId="320" priority="18" operator="notBetween">
      <formula>0.8</formula>
      <formula>1.15</formula>
    </cfRule>
  </conditionalFormatting>
  <pageMargins left="0.4" right="0.4" top="0.4" bottom="0.4" header="0" footer="0"/>
  <pageSetup scale="10" fitToHeight="0" orientation="landscape" horizontalDpi="4294967292" verticalDpi="4294967292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48046-A9EE-42EC-92A3-3082A1035694}">
  <sheetPr>
    <tabColor rgb="FFFFFFFF"/>
    <pageSetUpPr fitToPage="1"/>
  </sheetPr>
  <dimension ref="A1:AH120"/>
  <sheetViews>
    <sheetView showGridLines="0" topLeftCell="A41" zoomScale="70" zoomScaleNormal="70" workbookViewId="0">
      <selection activeCell="AC55" sqref="AC55"/>
    </sheetView>
  </sheetViews>
  <sheetFormatPr defaultColWidth="11" defaultRowHeight="13.5" customHeight="1"/>
  <cols>
    <col min="1" max="2" width="3.125" style="12" customWidth="1"/>
    <col min="3" max="8" width="11" style="12"/>
    <col min="9" max="9" width="9" style="12" customWidth="1"/>
    <col min="10" max="13" width="11" style="12"/>
    <col min="14" max="15" width="4" style="12" customWidth="1"/>
    <col min="16" max="16" width="6.125" style="43" customWidth="1"/>
    <col min="17" max="17" width="13" style="12" customWidth="1"/>
    <col min="18" max="18" width="12.875" style="44" customWidth="1"/>
    <col min="19" max="19" width="3" style="44" customWidth="1"/>
    <col min="20" max="20" width="12" style="45" customWidth="1"/>
    <col min="21" max="21" width="14.875" style="8" customWidth="1"/>
    <col min="22" max="22" width="2.375" style="12" customWidth="1"/>
    <col min="23" max="23" width="12.875" style="6" customWidth="1"/>
    <col min="24" max="24" width="11.5" style="6" customWidth="1"/>
    <col min="25" max="25" width="13" style="12" customWidth="1"/>
    <col min="26" max="26" width="11.625" style="12" customWidth="1"/>
    <col min="27" max="27" width="9.125" style="12" customWidth="1"/>
    <col min="28" max="28" width="13.375" style="8" customWidth="1"/>
    <col min="29" max="29" width="13.75" style="12" customWidth="1"/>
    <col min="30" max="30" width="2" style="12" customWidth="1"/>
    <col min="31" max="31" width="12.75" style="12" customWidth="1"/>
    <col min="32" max="32" width="12.375" style="12" customWidth="1"/>
    <col min="33" max="33" width="13.125" style="12" customWidth="1"/>
    <col min="34" max="34" width="15.25" style="12" customWidth="1"/>
    <col min="35" max="16384" width="11" style="12"/>
  </cols>
  <sheetData>
    <row r="1" spans="1:34" s="7" customFormat="1" ht="31.5" customHeight="1">
      <c r="A1" s="1"/>
      <c r="B1" s="1"/>
      <c r="C1" s="1"/>
      <c r="D1" s="162" t="s">
        <v>110</v>
      </c>
      <c r="E1" s="162"/>
      <c r="F1" s="162"/>
      <c r="G1" s="162"/>
      <c r="H1" s="162"/>
      <c r="I1" s="162"/>
      <c r="J1" s="162"/>
      <c r="K1" s="162"/>
      <c r="L1" s="162"/>
      <c r="M1" s="1"/>
      <c r="N1" s="1"/>
      <c r="O1" s="1"/>
      <c r="P1" s="2"/>
      <c r="Q1" s="3" t="s">
        <v>74</v>
      </c>
      <c r="R1" s="4"/>
      <c r="S1" s="4"/>
      <c r="T1" s="4"/>
      <c r="U1" s="5"/>
      <c r="V1" s="6"/>
      <c r="W1" s="6"/>
      <c r="X1" s="6"/>
      <c r="Y1" s="5"/>
      <c r="Z1" s="5"/>
      <c r="AA1" s="5"/>
      <c r="AB1" s="5"/>
      <c r="AC1" s="5"/>
      <c r="AD1" s="5"/>
      <c r="AE1" s="5"/>
      <c r="AF1" s="5"/>
      <c r="AG1" s="5"/>
      <c r="AH1"/>
    </row>
    <row r="2" spans="1:34" ht="15.75" customHeight="1">
      <c r="A2" s="8"/>
      <c r="B2" s="8"/>
      <c r="C2" s="8"/>
      <c r="D2" s="162"/>
      <c r="E2" s="162"/>
      <c r="F2" s="162"/>
      <c r="G2" s="162"/>
      <c r="H2" s="162"/>
      <c r="I2" s="162"/>
      <c r="J2" s="162"/>
      <c r="K2" s="162"/>
      <c r="L2" s="162"/>
      <c r="M2" s="8"/>
      <c r="N2" s="8"/>
      <c r="O2" s="8"/>
      <c r="P2" s="9"/>
      <c r="Q2" s="10" t="s">
        <v>75</v>
      </c>
      <c r="R2" s="11"/>
      <c r="S2" s="11"/>
      <c r="T2" s="10" t="s">
        <v>76</v>
      </c>
      <c r="X2" s="163" t="s">
        <v>77</v>
      </c>
      <c r="Y2" s="163"/>
      <c r="Z2" s="163"/>
      <c r="AA2" s="163"/>
      <c r="AC2" s="163" t="s">
        <v>78</v>
      </c>
      <c r="AD2" s="163"/>
      <c r="AE2" s="163"/>
      <c r="AF2" s="163"/>
      <c r="AG2" s="163"/>
      <c r="AH2"/>
    </row>
    <row r="3" spans="1:34" ht="26.2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164">
        <f>MIN(R14:R16)</f>
        <v>45677</v>
      </c>
      <c r="Q3" s="165"/>
      <c r="R3" s="166"/>
      <c r="S3" s="65"/>
      <c r="T3" s="167">
        <f>MAX(R14:R116)</f>
        <v>46065</v>
      </c>
      <c r="U3" s="168"/>
      <c r="X3" s="164" t="s">
        <v>79</v>
      </c>
      <c r="Y3" s="165"/>
      <c r="Z3" s="165"/>
      <c r="AA3" s="168"/>
      <c r="AC3" s="169" t="s">
        <v>80</v>
      </c>
      <c r="AD3" s="170"/>
      <c r="AE3" s="170"/>
      <c r="AF3" s="170"/>
      <c r="AG3" s="171"/>
      <c r="AH3"/>
    </row>
    <row r="4" spans="1:34" ht="15.7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13"/>
      <c r="Q4" s="14"/>
      <c r="R4" s="15">
        <f>MIN(P14:P120)</f>
        <v>1</v>
      </c>
      <c r="S4" s="15"/>
      <c r="T4" s="16">
        <f>MAX(P14:P120)</f>
        <v>41</v>
      </c>
      <c r="U4" s="14"/>
      <c r="V4" s="6"/>
      <c r="X4" s="14"/>
      <c r="Y4" s="14"/>
      <c r="Z4" s="14"/>
      <c r="AA4" s="14"/>
      <c r="AB4"/>
      <c r="AC4" s="14"/>
      <c r="AD4" s="14"/>
      <c r="AE4" s="14"/>
      <c r="AF4" s="14"/>
      <c r="AH4" s="8"/>
    </row>
    <row r="5" spans="1:34" ht="20.2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17"/>
      <c r="Q5" s="17" t="s">
        <v>81</v>
      </c>
      <c r="R5" s="11"/>
      <c r="S5" s="11"/>
      <c r="T5" s="18"/>
      <c r="U5" s="17"/>
      <c r="V5" s="6"/>
      <c r="X5" s="17" t="s">
        <v>82</v>
      </c>
      <c r="Y5" s="17"/>
      <c r="Z5" s="17"/>
      <c r="AA5" s="14"/>
      <c r="AB5"/>
      <c r="AC5" s="10"/>
      <c r="AD5" s="10"/>
    </row>
    <row r="6" spans="1:34" ht="25.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158" t="s">
        <v>83</v>
      </c>
      <c r="Q6" s="158"/>
      <c r="R6" s="158"/>
      <c r="S6" s="158"/>
      <c r="T6" s="158"/>
      <c r="U6" s="158"/>
      <c r="V6" s="6"/>
      <c r="X6" s="159"/>
      <c r="Y6" s="159"/>
      <c r="Z6" s="159"/>
      <c r="AA6" s="159"/>
      <c r="AB6"/>
      <c r="AC6" s="6"/>
      <c r="AD6" s="6"/>
    </row>
    <row r="7" spans="1:34" ht="23.2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19"/>
      <c r="Q7" s="20" t="s">
        <v>84</v>
      </c>
      <c r="R7" s="21"/>
      <c r="S7" s="21"/>
      <c r="T7" s="22"/>
      <c r="V7" s="8"/>
      <c r="Y7" s="8"/>
      <c r="Z7" s="8"/>
      <c r="AA7" s="8"/>
      <c r="AC7" s="8"/>
      <c r="AD7" s="8"/>
      <c r="AE7" s="8"/>
      <c r="AF7" s="8"/>
      <c r="AG7" s="8"/>
      <c r="AH7" s="8"/>
    </row>
    <row r="8" spans="1:34" ht="31.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19"/>
      <c r="Q8" s="160" t="s">
        <v>85</v>
      </c>
      <c r="R8" s="160"/>
      <c r="S8" s="160"/>
      <c r="T8" s="160"/>
      <c r="U8" s="160"/>
      <c r="V8" s="160"/>
      <c r="W8" s="160"/>
      <c r="X8" s="160"/>
      <c r="Y8" s="160"/>
      <c r="Z8" s="160"/>
      <c r="AA8" s="6"/>
      <c r="AB8" s="161" t="s">
        <v>86</v>
      </c>
      <c r="AC8" s="161"/>
      <c r="AD8" s="161"/>
      <c r="AE8" s="161"/>
      <c r="AF8" s="161"/>
      <c r="AG8" s="161"/>
      <c r="AH8" s="161"/>
    </row>
    <row r="9" spans="1:34" customFormat="1" ht="11.25" customHeight="1"/>
    <row r="10" spans="1:34" s="52" customFormat="1" ht="27.75" customHeight="1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Q10" s="73" t="s">
        <v>87</v>
      </c>
      <c r="R10" s="73" t="s">
        <v>88</v>
      </c>
      <c r="S10" s="66"/>
      <c r="T10" s="49" t="s">
        <v>89</v>
      </c>
      <c r="U10" s="46" t="s">
        <v>90</v>
      </c>
      <c r="V10" s="50"/>
      <c r="W10" s="47" t="s">
        <v>91</v>
      </c>
      <c r="X10" s="61" t="s">
        <v>92</v>
      </c>
      <c r="Y10" s="61" t="s">
        <v>93</v>
      </c>
      <c r="Z10" s="48" t="s">
        <v>94</v>
      </c>
      <c r="AA10" s="53"/>
      <c r="AB10" s="49" t="s">
        <v>95</v>
      </c>
      <c r="AC10" s="46" t="s">
        <v>90</v>
      </c>
      <c r="AE10" s="47" t="s">
        <v>91</v>
      </c>
      <c r="AF10" s="61" t="s">
        <v>92</v>
      </c>
      <c r="AG10" s="61" t="s">
        <v>93</v>
      </c>
      <c r="AH10" s="48" t="s">
        <v>94</v>
      </c>
    </row>
    <row r="11" spans="1:34" s="55" customFormat="1" ht="27.75" customHeight="1" thickBot="1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Q11" s="64">
        <f>IF(U11="","",1.15)</f>
        <v>1.1499999999999999</v>
      </c>
      <c r="R11" s="64">
        <f>IF(U11="","",0.8)</f>
        <v>0.8</v>
      </c>
      <c r="S11" s="67"/>
      <c r="T11" s="62">
        <f>_xlfn.STDEV.P($U$14:$U$120)/$U$11</f>
        <v>0.17960340689139062</v>
      </c>
      <c r="U11" s="63">
        <f>AVERAGE($W$14:$W$120)</f>
        <v>25.800851219512204</v>
      </c>
      <c r="V11" s="56"/>
      <c r="W11" s="60">
        <f>$U$11-(3*_xlfn.STDEV.S($W$14:$W$120))</f>
        <v>11.726389558828888</v>
      </c>
      <c r="X11" s="59">
        <f>$U$11-(2*_xlfn.STDEV.S($W$14:$W$120))</f>
        <v>16.417876779056662</v>
      </c>
      <c r="Y11" s="59">
        <f>$U$11+(2*_xlfn.STDEV.S($W$14:$W$120))</f>
        <v>35.183825659967745</v>
      </c>
      <c r="Z11" s="58">
        <f>$U$11+(3*_xlfn.STDEV.S($W$14:$W$120))</f>
        <v>39.875312880195523</v>
      </c>
      <c r="AA11" s="57"/>
      <c r="AB11" s="62">
        <f>_xlfn.STDEV.P($AC$14:$AC$120)/$AC$11</f>
        <v>0.11488379964712603</v>
      </c>
      <c r="AC11" s="63">
        <f>AVERAGE($AC$14:$AC$120)</f>
        <v>1.391329268292683</v>
      </c>
      <c r="AE11" s="60">
        <f>$AC$11-(3*_xlfn.STDEV.S($AE$14:$AE$120))</f>
        <v>0.90639218900776886</v>
      </c>
      <c r="AF11" s="59">
        <f>$AC$11-(2*_xlfn.STDEV.S($AE$14:$AE$120))</f>
        <v>1.0680378821027403</v>
      </c>
      <c r="AG11" s="59">
        <f>$AC$11+(2*_xlfn.STDEV.S($AE$14:$AE$120))</f>
        <v>1.7146206544826257</v>
      </c>
      <c r="AH11" s="58">
        <f>$AC$11+(3*_xlfn.STDEV.S($AE$14:$AE$120))</f>
        <v>1.8762663475775971</v>
      </c>
    </row>
    <row r="12" spans="1:34" ht="11.2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19"/>
      <c r="Q12" s="20"/>
      <c r="R12" s="21"/>
      <c r="S12" s="21"/>
      <c r="T12" s="22"/>
      <c r="V12" s="8"/>
      <c r="Y12" s="8"/>
      <c r="Z12" s="8"/>
      <c r="AA12" s="6"/>
      <c r="AC12" s="8"/>
      <c r="AD12" s="8"/>
      <c r="AE12" s="8"/>
      <c r="AF12" s="8"/>
      <c r="AG12" s="8"/>
      <c r="AH12" s="8"/>
    </row>
    <row r="13" spans="1:34" ht="4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70" t="s">
        <v>96</v>
      </c>
      <c r="Q13" s="71" t="s">
        <v>97</v>
      </c>
      <c r="R13" s="71" t="s">
        <v>98</v>
      </c>
      <c r="S13" s="69"/>
      <c r="T13" s="72" t="s">
        <v>99</v>
      </c>
      <c r="U13" s="71" t="s">
        <v>100</v>
      </c>
      <c r="V13" s="69"/>
      <c r="W13" s="75" t="s">
        <v>101</v>
      </c>
      <c r="X13" s="75" t="s">
        <v>102</v>
      </c>
      <c r="Y13" s="76" t="s">
        <v>103</v>
      </c>
      <c r="Z13" s="77" t="s">
        <v>104</v>
      </c>
      <c r="AA13" s="6"/>
      <c r="AB13" s="26" t="s">
        <v>99</v>
      </c>
      <c r="AC13" s="27" t="s">
        <v>100</v>
      </c>
      <c r="AD13" s="28"/>
      <c r="AE13" s="23" t="s">
        <v>101</v>
      </c>
      <c r="AF13" s="23" t="s">
        <v>102</v>
      </c>
      <c r="AG13" s="24" t="s">
        <v>105</v>
      </c>
      <c r="AH13" s="25" t="s">
        <v>104</v>
      </c>
    </row>
    <row r="14" spans="1:34" ht="1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29">
        <v>1</v>
      </c>
      <c r="Q14" s="30" t="s">
        <v>106</v>
      </c>
      <c r="R14" s="31">
        <v>45677</v>
      </c>
      <c r="S14" s="68"/>
      <c r="T14" s="32">
        <v>25.94</v>
      </c>
      <c r="U14" s="38">
        <v>25.469000000000001</v>
      </c>
      <c r="V14" s="74"/>
      <c r="W14" s="34">
        <f>IF(X14&gt;3,"FALSE",U14)</f>
        <v>25.469000000000001</v>
      </c>
      <c r="X14" s="34">
        <f t="shared" ref="X14:X77" si="0">IF(U14="","FALSE",ABS((U14-AVERAGE($U$14:$U$120))/_xlfn.STDEV.S($U$14:$U$104)))</f>
        <v>7.0734759349102769E-2</v>
      </c>
      <c r="Y14" s="35" t="str">
        <f>IF(OR(U14&gt;$Y$11,U14&lt;$X$11),U14,"")</f>
        <v/>
      </c>
      <c r="Z14" s="36">
        <f>IF(U14="","",U14/T14)</f>
        <v>0.98184271395528144</v>
      </c>
      <c r="AA14" s="6"/>
      <c r="AB14" s="37">
        <v>1.603</v>
      </c>
      <c r="AC14" s="38">
        <v>1.39</v>
      </c>
      <c r="AD14" s="38"/>
      <c r="AE14" s="34">
        <f>IF(AF14&gt;3,"FALSE",AC14)</f>
        <v>1.39</v>
      </c>
      <c r="AF14" s="34">
        <f>IF(AC14="","FALSE",ABS((AC14-AVERAGE($AC$14:$AC$120))/_xlfn.STDEV.S($AC$14:$AC$104)))</f>
        <v>8.2141381125593448E-3</v>
      </c>
      <c r="AG14" s="35" t="str">
        <f t="shared" ref="AG14:AG77" si="1">IF(OR(AC14&gt;$AG$11,AC14&lt;$AF$11),AC14,"")</f>
        <v/>
      </c>
      <c r="AH14" s="36">
        <f t="shared" ref="AH14:AH77" si="2">IF(AC14="","",AC14/AB14)</f>
        <v>0.86712414223331247</v>
      </c>
    </row>
    <row r="15" spans="1:34" ht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29">
        <f t="shared" ref="P15:P78" si="3">IF(R15&lt;&gt;"",P14+1,"")</f>
        <v>2</v>
      </c>
      <c r="Q15" s="30" t="s">
        <v>106</v>
      </c>
      <c r="R15" s="31">
        <v>45677</v>
      </c>
      <c r="S15" s="68"/>
      <c r="T15" s="32">
        <v>25.94</v>
      </c>
      <c r="U15" s="38">
        <v>25.4</v>
      </c>
      <c r="V15" s="74"/>
      <c r="W15" s="34">
        <f t="shared" ref="W15:W78" si="4">IF(X15&gt;3,"FALSE",U15)</f>
        <v>25.4</v>
      </c>
      <c r="X15" s="34">
        <f t="shared" si="0"/>
        <v>8.544224905567234E-2</v>
      </c>
      <c r="Y15" s="35" t="str">
        <f t="shared" ref="Y15:Y78" si="5">IF(OR(U15&gt;$Y$11,U15&lt;$X$11),U15,"")</f>
        <v/>
      </c>
      <c r="Z15" s="36">
        <f t="shared" ref="Z15:Z78" si="6">IF(U15="","",U15/T15)</f>
        <v>0.97918272937548179</v>
      </c>
      <c r="AA15" s="6"/>
      <c r="AB15" s="37">
        <v>1.603</v>
      </c>
      <c r="AC15" s="38">
        <v>1.5469999999999999</v>
      </c>
      <c r="AD15" s="38"/>
      <c r="AE15" s="34">
        <f t="shared" ref="AE15:AE53" si="7">IF(AF15&gt;3,"FALSE",AC15)</f>
        <v>1.5469999999999999</v>
      </c>
      <c r="AF15" s="34">
        <f t="shared" ref="AF15:AF78" si="8">IF(AC15="","FALSE",ABS((AC15-AVERAGE($AC$14:$AC$120))/_xlfn.STDEV.S($AC$14:$AC$104)))</f>
        <v>0.96195846795235507</v>
      </c>
      <c r="AG15" s="35" t="str">
        <f t="shared" si="1"/>
        <v/>
      </c>
      <c r="AH15" s="36">
        <f t="shared" si="2"/>
        <v>0.96506550218340603</v>
      </c>
    </row>
    <row r="16" spans="1:34" ht="1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29">
        <f t="shared" si="3"/>
        <v>3</v>
      </c>
      <c r="Q16" s="30" t="s">
        <v>106</v>
      </c>
      <c r="R16" s="31">
        <v>45677</v>
      </c>
      <c r="S16" s="68"/>
      <c r="T16" s="32">
        <v>25.94</v>
      </c>
      <c r="U16" s="38">
        <v>28.106999999999999</v>
      </c>
      <c r="V16" s="74"/>
      <c r="W16" s="34">
        <f t="shared" si="4"/>
        <v>28.106999999999999</v>
      </c>
      <c r="X16" s="34">
        <f t="shared" si="0"/>
        <v>0.49156028189624529</v>
      </c>
      <c r="Y16" s="35" t="str">
        <f t="shared" si="5"/>
        <v/>
      </c>
      <c r="Z16" s="36">
        <f t="shared" si="6"/>
        <v>1.083538936006168</v>
      </c>
      <c r="AA16" s="6"/>
      <c r="AB16" s="37">
        <v>1.603</v>
      </c>
      <c r="AC16" s="38">
        <v>1.65</v>
      </c>
      <c r="AD16" s="38"/>
      <c r="AE16" s="34">
        <f t="shared" si="7"/>
        <v>1.65</v>
      </c>
      <c r="AF16" s="34">
        <f t="shared" si="8"/>
        <v>1.5984411330777446</v>
      </c>
      <c r="AG16" s="35" t="str">
        <f t="shared" si="1"/>
        <v/>
      </c>
      <c r="AH16" s="36">
        <f t="shared" si="2"/>
        <v>1.0293200249532126</v>
      </c>
    </row>
    <row r="17" spans="1:34" ht="1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29">
        <f t="shared" si="3"/>
        <v>4</v>
      </c>
      <c r="Q17" s="30" t="s">
        <v>106</v>
      </c>
      <c r="R17" s="31">
        <v>45677</v>
      </c>
      <c r="S17" s="68"/>
      <c r="T17" s="32">
        <v>25.94</v>
      </c>
      <c r="U17" s="38">
        <v>25.914999999999999</v>
      </c>
      <c r="V17" s="74"/>
      <c r="W17" s="34">
        <f t="shared" si="4"/>
        <v>25.914999999999999</v>
      </c>
      <c r="X17" s="34">
        <f t="shared" si="0"/>
        <v>2.4331043681763136E-2</v>
      </c>
      <c r="Y17" s="35" t="str">
        <f t="shared" si="5"/>
        <v/>
      </c>
      <c r="Z17" s="36">
        <f t="shared" si="6"/>
        <v>0.99903623747108705</v>
      </c>
      <c r="AA17" s="6"/>
      <c r="AB17" s="37">
        <v>1.603</v>
      </c>
      <c r="AC17" s="38">
        <v>1.4019999999999999</v>
      </c>
      <c r="AD17" s="38"/>
      <c r="AE17" s="34">
        <f t="shared" si="7"/>
        <v>1.4019999999999999</v>
      </c>
      <c r="AF17" s="34">
        <f t="shared" si="8"/>
        <v>6.5939182096223986E-2</v>
      </c>
      <c r="AG17" s="35" t="str">
        <f t="shared" si="1"/>
        <v/>
      </c>
      <c r="AH17" s="36">
        <f t="shared" si="2"/>
        <v>0.87461010605115408</v>
      </c>
    </row>
    <row r="18" spans="1:34" ht="1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29">
        <f t="shared" si="3"/>
        <v>5</v>
      </c>
      <c r="Q18" s="30" t="s">
        <v>106</v>
      </c>
      <c r="R18" s="31">
        <v>45677</v>
      </c>
      <c r="S18" s="68"/>
      <c r="T18" s="32">
        <v>25.94</v>
      </c>
      <c r="U18" s="38">
        <v>33.409999999999997</v>
      </c>
      <c r="V18" s="74"/>
      <c r="W18" s="34">
        <f t="shared" si="4"/>
        <v>33.409999999999997</v>
      </c>
      <c r="X18" s="34">
        <f t="shared" si="0"/>
        <v>1.6219054690547294</v>
      </c>
      <c r="Y18" s="35" t="str">
        <f t="shared" si="5"/>
        <v/>
      </c>
      <c r="Z18" s="36">
        <f t="shared" si="6"/>
        <v>1.2879722436391672</v>
      </c>
      <c r="AA18" s="6"/>
      <c r="AB18" s="37">
        <v>1.603</v>
      </c>
      <c r="AC18" s="38">
        <v>1.397</v>
      </c>
      <c r="AD18" s="38"/>
      <c r="AE18" s="34">
        <f t="shared" si="7"/>
        <v>1.397</v>
      </c>
      <c r="AF18" s="34">
        <f t="shared" si="8"/>
        <v>3.504196534256495E-2</v>
      </c>
      <c r="AG18" s="35" t="str">
        <f t="shared" si="1"/>
        <v/>
      </c>
      <c r="AH18" s="36">
        <f t="shared" si="2"/>
        <v>0.87149095446038682</v>
      </c>
    </row>
    <row r="19" spans="1:34" ht="1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29">
        <f t="shared" si="3"/>
        <v>6</v>
      </c>
      <c r="Q19" s="30" t="s">
        <v>106</v>
      </c>
      <c r="R19" s="31">
        <v>45678</v>
      </c>
      <c r="S19" s="68"/>
      <c r="T19" s="32">
        <v>25.94</v>
      </c>
      <c r="U19" s="38">
        <v>28.026</v>
      </c>
      <c r="V19" s="74"/>
      <c r="W19" s="34">
        <f t="shared" si="4"/>
        <v>28.026</v>
      </c>
      <c r="X19" s="34">
        <f t="shared" si="0"/>
        <v>0.47429496789288178</v>
      </c>
      <c r="Y19" s="35" t="str">
        <f t="shared" si="5"/>
        <v/>
      </c>
      <c r="Z19" s="36">
        <f t="shared" si="6"/>
        <v>1.0804163454124902</v>
      </c>
      <c r="AA19" s="6"/>
      <c r="AB19" s="37">
        <v>1.603</v>
      </c>
      <c r="AC19" s="38">
        <v>1.4059999999999999</v>
      </c>
      <c r="AD19" s="38"/>
      <c r="AE19" s="34">
        <f t="shared" si="7"/>
        <v>1.4059999999999999</v>
      </c>
      <c r="AF19" s="34">
        <f t="shared" si="8"/>
        <v>9.0656955499151759E-2</v>
      </c>
      <c r="AG19" s="35" t="str">
        <f t="shared" si="1"/>
        <v/>
      </c>
      <c r="AH19" s="36">
        <f t="shared" si="2"/>
        <v>0.87710542732376784</v>
      </c>
    </row>
    <row r="20" spans="1:34" ht="1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29">
        <f t="shared" si="3"/>
        <v>7</v>
      </c>
      <c r="Q20" s="30" t="s">
        <v>106</v>
      </c>
      <c r="R20" s="31">
        <v>45678</v>
      </c>
      <c r="S20" s="68"/>
      <c r="T20" s="32">
        <v>25.94</v>
      </c>
      <c r="U20" s="38">
        <v>33.131</v>
      </c>
      <c r="V20" s="74"/>
      <c r="W20" s="34">
        <f t="shared" si="4"/>
        <v>33.131</v>
      </c>
      <c r="X20" s="34">
        <f t="shared" si="0"/>
        <v>1.5624360541542557</v>
      </c>
      <c r="Y20" s="35" t="str">
        <f t="shared" si="5"/>
        <v/>
      </c>
      <c r="Z20" s="36">
        <f t="shared" si="6"/>
        <v>1.2772166538164995</v>
      </c>
      <c r="AA20" s="6"/>
      <c r="AB20" s="37">
        <v>1.603</v>
      </c>
      <c r="AC20" s="38">
        <v>1.2629999999999999</v>
      </c>
      <c r="AD20" s="38"/>
      <c r="AE20" s="34">
        <f t="shared" si="7"/>
        <v>1.2629999999999999</v>
      </c>
      <c r="AF20" s="34">
        <f t="shared" si="8"/>
        <v>0.79300344365551545</v>
      </c>
      <c r="AG20" s="35" t="str">
        <f t="shared" si="1"/>
        <v/>
      </c>
      <c r="AH20" s="36">
        <f t="shared" si="2"/>
        <v>0.78789769182782277</v>
      </c>
    </row>
    <row r="21" spans="1:34" ht="1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29">
        <f t="shared" si="3"/>
        <v>8</v>
      </c>
      <c r="Q21" s="30" t="s">
        <v>106</v>
      </c>
      <c r="R21" s="31">
        <v>45678</v>
      </c>
      <c r="S21" s="68"/>
      <c r="T21" s="32">
        <v>25.94</v>
      </c>
      <c r="U21" s="38">
        <v>30.039000000000001</v>
      </c>
      <c r="V21" s="74"/>
      <c r="W21" s="34">
        <f t="shared" si="4"/>
        <v>30.039000000000001</v>
      </c>
      <c r="X21" s="34">
        <f t="shared" si="0"/>
        <v>0.90336999368017801</v>
      </c>
      <c r="Y21" s="35" t="str">
        <f t="shared" si="5"/>
        <v/>
      </c>
      <c r="Z21" s="36">
        <f t="shared" si="6"/>
        <v>1.1580185042405551</v>
      </c>
      <c r="AA21" s="6"/>
      <c r="AB21" s="37">
        <v>1.603</v>
      </c>
      <c r="AC21" s="38">
        <v>1.246</v>
      </c>
      <c r="AD21" s="38"/>
      <c r="AE21" s="34">
        <f t="shared" si="7"/>
        <v>1.246</v>
      </c>
      <c r="AF21" s="34">
        <f t="shared" si="8"/>
        <v>0.89805398061795783</v>
      </c>
      <c r="AG21" s="35" t="str">
        <f t="shared" si="1"/>
        <v/>
      </c>
      <c r="AH21" s="36">
        <f t="shared" si="2"/>
        <v>0.77729257641921401</v>
      </c>
    </row>
    <row r="22" spans="1:34" ht="1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29">
        <f t="shared" si="3"/>
        <v>9</v>
      </c>
      <c r="Q22" s="30" t="s">
        <v>106</v>
      </c>
      <c r="R22" s="31">
        <v>45678</v>
      </c>
      <c r="S22" s="68"/>
      <c r="T22" s="32">
        <v>25.94</v>
      </c>
      <c r="U22" s="38">
        <v>30.774000000000001</v>
      </c>
      <c r="V22" s="74"/>
      <c r="W22" s="34">
        <f t="shared" si="4"/>
        <v>30.774000000000001</v>
      </c>
      <c r="X22" s="34">
        <f t="shared" si="0"/>
        <v>1.0600367318588477</v>
      </c>
      <c r="Y22" s="35" t="str">
        <f t="shared" si="5"/>
        <v/>
      </c>
      <c r="Z22" s="36">
        <f t="shared" si="6"/>
        <v>1.1863531225905937</v>
      </c>
      <c r="AA22" s="6"/>
      <c r="AB22" s="37">
        <v>1.603</v>
      </c>
      <c r="AC22" s="38">
        <v>1.393</v>
      </c>
      <c r="AD22" s="38"/>
      <c r="AE22" s="34">
        <f t="shared" si="7"/>
        <v>1.393</v>
      </c>
      <c r="AF22" s="34">
        <f t="shared" si="8"/>
        <v>1.0324191939637172E-2</v>
      </c>
      <c r="AG22" s="35" t="str">
        <f t="shared" si="1"/>
        <v/>
      </c>
      <c r="AH22" s="36">
        <f t="shared" si="2"/>
        <v>0.86899563318777295</v>
      </c>
    </row>
    <row r="23" spans="1:34" ht="1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29">
        <f t="shared" si="3"/>
        <v>10</v>
      </c>
      <c r="Q23" s="30" t="s">
        <v>106</v>
      </c>
      <c r="R23" s="31">
        <v>45678</v>
      </c>
      <c r="S23" s="68"/>
      <c r="T23" s="32">
        <v>25.94</v>
      </c>
      <c r="U23" s="38">
        <v>32.21</v>
      </c>
      <c r="V23" s="74"/>
      <c r="W23" s="34">
        <f t="shared" si="4"/>
        <v>32.21</v>
      </c>
      <c r="X23" s="34">
        <f t="shared" si="0"/>
        <v>1.3661230393752695</v>
      </c>
      <c r="Y23" s="35" t="str">
        <f t="shared" si="5"/>
        <v/>
      </c>
      <c r="Z23" s="36">
        <f t="shared" si="6"/>
        <v>1.2417116422513492</v>
      </c>
      <c r="AA23" s="6"/>
      <c r="AB23" s="37">
        <v>1.603</v>
      </c>
      <c r="AC23" s="38">
        <v>1.2669999999999999</v>
      </c>
      <c r="AD23" s="38"/>
      <c r="AE23" s="34">
        <f t="shared" si="7"/>
        <v>1.2669999999999999</v>
      </c>
      <c r="AF23" s="34">
        <f t="shared" si="8"/>
        <v>0.76828567025258776</v>
      </c>
      <c r="AG23" s="35" t="str">
        <f t="shared" si="1"/>
        <v/>
      </c>
      <c r="AH23" s="36">
        <f t="shared" si="2"/>
        <v>0.79039301310043664</v>
      </c>
    </row>
    <row r="24" spans="1:34" ht="1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29">
        <f t="shared" si="3"/>
        <v>11</v>
      </c>
      <c r="Q24" s="30" t="s">
        <v>106</v>
      </c>
      <c r="R24" s="31">
        <v>45679</v>
      </c>
      <c r="S24" s="68"/>
      <c r="T24" s="32">
        <v>25.94</v>
      </c>
      <c r="U24" s="38">
        <v>21.826000000000001</v>
      </c>
      <c r="V24" s="74"/>
      <c r="W24" s="34">
        <f t="shared" si="4"/>
        <v>21.826000000000001</v>
      </c>
      <c r="X24" s="34">
        <f t="shared" si="0"/>
        <v>0.84724758545099998</v>
      </c>
      <c r="Y24" s="35" t="str">
        <f t="shared" si="5"/>
        <v/>
      </c>
      <c r="Z24" s="36">
        <f t="shared" si="6"/>
        <v>0.84140323824209717</v>
      </c>
      <c r="AA24" s="6"/>
      <c r="AB24" s="37">
        <v>1.603</v>
      </c>
      <c r="AC24" s="38">
        <v>1.5209999999999999</v>
      </c>
      <c r="AD24" s="38"/>
      <c r="AE24" s="34">
        <f t="shared" si="7"/>
        <v>1.5209999999999999</v>
      </c>
      <c r="AF24" s="34">
        <f t="shared" si="8"/>
        <v>0.80129294083332459</v>
      </c>
      <c r="AG24" s="35" t="str">
        <f t="shared" si="1"/>
        <v/>
      </c>
      <c r="AH24" s="36">
        <f t="shared" si="2"/>
        <v>0.94884591391141604</v>
      </c>
    </row>
    <row r="25" spans="1:34" ht="1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29">
        <f t="shared" si="3"/>
        <v>12</v>
      </c>
      <c r="Q25" s="30" t="s">
        <v>106</v>
      </c>
      <c r="R25" s="31">
        <v>45679</v>
      </c>
      <c r="S25" s="68"/>
      <c r="T25" s="32">
        <v>25.94</v>
      </c>
      <c r="U25" s="38">
        <v>22.155999999999999</v>
      </c>
      <c r="V25" s="74"/>
      <c r="W25" s="34">
        <f t="shared" si="4"/>
        <v>22.155999999999999</v>
      </c>
      <c r="X25" s="34">
        <f t="shared" si="0"/>
        <v>0.77690741728914858</v>
      </c>
      <c r="Y25" s="35" t="str">
        <f t="shared" si="5"/>
        <v/>
      </c>
      <c r="Z25" s="36">
        <f t="shared" si="6"/>
        <v>0.85412490362374704</v>
      </c>
      <c r="AA25" s="6"/>
      <c r="AB25" s="37">
        <v>1.603</v>
      </c>
      <c r="AC25" s="38">
        <v>1.139</v>
      </c>
      <c r="AD25" s="38"/>
      <c r="AE25" s="34">
        <f t="shared" si="7"/>
        <v>1.139</v>
      </c>
      <c r="AF25" s="34">
        <f t="shared" si="8"/>
        <v>1.5592544191462752</v>
      </c>
      <c r="AG25" s="35" t="str">
        <f t="shared" si="1"/>
        <v/>
      </c>
      <c r="AH25" s="36">
        <f t="shared" si="2"/>
        <v>0.71054273237679355</v>
      </c>
    </row>
    <row r="26" spans="1:34" ht="1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29">
        <f t="shared" si="3"/>
        <v>13</v>
      </c>
      <c r="Q26" s="30" t="s">
        <v>106</v>
      </c>
      <c r="R26" s="31">
        <v>45679</v>
      </c>
      <c r="S26" s="68"/>
      <c r="T26" s="32">
        <v>25.94</v>
      </c>
      <c r="U26" s="38">
        <v>21.318000000000001</v>
      </c>
      <c r="V26" s="74"/>
      <c r="W26" s="34">
        <f t="shared" si="4"/>
        <v>21.318000000000001</v>
      </c>
      <c r="X26" s="34">
        <f t="shared" si="0"/>
        <v>0.95552881401530498</v>
      </c>
      <c r="Y26" s="35" t="str">
        <f t="shared" si="5"/>
        <v/>
      </c>
      <c r="Z26" s="36">
        <f t="shared" si="6"/>
        <v>0.82181958365458752</v>
      </c>
      <c r="AA26" s="6"/>
      <c r="AB26" s="37">
        <v>1.603</v>
      </c>
      <c r="AC26" s="38">
        <v>1.2350000000000001</v>
      </c>
      <c r="AD26" s="38"/>
      <c r="AE26" s="34">
        <f t="shared" si="7"/>
        <v>1.2350000000000001</v>
      </c>
      <c r="AF26" s="34">
        <f t="shared" si="8"/>
        <v>0.9660278574760085</v>
      </c>
      <c r="AG26" s="35" t="str">
        <f t="shared" si="1"/>
        <v/>
      </c>
      <c r="AH26" s="36">
        <f t="shared" si="2"/>
        <v>0.770430442919526</v>
      </c>
    </row>
    <row r="27" spans="1:34" ht="1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29">
        <f t="shared" si="3"/>
        <v>14</v>
      </c>
      <c r="Q27" s="30" t="s">
        <v>106</v>
      </c>
      <c r="R27" s="31">
        <v>45679</v>
      </c>
      <c r="S27" s="68"/>
      <c r="T27" s="32">
        <v>25.94</v>
      </c>
      <c r="U27" s="38">
        <v>19.257000000000001</v>
      </c>
      <c r="V27" s="74"/>
      <c r="W27" s="34">
        <f t="shared" si="4"/>
        <v>19.257000000000001</v>
      </c>
      <c r="X27" s="34">
        <f t="shared" si="0"/>
        <v>1.3948351369897791</v>
      </c>
      <c r="Y27" s="35" t="str">
        <f t="shared" si="5"/>
        <v/>
      </c>
      <c r="Z27" s="36">
        <f t="shared" si="6"/>
        <v>0.74236700077101003</v>
      </c>
      <c r="AA27" s="6"/>
      <c r="AB27" s="37">
        <v>1.603</v>
      </c>
      <c r="AC27" s="38">
        <v>1.5469999999999999</v>
      </c>
      <c r="AD27" s="38"/>
      <c r="AE27" s="34">
        <f t="shared" si="7"/>
        <v>1.5469999999999999</v>
      </c>
      <c r="AF27" s="34">
        <f t="shared" si="8"/>
        <v>0.96195846795235507</v>
      </c>
      <c r="AG27" s="35" t="str">
        <f t="shared" si="1"/>
        <v/>
      </c>
      <c r="AH27" s="36">
        <f t="shared" si="2"/>
        <v>0.96506550218340603</v>
      </c>
    </row>
    <row r="28" spans="1:34" ht="1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29">
        <f t="shared" si="3"/>
        <v>15</v>
      </c>
      <c r="Q28" s="30" t="s">
        <v>106</v>
      </c>
      <c r="R28" s="31">
        <v>45679</v>
      </c>
      <c r="S28" s="68"/>
      <c r="T28" s="32">
        <v>25.94</v>
      </c>
      <c r="U28" s="38">
        <v>22.472999999999999</v>
      </c>
      <c r="V28" s="74"/>
      <c r="W28" s="34">
        <f t="shared" si="4"/>
        <v>22.472999999999999</v>
      </c>
      <c r="X28" s="34">
        <f t="shared" si="0"/>
        <v>0.70933822544882419</v>
      </c>
      <c r="Y28" s="35" t="str">
        <f t="shared" si="5"/>
        <v/>
      </c>
      <c r="Z28" s="36">
        <f t="shared" si="6"/>
        <v>0.86634541249036234</v>
      </c>
      <c r="AA28" s="6"/>
      <c r="AB28" s="37">
        <v>1.603</v>
      </c>
      <c r="AC28" s="38">
        <v>1.3440000000000001</v>
      </c>
      <c r="AD28" s="38"/>
      <c r="AE28" s="34">
        <f t="shared" si="7"/>
        <v>1.3440000000000001</v>
      </c>
      <c r="AF28" s="34">
        <f t="shared" si="8"/>
        <v>0.29246853224622738</v>
      </c>
      <c r="AG28" s="35" t="str">
        <f t="shared" si="1"/>
        <v/>
      </c>
      <c r="AH28" s="36">
        <f t="shared" si="2"/>
        <v>0.83842794759825334</v>
      </c>
    </row>
    <row r="29" spans="1:34" ht="1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 t="s">
        <v>107</v>
      </c>
      <c r="O29" s="8"/>
      <c r="P29" s="29">
        <f t="shared" si="3"/>
        <v>16</v>
      </c>
      <c r="Q29" s="30" t="s">
        <v>106</v>
      </c>
      <c r="R29" s="31">
        <v>45681</v>
      </c>
      <c r="S29" s="68"/>
      <c r="T29" s="32">
        <v>25.94</v>
      </c>
      <c r="U29" s="38">
        <v>23.065999999999999</v>
      </c>
      <c r="V29" s="74"/>
      <c r="W29" s="34">
        <f t="shared" si="4"/>
        <v>23.065999999999999</v>
      </c>
      <c r="X29" s="34">
        <f t="shared" si="0"/>
        <v>0.58293907478222395</v>
      </c>
      <c r="Y29" s="35" t="str">
        <f t="shared" si="5"/>
        <v/>
      </c>
      <c r="Z29" s="36">
        <f t="shared" si="6"/>
        <v>0.88920585967617571</v>
      </c>
      <c r="AA29" s="6"/>
      <c r="AB29" s="37">
        <v>1.603</v>
      </c>
      <c r="AC29" s="38">
        <v>1.244</v>
      </c>
      <c r="AD29" s="38"/>
      <c r="AE29" s="34">
        <f t="shared" si="7"/>
        <v>1.244</v>
      </c>
      <c r="AF29" s="34">
        <f t="shared" si="8"/>
        <v>0.91041286731942173</v>
      </c>
      <c r="AG29" s="35" t="str">
        <f t="shared" si="1"/>
        <v/>
      </c>
      <c r="AH29" s="36">
        <f t="shared" si="2"/>
        <v>0.77604491578290702</v>
      </c>
    </row>
    <row r="30" spans="1:34" ht="1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29">
        <f t="shared" si="3"/>
        <v>17</v>
      </c>
      <c r="Q30" s="30" t="s">
        <v>106</v>
      </c>
      <c r="R30" s="31">
        <v>45681</v>
      </c>
      <c r="S30" s="68"/>
      <c r="T30" s="32">
        <v>25.94</v>
      </c>
      <c r="U30" s="38">
        <v>22.584</v>
      </c>
      <c r="V30" s="74"/>
      <c r="W30" s="34">
        <f t="shared" si="4"/>
        <v>22.584</v>
      </c>
      <c r="X30" s="34">
        <f t="shared" si="0"/>
        <v>0.68567835070347394</v>
      </c>
      <c r="Y30" s="35" t="str">
        <f t="shared" si="5"/>
        <v/>
      </c>
      <c r="Z30" s="36">
        <f t="shared" si="6"/>
        <v>0.87062451811873554</v>
      </c>
      <c r="AA30" s="6"/>
      <c r="AB30" s="37">
        <v>1.603</v>
      </c>
      <c r="AC30" s="38">
        <v>1.123</v>
      </c>
      <c r="AD30" s="38"/>
      <c r="AE30" s="34">
        <f t="shared" si="7"/>
        <v>1.123</v>
      </c>
      <c r="AF30" s="34">
        <f t="shared" si="8"/>
        <v>1.6581255127579861</v>
      </c>
      <c r="AG30" s="35" t="str">
        <f t="shared" si="1"/>
        <v/>
      </c>
      <c r="AH30" s="36">
        <f t="shared" si="2"/>
        <v>0.70056144728633807</v>
      </c>
    </row>
    <row r="31" spans="1:34" ht="1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29">
        <f t="shared" si="3"/>
        <v>18</v>
      </c>
      <c r="Q31" s="30" t="s">
        <v>106</v>
      </c>
      <c r="R31" s="31">
        <v>45681</v>
      </c>
      <c r="S31" s="68"/>
      <c r="T31" s="32">
        <v>25.94</v>
      </c>
      <c r="U31" s="38">
        <v>21.106000000000002</v>
      </c>
      <c r="V31" s="74"/>
      <c r="W31" s="34">
        <f t="shared" si="4"/>
        <v>21.106000000000002</v>
      </c>
      <c r="X31" s="34">
        <f t="shared" si="0"/>
        <v>1.0007170432586763</v>
      </c>
      <c r="Y31" s="35" t="str">
        <f t="shared" si="5"/>
        <v/>
      </c>
      <c r="Z31" s="36">
        <f t="shared" si="6"/>
        <v>0.81364687740940633</v>
      </c>
      <c r="AA31" s="6"/>
      <c r="AB31" s="37">
        <v>1.603</v>
      </c>
      <c r="AC31" s="38">
        <v>1.038</v>
      </c>
      <c r="AD31" s="38"/>
      <c r="AE31" s="34">
        <f t="shared" si="7"/>
        <v>1.038</v>
      </c>
      <c r="AF31" s="34">
        <f t="shared" si="8"/>
        <v>2.1833781975702009</v>
      </c>
      <c r="AG31" s="35">
        <f t="shared" si="1"/>
        <v>1.038</v>
      </c>
      <c r="AH31" s="36">
        <f t="shared" si="2"/>
        <v>0.64753587024329384</v>
      </c>
    </row>
    <row r="32" spans="1:34" ht="1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29">
        <f t="shared" si="3"/>
        <v>19</v>
      </c>
      <c r="Q32" s="30" t="s">
        <v>106</v>
      </c>
      <c r="R32" s="31">
        <v>45681</v>
      </c>
      <c r="S32" s="68"/>
      <c r="T32" s="32">
        <v>25.94</v>
      </c>
      <c r="U32" s="38">
        <v>19.57</v>
      </c>
      <c r="V32" s="74"/>
      <c r="W32" s="34">
        <f t="shared" si="4"/>
        <v>19.57</v>
      </c>
      <c r="X32" s="34">
        <f t="shared" si="0"/>
        <v>1.3281185532483868</v>
      </c>
      <c r="Y32" s="35" t="str">
        <f t="shared" si="5"/>
        <v/>
      </c>
      <c r="Z32" s="36">
        <f t="shared" si="6"/>
        <v>0.75443330763299921</v>
      </c>
      <c r="AA32" s="6"/>
      <c r="AB32" s="37">
        <v>1.603</v>
      </c>
      <c r="AC32" s="38">
        <v>1.2330000000000001</v>
      </c>
      <c r="AD32" s="38"/>
      <c r="AE32" s="34">
        <f t="shared" si="7"/>
        <v>1.2330000000000001</v>
      </c>
      <c r="AF32" s="34">
        <f t="shared" si="8"/>
        <v>0.9783867441774724</v>
      </c>
      <c r="AG32" s="35" t="str">
        <f t="shared" si="1"/>
        <v/>
      </c>
      <c r="AH32" s="36">
        <f t="shared" si="2"/>
        <v>0.76918278228321901</v>
      </c>
    </row>
    <row r="33" spans="1:34" ht="1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29">
        <f t="shared" si="3"/>
        <v>20</v>
      </c>
      <c r="Q33" s="30" t="s">
        <v>106</v>
      </c>
      <c r="R33" s="31">
        <v>45681</v>
      </c>
      <c r="S33" s="68"/>
      <c r="T33" s="32">
        <v>25.94</v>
      </c>
      <c r="U33" s="38">
        <v>22.466000000000001</v>
      </c>
      <c r="V33" s="74"/>
      <c r="W33" s="34">
        <f t="shared" si="4"/>
        <v>22.466000000000001</v>
      </c>
      <c r="X33" s="34">
        <f t="shared" si="0"/>
        <v>0.71083028962195394</v>
      </c>
      <c r="Y33" s="35" t="str">
        <f t="shared" si="5"/>
        <v/>
      </c>
      <c r="Z33" s="36">
        <f t="shared" si="6"/>
        <v>0.86607555898226674</v>
      </c>
      <c r="AA33" s="6"/>
      <c r="AB33" s="37">
        <v>1.603</v>
      </c>
      <c r="AC33" s="38">
        <v>1.363</v>
      </c>
      <c r="AD33" s="38"/>
      <c r="AE33" s="34">
        <f t="shared" si="7"/>
        <v>1.363</v>
      </c>
      <c r="AF33" s="34">
        <f t="shared" si="8"/>
        <v>0.17505910858232113</v>
      </c>
      <c r="AG33" s="35" t="str">
        <f t="shared" si="1"/>
        <v/>
      </c>
      <c r="AH33" s="36">
        <f t="shared" si="2"/>
        <v>0.85028072364316909</v>
      </c>
    </row>
    <row r="34" spans="1:34" ht="1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29">
        <f t="shared" si="3"/>
        <v>21</v>
      </c>
      <c r="Q34" s="30" t="s">
        <v>108</v>
      </c>
      <c r="R34" s="31">
        <v>45743</v>
      </c>
      <c r="S34" s="68"/>
      <c r="T34" s="39">
        <v>28.97</v>
      </c>
      <c r="U34" s="38">
        <v>28.866</v>
      </c>
      <c r="V34" s="74"/>
      <c r="W34" s="34">
        <f t="shared" si="4"/>
        <v>28.866</v>
      </c>
      <c r="X34" s="34">
        <f t="shared" si="0"/>
        <v>0.65334266866850443</v>
      </c>
      <c r="Y34" s="35" t="str">
        <f t="shared" si="5"/>
        <v/>
      </c>
      <c r="Z34" s="36">
        <f t="shared" si="6"/>
        <v>0.99641007939247506</v>
      </c>
      <c r="AA34" s="6"/>
      <c r="AB34" s="37">
        <v>1.42</v>
      </c>
      <c r="AC34" s="38">
        <v>1.429</v>
      </c>
      <c r="AD34" s="38"/>
      <c r="AE34" s="34">
        <f t="shared" si="7"/>
        <v>1.429</v>
      </c>
      <c r="AF34" s="34">
        <f t="shared" si="8"/>
        <v>0.23278415256598714</v>
      </c>
      <c r="AG34" s="35" t="str">
        <f t="shared" si="1"/>
        <v/>
      </c>
      <c r="AH34" s="36">
        <f t="shared" si="2"/>
        <v>1.0063380281690142</v>
      </c>
    </row>
    <row r="35" spans="1:34" ht="1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29">
        <f t="shared" si="3"/>
        <v>22</v>
      </c>
      <c r="Q35" s="30" t="s">
        <v>108</v>
      </c>
      <c r="R35" s="31">
        <v>45743</v>
      </c>
      <c r="S35" s="68"/>
      <c r="T35" s="39">
        <v>28.97</v>
      </c>
      <c r="U35" s="38">
        <v>24.067</v>
      </c>
      <c r="V35" s="74"/>
      <c r="W35" s="34">
        <f t="shared" si="4"/>
        <v>24.067</v>
      </c>
      <c r="X35" s="34">
        <f t="shared" si="0"/>
        <v>0.36957389802460661</v>
      </c>
      <c r="Y35" s="35" t="str">
        <f t="shared" si="5"/>
        <v/>
      </c>
      <c r="Z35" s="36">
        <f t="shared" si="6"/>
        <v>0.83075595443562311</v>
      </c>
      <c r="AA35" s="6"/>
      <c r="AB35" s="37">
        <v>1.42</v>
      </c>
      <c r="AC35" s="38">
        <v>1.4159999999999999</v>
      </c>
      <c r="AD35" s="38"/>
      <c r="AE35" s="34">
        <f t="shared" si="7"/>
        <v>1.4159999999999999</v>
      </c>
      <c r="AF35" s="34">
        <f t="shared" si="8"/>
        <v>0.15245138900647118</v>
      </c>
      <c r="AG35" s="35" t="str">
        <f t="shared" si="1"/>
        <v/>
      </c>
      <c r="AH35" s="36">
        <f t="shared" si="2"/>
        <v>0.9971830985915493</v>
      </c>
    </row>
    <row r="36" spans="1:34" ht="1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29">
        <f t="shared" si="3"/>
        <v>23</v>
      </c>
      <c r="Q36" s="30" t="s">
        <v>108</v>
      </c>
      <c r="R36" s="31">
        <v>45772</v>
      </c>
      <c r="S36" s="68"/>
      <c r="T36" s="39">
        <v>28.97</v>
      </c>
      <c r="U36" s="38">
        <v>21.071000000000002</v>
      </c>
      <c r="V36" s="74"/>
      <c r="W36" s="34">
        <f t="shared" si="4"/>
        <v>21.071000000000002</v>
      </c>
      <c r="X36" s="34">
        <f t="shared" si="0"/>
        <v>1.0081773641243272</v>
      </c>
      <c r="Y36" s="35" t="str">
        <f t="shared" si="5"/>
        <v/>
      </c>
      <c r="Z36" s="36">
        <f t="shared" si="6"/>
        <v>0.72733862616499834</v>
      </c>
      <c r="AA36" s="6"/>
      <c r="AB36" s="37">
        <v>1.42</v>
      </c>
      <c r="AC36" s="38">
        <v>1.456</v>
      </c>
      <c r="AD36" s="38"/>
      <c r="AE36" s="34">
        <f t="shared" si="7"/>
        <v>1.456</v>
      </c>
      <c r="AF36" s="34">
        <f t="shared" si="8"/>
        <v>0.39962912303574893</v>
      </c>
      <c r="AG36" s="35" t="str">
        <f t="shared" si="1"/>
        <v/>
      </c>
      <c r="AH36" s="36">
        <f t="shared" si="2"/>
        <v>1.0253521126760563</v>
      </c>
    </row>
    <row r="37" spans="1:34" ht="1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29">
        <f t="shared" si="3"/>
        <v>24</v>
      </c>
      <c r="Q37" s="30" t="s">
        <v>108</v>
      </c>
      <c r="R37" s="31">
        <v>45772</v>
      </c>
      <c r="S37" s="68"/>
      <c r="T37" s="39">
        <v>28.97</v>
      </c>
      <c r="U37" s="38">
        <v>27.007000000000001</v>
      </c>
      <c r="V37" s="74"/>
      <c r="W37" s="34">
        <f t="shared" si="4"/>
        <v>27.007000000000001</v>
      </c>
      <c r="X37" s="34">
        <f t="shared" si="0"/>
        <v>0.25709305469007315</v>
      </c>
      <c r="Y37" s="35" t="str">
        <f t="shared" si="5"/>
        <v/>
      </c>
      <c r="Z37" s="36">
        <f t="shared" si="6"/>
        <v>0.93224024853296528</v>
      </c>
      <c r="AA37" s="6"/>
      <c r="AB37" s="37">
        <v>1.42</v>
      </c>
      <c r="AC37" s="38">
        <v>1.4630000000000001</v>
      </c>
      <c r="AD37" s="38"/>
      <c r="AE37" s="34">
        <f t="shared" si="7"/>
        <v>1.4630000000000001</v>
      </c>
      <c r="AF37" s="34">
        <f t="shared" si="8"/>
        <v>0.44288522649087325</v>
      </c>
      <c r="AG37" s="35" t="str">
        <f t="shared" si="1"/>
        <v/>
      </c>
      <c r="AH37" s="36">
        <f t="shared" si="2"/>
        <v>1.0302816901408451</v>
      </c>
    </row>
    <row r="38" spans="1:34" ht="1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29">
        <f t="shared" si="3"/>
        <v>25</v>
      </c>
      <c r="Q38" s="30" t="s">
        <v>108</v>
      </c>
      <c r="R38" s="31">
        <v>45785</v>
      </c>
      <c r="S38" s="68"/>
      <c r="T38" s="39">
        <v>28.97</v>
      </c>
      <c r="U38" s="38">
        <v>26.489000000000001</v>
      </c>
      <c r="V38" s="74"/>
      <c r="W38" s="34">
        <f t="shared" si="4"/>
        <v>26.489000000000001</v>
      </c>
      <c r="X38" s="34">
        <f t="shared" si="0"/>
        <v>0.146680305878439</v>
      </c>
      <c r="Y38" s="35" t="str">
        <f t="shared" si="5"/>
        <v/>
      </c>
      <c r="Z38" s="36">
        <f t="shared" si="6"/>
        <v>0.91435968243010013</v>
      </c>
      <c r="AA38" s="6"/>
      <c r="AB38" s="37">
        <v>1.42</v>
      </c>
      <c r="AC38" s="38">
        <v>1.8012999999999999</v>
      </c>
      <c r="AD38" s="38"/>
      <c r="AE38" s="34">
        <f t="shared" si="7"/>
        <v>1.8012999999999999</v>
      </c>
      <c r="AF38" s="34">
        <f t="shared" si="8"/>
        <v>2.5333909120434868</v>
      </c>
      <c r="AG38" s="35">
        <f t="shared" si="1"/>
        <v>1.8012999999999999</v>
      </c>
      <c r="AH38" s="36">
        <f t="shared" si="2"/>
        <v>1.2685211267605634</v>
      </c>
    </row>
    <row r="39" spans="1:34" ht="1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29">
        <f t="shared" si="3"/>
        <v>26</v>
      </c>
      <c r="Q39" s="30" t="s">
        <v>108</v>
      </c>
      <c r="R39" s="31">
        <v>45785</v>
      </c>
      <c r="S39" s="68"/>
      <c r="T39" s="39">
        <v>28.97</v>
      </c>
      <c r="U39" s="38">
        <v>37.618899999999996</v>
      </c>
      <c r="V39" s="74"/>
      <c r="W39" s="34">
        <f t="shared" si="4"/>
        <v>37.618899999999996</v>
      </c>
      <c r="X39" s="34">
        <f t="shared" si="0"/>
        <v>2.5190410259529656</v>
      </c>
      <c r="Y39" s="35">
        <f t="shared" si="5"/>
        <v>37.618899999999996</v>
      </c>
      <c r="Z39" s="36">
        <f t="shared" si="6"/>
        <v>1.2985467725233</v>
      </c>
      <c r="AA39" s="6"/>
      <c r="AB39" s="37">
        <v>1.42</v>
      </c>
      <c r="AC39" s="38">
        <v>1.5182</v>
      </c>
      <c r="AD39" s="38"/>
      <c r="AE39" s="34">
        <f t="shared" si="7"/>
        <v>1.5182</v>
      </c>
      <c r="AF39" s="34">
        <f t="shared" si="8"/>
        <v>0.78399049945127575</v>
      </c>
      <c r="AG39" s="35" t="str">
        <f t="shared" si="1"/>
        <v/>
      </c>
      <c r="AH39" s="36">
        <f t="shared" si="2"/>
        <v>1.0691549295774649</v>
      </c>
    </row>
    <row r="40" spans="1:34" ht="1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29">
        <f t="shared" si="3"/>
        <v>27</v>
      </c>
      <c r="Q40" s="30" t="s">
        <v>109</v>
      </c>
      <c r="R40" s="31">
        <v>45793</v>
      </c>
      <c r="S40" s="68"/>
      <c r="T40" s="39">
        <v>28.97</v>
      </c>
      <c r="U40" s="38">
        <v>20.434999999999999</v>
      </c>
      <c r="V40" s="74"/>
      <c r="W40" s="34">
        <f t="shared" si="4"/>
        <v>20.434999999999999</v>
      </c>
      <c r="X40" s="34">
        <f t="shared" si="0"/>
        <v>1.1437420518544423</v>
      </c>
      <c r="Y40" s="35" t="str">
        <f t="shared" si="5"/>
        <v/>
      </c>
      <c r="Z40" s="36">
        <f t="shared" si="6"/>
        <v>0.70538488091128748</v>
      </c>
      <c r="AA40" s="6"/>
      <c r="AB40" s="37">
        <v>1.42</v>
      </c>
      <c r="AC40" s="38">
        <v>1.5229999999999999</v>
      </c>
      <c r="AD40" s="38"/>
      <c r="AE40" s="34">
        <f t="shared" si="7"/>
        <v>1.5229999999999999</v>
      </c>
      <c r="AF40" s="34">
        <f t="shared" si="8"/>
        <v>0.81365182753478849</v>
      </c>
      <c r="AG40" s="35" t="str">
        <f t="shared" si="1"/>
        <v/>
      </c>
      <c r="AH40" s="36">
        <f t="shared" si="2"/>
        <v>1.0725352112676056</v>
      </c>
    </row>
    <row r="41" spans="1:34" ht="1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29">
        <f t="shared" si="3"/>
        <v>28</v>
      </c>
      <c r="Q41" s="30" t="s">
        <v>109</v>
      </c>
      <c r="R41" s="31">
        <v>45804</v>
      </c>
      <c r="S41" s="68"/>
      <c r="T41" s="39">
        <v>28.97</v>
      </c>
      <c r="U41" s="38">
        <v>22.378</v>
      </c>
      <c r="V41" s="74"/>
      <c r="W41" s="34">
        <f t="shared" si="4"/>
        <v>22.378</v>
      </c>
      <c r="X41" s="34">
        <f t="shared" si="0"/>
        <v>0.72958766779844797</v>
      </c>
      <c r="Y41" s="35" t="str">
        <f t="shared" si="5"/>
        <v/>
      </c>
      <c r="Z41" s="36">
        <f t="shared" si="6"/>
        <v>0.77245426303072151</v>
      </c>
      <c r="AA41" s="6"/>
      <c r="AB41" s="37">
        <v>1.42</v>
      </c>
      <c r="AC41" s="38">
        <v>1.5529999999999999</v>
      </c>
      <c r="AD41" s="38"/>
      <c r="AE41" s="34">
        <f t="shared" si="7"/>
        <v>1.5529999999999999</v>
      </c>
      <c r="AF41" s="34">
        <f t="shared" si="8"/>
        <v>0.99903512805674677</v>
      </c>
      <c r="AG41" s="35" t="str">
        <f t="shared" si="1"/>
        <v/>
      </c>
      <c r="AH41" s="36">
        <f t="shared" si="2"/>
        <v>1.0936619718309859</v>
      </c>
    </row>
    <row r="42" spans="1:34" ht="1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29">
        <f t="shared" si="3"/>
        <v>29</v>
      </c>
      <c r="Q42" s="30" t="s">
        <v>108</v>
      </c>
      <c r="R42" s="31">
        <v>45804</v>
      </c>
      <c r="S42" s="68"/>
      <c r="T42" s="39">
        <v>28.97</v>
      </c>
      <c r="U42" s="38">
        <v>21.823</v>
      </c>
      <c r="V42" s="74"/>
      <c r="W42" s="34">
        <f t="shared" si="4"/>
        <v>21.823</v>
      </c>
      <c r="X42" s="34">
        <f t="shared" si="0"/>
        <v>0.84788704152519867</v>
      </c>
      <c r="Y42" s="35" t="str">
        <f t="shared" si="5"/>
        <v/>
      </c>
      <c r="Z42" s="36">
        <f t="shared" si="6"/>
        <v>0.75329651363479466</v>
      </c>
      <c r="AA42" s="6"/>
      <c r="AB42" s="37">
        <v>1.42</v>
      </c>
      <c r="AC42" s="38">
        <v>1.399</v>
      </c>
      <c r="AD42" s="38"/>
      <c r="AE42" s="34">
        <f t="shared" si="7"/>
        <v>1.399</v>
      </c>
      <c r="AF42" s="34">
        <f t="shared" si="8"/>
        <v>4.7400852044028836E-2</v>
      </c>
      <c r="AG42" s="35" t="str">
        <f t="shared" si="1"/>
        <v/>
      </c>
      <c r="AH42" s="36">
        <f t="shared" si="2"/>
        <v>0.98521126760563382</v>
      </c>
    </row>
    <row r="43" spans="1:34" ht="1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29">
        <f t="shared" si="3"/>
        <v>30</v>
      </c>
      <c r="Q43" s="30" t="s">
        <v>108</v>
      </c>
      <c r="R43" s="31">
        <v>45825</v>
      </c>
      <c r="S43" s="68"/>
      <c r="T43" s="39">
        <v>28.97</v>
      </c>
      <c r="U43" s="38">
        <v>23.382000000000001</v>
      </c>
      <c r="V43" s="74"/>
      <c r="W43" s="34">
        <f t="shared" si="4"/>
        <v>23.382000000000001</v>
      </c>
      <c r="X43" s="34">
        <f t="shared" si="0"/>
        <v>0.51558303496663205</v>
      </c>
      <c r="Y43" s="35" t="str">
        <f t="shared" si="5"/>
        <v/>
      </c>
      <c r="Z43" s="36">
        <f t="shared" si="6"/>
        <v>0.80711080428029003</v>
      </c>
      <c r="AA43" s="6"/>
      <c r="AB43" s="37">
        <v>1.42</v>
      </c>
      <c r="AC43" s="38">
        <v>1.4790000000000001</v>
      </c>
      <c r="AD43" s="38"/>
      <c r="AE43" s="34">
        <f t="shared" si="7"/>
        <v>1.4790000000000001</v>
      </c>
      <c r="AF43" s="34">
        <f t="shared" si="8"/>
        <v>0.54175632010258434</v>
      </c>
      <c r="AG43" s="35" t="str">
        <f t="shared" si="1"/>
        <v/>
      </c>
      <c r="AH43" s="36">
        <f t="shared" si="2"/>
        <v>1.0415492957746479</v>
      </c>
    </row>
    <row r="44" spans="1:34" ht="1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29">
        <f t="shared" si="3"/>
        <v>31</v>
      </c>
      <c r="Q44" s="30" t="s">
        <v>108</v>
      </c>
      <c r="R44" s="31">
        <v>45825</v>
      </c>
      <c r="S44" s="68"/>
      <c r="T44" s="39">
        <v>28.97</v>
      </c>
      <c r="U44" s="38">
        <v>23.85</v>
      </c>
      <c r="V44" s="74"/>
      <c r="W44" s="34">
        <f t="shared" si="4"/>
        <v>23.85</v>
      </c>
      <c r="X44" s="34">
        <f t="shared" si="0"/>
        <v>0.41582788739164223</v>
      </c>
      <c r="Y44" s="35" t="str">
        <f t="shared" si="5"/>
        <v/>
      </c>
      <c r="Z44" s="36">
        <f t="shared" si="6"/>
        <v>0.82326544701415261</v>
      </c>
      <c r="AA44" s="6"/>
      <c r="AB44" s="37">
        <v>1.42</v>
      </c>
      <c r="AC44" s="38">
        <v>1.415</v>
      </c>
      <c r="AD44" s="38"/>
      <c r="AE44" s="34">
        <f t="shared" si="7"/>
        <v>1.415</v>
      </c>
      <c r="AF44" s="34">
        <f t="shared" si="8"/>
        <v>0.14627194565573992</v>
      </c>
      <c r="AG44" s="35" t="str">
        <f t="shared" si="1"/>
        <v/>
      </c>
      <c r="AH44" s="36">
        <f t="shared" si="2"/>
        <v>0.99647887323943674</v>
      </c>
    </row>
    <row r="45" spans="1:34" ht="1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29">
        <f t="shared" si="3"/>
        <v>32</v>
      </c>
      <c r="Q45" s="30" t="s">
        <v>108</v>
      </c>
      <c r="R45" s="31">
        <v>45825</v>
      </c>
      <c r="S45" s="68"/>
      <c r="T45" s="39">
        <v>28.97</v>
      </c>
      <c r="U45" s="38">
        <v>28.024000000000001</v>
      </c>
      <c r="V45" s="74"/>
      <c r="W45" s="34">
        <f t="shared" si="4"/>
        <v>28.024000000000001</v>
      </c>
      <c r="X45" s="34">
        <f t="shared" si="0"/>
        <v>0.47386866384341625</v>
      </c>
      <c r="Y45" s="35" t="str">
        <f t="shared" si="5"/>
        <v/>
      </c>
      <c r="Z45" s="36">
        <f t="shared" si="6"/>
        <v>0.96734552985847433</v>
      </c>
      <c r="AA45" s="6"/>
      <c r="AB45" s="37">
        <v>1.42</v>
      </c>
      <c r="AC45" s="38">
        <v>1.4419999999999999</v>
      </c>
      <c r="AD45" s="38"/>
      <c r="AE45" s="34">
        <f t="shared" si="7"/>
        <v>1.4419999999999999</v>
      </c>
      <c r="AF45" s="34">
        <f t="shared" si="8"/>
        <v>0.31311691612550174</v>
      </c>
      <c r="AG45" s="35" t="str">
        <f t="shared" si="1"/>
        <v/>
      </c>
      <c r="AH45" s="36">
        <f t="shared" si="2"/>
        <v>1.0154929577464789</v>
      </c>
    </row>
    <row r="46" spans="1:34" ht="1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29">
        <f t="shared" si="3"/>
        <v>33</v>
      </c>
      <c r="Q46" s="30" t="s">
        <v>108</v>
      </c>
      <c r="R46" s="31">
        <v>45825</v>
      </c>
      <c r="S46" s="68"/>
      <c r="T46" s="39">
        <v>28.97</v>
      </c>
      <c r="U46" s="38">
        <v>36.503</v>
      </c>
      <c r="V46" s="74"/>
      <c r="W46" s="34">
        <f t="shared" si="4"/>
        <v>36.503</v>
      </c>
      <c r="X46" s="34">
        <f t="shared" si="0"/>
        <v>2.2811846815535408</v>
      </c>
      <c r="Y46" s="35">
        <f t="shared" si="5"/>
        <v>36.503</v>
      </c>
      <c r="Z46" s="36">
        <f t="shared" si="6"/>
        <v>1.260027614773904</v>
      </c>
      <c r="AA46" s="6"/>
      <c r="AB46" s="37">
        <v>1.42</v>
      </c>
      <c r="AC46" s="38">
        <v>1.512</v>
      </c>
      <c r="AD46" s="38"/>
      <c r="AE46" s="34">
        <f t="shared" si="7"/>
        <v>1.512</v>
      </c>
      <c r="AF46" s="34">
        <f t="shared" si="8"/>
        <v>0.74567795067673781</v>
      </c>
      <c r="AG46" s="35" t="str">
        <f t="shared" si="1"/>
        <v/>
      </c>
      <c r="AH46" s="36">
        <f t="shared" si="2"/>
        <v>1.0647887323943663</v>
      </c>
    </row>
    <row r="47" spans="1:34" ht="1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29">
        <f t="shared" si="3"/>
        <v>34</v>
      </c>
      <c r="Q47" s="30" t="s">
        <v>108</v>
      </c>
      <c r="R47" s="31">
        <v>45860</v>
      </c>
      <c r="S47" s="68"/>
      <c r="T47" s="39">
        <v>28.97</v>
      </c>
      <c r="U47" s="38">
        <v>33.715000000000003</v>
      </c>
      <c r="V47" s="74"/>
      <c r="W47" s="34">
        <f t="shared" si="4"/>
        <v>33.715000000000003</v>
      </c>
      <c r="X47" s="34">
        <f t="shared" si="0"/>
        <v>1.6869168365982605</v>
      </c>
      <c r="Y47" s="35" t="str">
        <f t="shared" si="5"/>
        <v/>
      </c>
      <c r="Z47" s="36">
        <f t="shared" si="6"/>
        <v>1.1637901277183296</v>
      </c>
      <c r="AA47" s="6"/>
      <c r="AB47" s="37">
        <v>1.42</v>
      </c>
      <c r="AC47" s="38">
        <v>1.145</v>
      </c>
      <c r="AD47" s="38"/>
      <c r="AE47" s="34">
        <f t="shared" si="7"/>
        <v>1.145</v>
      </c>
      <c r="AF47" s="34">
        <f t="shared" si="8"/>
        <v>1.5221777590418835</v>
      </c>
      <c r="AG47" s="35" t="str">
        <f t="shared" si="1"/>
        <v/>
      </c>
      <c r="AH47" s="36">
        <f t="shared" si="2"/>
        <v>0.80633802816901412</v>
      </c>
    </row>
    <row r="48" spans="1:34" ht="1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29">
        <f t="shared" si="3"/>
        <v>35</v>
      </c>
      <c r="Q48" s="30" t="s">
        <v>106</v>
      </c>
      <c r="R48" s="31">
        <v>45860</v>
      </c>
      <c r="S48" s="68"/>
      <c r="T48" s="39">
        <v>28.97</v>
      </c>
      <c r="U48" s="38">
        <v>26.456</v>
      </c>
      <c r="V48" s="74"/>
      <c r="W48" s="34">
        <f t="shared" si="4"/>
        <v>26.456</v>
      </c>
      <c r="X48" s="34">
        <f t="shared" si="0"/>
        <v>0.13964628906225354</v>
      </c>
      <c r="Y48" s="35" t="str">
        <f t="shared" si="5"/>
        <v/>
      </c>
      <c r="Z48" s="36">
        <f t="shared" si="6"/>
        <v>0.91322057300655857</v>
      </c>
      <c r="AA48" s="6"/>
      <c r="AB48" s="37">
        <v>1.42</v>
      </c>
      <c r="AC48" s="38">
        <v>1.534</v>
      </c>
      <c r="AD48" s="38"/>
      <c r="AE48" s="34">
        <f t="shared" si="7"/>
        <v>1.534</v>
      </c>
      <c r="AF48" s="34">
        <f t="shared" si="8"/>
        <v>0.88162570439284049</v>
      </c>
      <c r="AG48" s="35" t="str">
        <f t="shared" si="1"/>
        <v/>
      </c>
      <c r="AH48" s="36">
        <f t="shared" si="2"/>
        <v>1.0802816901408452</v>
      </c>
    </row>
    <row r="49" spans="1:34" ht="1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29">
        <f t="shared" si="3"/>
        <v>36</v>
      </c>
      <c r="Q49" s="30" t="s">
        <v>106</v>
      </c>
      <c r="R49" s="31">
        <v>45912</v>
      </c>
      <c r="S49" s="68"/>
      <c r="T49" s="39">
        <v>28.97</v>
      </c>
      <c r="U49" s="38">
        <v>19.16</v>
      </c>
      <c r="V49" s="74"/>
      <c r="W49" s="34">
        <f t="shared" si="4"/>
        <v>19.16</v>
      </c>
      <c r="X49" s="34">
        <f t="shared" si="0"/>
        <v>1.4155108833888692</v>
      </c>
      <c r="Y49" s="35" t="str">
        <f t="shared" si="5"/>
        <v/>
      </c>
      <c r="Z49" s="36">
        <f t="shared" si="6"/>
        <v>0.66137383500172597</v>
      </c>
      <c r="AA49" s="6"/>
      <c r="AB49" s="37">
        <v>1.42</v>
      </c>
      <c r="AC49" s="38">
        <v>1.4079999999999999</v>
      </c>
      <c r="AD49" s="38"/>
      <c r="AE49" s="34">
        <f t="shared" si="7"/>
        <v>1.4079999999999999</v>
      </c>
      <c r="AF49" s="34">
        <f t="shared" si="8"/>
        <v>0.10301584220061565</v>
      </c>
      <c r="AG49" s="35" t="str">
        <f t="shared" si="1"/>
        <v/>
      </c>
      <c r="AH49" s="36">
        <f t="shared" si="2"/>
        <v>0.9915492957746479</v>
      </c>
    </row>
    <row r="50" spans="1:34" ht="1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29">
        <f t="shared" si="3"/>
        <v>37</v>
      </c>
      <c r="Q50" s="30" t="s">
        <v>106</v>
      </c>
      <c r="R50" s="31">
        <v>46044</v>
      </c>
      <c r="S50" s="68"/>
      <c r="T50" s="39">
        <v>28.97</v>
      </c>
      <c r="U50" s="38">
        <v>27.617999999999999</v>
      </c>
      <c r="V50" s="74"/>
      <c r="W50" s="34">
        <f t="shared" si="4"/>
        <v>27.617999999999999</v>
      </c>
      <c r="X50" s="34">
        <f t="shared" si="0"/>
        <v>0.38732894180186478</v>
      </c>
      <c r="Y50" s="35" t="str">
        <f t="shared" si="5"/>
        <v/>
      </c>
      <c r="Z50" s="36">
        <f t="shared" si="6"/>
        <v>0.95333103210217462</v>
      </c>
      <c r="AA50" s="6"/>
      <c r="AB50" s="37">
        <v>1.42</v>
      </c>
      <c r="AC50" s="38">
        <v>1.393</v>
      </c>
      <c r="AD50" s="38"/>
      <c r="AE50" s="34">
        <f t="shared" si="7"/>
        <v>1.393</v>
      </c>
      <c r="AF50" s="34">
        <f t="shared" si="8"/>
        <v>1.0324191939637172E-2</v>
      </c>
      <c r="AG50" s="35" t="str">
        <f t="shared" si="1"/>
        <v/>
      </c>
      <c r="AH50" s="36">
        <f t="shared" si="2"/>
        <v>0.98098591549295777</v>
      </c>
    </row>
    <row r="51" spans="1:34" ht="1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29">
        <f t="shared" si="3"/>
        <v>38</v>
      </c>
      <c r="Q51" s="30" t="s">
        <v>106</v>
      </c>
      <c r="R51" s="31">
        <v>46044</v>
      </c>
      <c r="S51" s="68"/>
      <c r="T51" s="39">
        <v>28.97</v>
      </c>
      <c r="U51" s="38">
        <v>23.786999999999999</v>
      </c>
      <c r="V51" s="74"/>
      <c r="W51" s="34">
        <f t="shared" si="4"/>
        <v>23.786999999999999</v>
      </c>
      <c r="X51" s="34">
        <f t="shared" si="0"/>
        <v>0.4292564649498144</v>
      </c>
      <c r="Y51" s="35" t="str">
        <f t="shared" si="5"/>
        <v/>
      </c>
      <c r="Z51" s="36">
        <f t="shared" si="6"/>
        <v>0.8210907835692095</v>
      </c>
      <c r="AA51" s="6"/>
      <c r="AB51" s="37">
        <v>1.42</v>
      </c>
      <c r="AC51" s="38">
        <v>1.56</v>
      </c>
      <c r="AD51" s="38"/>
      <c r="AE51" s="34">
        <f t="shared" si="7"/>
        <v>1.56</v>
      </c>
      <c r="AF51" s="34">
        <f t="shared" si="8"/>
        <v>1.0422912315118711</v>
      </c>
      <c r="AG51" s="35" t="str">
        <f t="shared" si="1"/>
        <v/>
      </c>
      <c r="AH51" s="36">
        <f t="shared" si="2"/>
        <v>1.0985915492957747</v>
      </c>
    </row>
    <row r="52" spans="1:34" ht="1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29">
        <f t="shared" si="3"/>
        <v>39</v>
      </c>
      <c r="Q52" s="30" t="s">
        <v>106</v>
      </c>
      <c r="R52" s="31">
        <v>46048</v>
      </c>
      <c r="S52" s="68"/>
      <c r="T52" s="39">
        <v>28.97</v>
      </c>
      <c r="U52" s="38">
        <v>26.475999999999999</v>
      </c>
      <c r="V52" s="74"/>
      <c r="W52" s="34">
        <f t="shared" si="4"/>
        <v>26.475999999999999</v>
      </c>
      <c r="X52" s="34">
        <f t="shared" si="0"/>
        <v>0.14390932955691116</v>
      </c>
      <c r="Y52" s="35" t="str">
        <f t="shared" si="5"/>
        <v/>
      </c>
      <c r="Z52" s="36">
        <f t="shared" si="6"/>
        <v>0.91391094235415948</v>
      </c>
      <c r="AA52" s="6"/>
      <c r="AB52" s="37">
        <v>1.42</v>
      </c>
      <c r="AC52" s="38">
        <v>1.097</v>
      </c>
      <c r="AD52" s="38"/>
      <c r="AE52" s="34">
        <f t="shared" si="7"/>
        <v>1.097</v>
      </c>
      <c r="AF52" s="34">
        <f t="shared" si="8"/>
        <v>1.8187910398770168</v>
      </c>
      <c r="AG52" s="35" t="str">
        <f t="shared" si="1"/>
        <v/>
      </c>
      <c r="AH52" s="36">
        <f t="shared" si="2"/>
        <v>0.7725352112676056</v>
      </c>
    </row>
    <row r="53" spans="1:34" ht="1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29">
        <f t="shared" si="3"/>
        <v>40</v>
      </c>
      <c r="Q53" s="30" t="s">
        <v>106</v>
      </c>
      <c r="R53" s="31">
        <v>46048</v>
      </c>
      <c r="S53" s="68"/>
      <c r="T53" s="39">
        <v>28.97</v>
      </c>
      <c r="U53" s="38">
        <v>23.914999999999999</v>
      </c>
      <c r="V53" s="74"/>
      <c r="W53" s="34">
        <f t="shared" si="4"/>
        <v>23.914999999999999</v>
      </c>
      <c r="X53" s="34">
        <f t="shared" si="0"/>
        <v>0.40197300578400524</v>
      </c>
      <c r="Y53" s="35" t="str">
        <f t="shared" si="5"/>
        <v/>
      </c>
      <c r="Z53" s="36">
        <f t="shared" si="6"/>
        <v>0.82550914739385572</v>
      </c>
      <c r="AA53" s="6"/>
      <c r="AB53" s="37">
        <v>1.42</v>
      </c>
      <c r="AC53" s="38">
        <v>1.1950000000000001</v>
      </c>
      <c r="AD53" s="38"/>
      <c r="AE53" s="34">
        <f t="shared" si="7"/>
        <v>1.1950000000000001</v>
      </c>
      <c r="AF53" s="34">
        <f t="shared" si="8"/>
        <v>1.2132055915052864</v>
      </c>
      <c r="AG53" s="35" t="str">
        <f t="shared" si="1"/>
        <v/>
      </c>
      <c r="AH53" s="36">
        <f t="shared" si="2"/>
        <v>0.84154929577464799</v>
      </c>
    </row>
    <row r="54" spans="1:34" ht="1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29">
        <f t="shared" si="3"/>
        <v>41</v>
      </c>
      <c r="Q54" s="30" t="s">
        <v>106</v>
      </c>
      <c r="R54" s="31">
        <v>46065</v>
      </c>
      <c r="S54" s="68"/>
      <c r="T54" s="39">
        <v>28.97</v>
      </c>
      <c r="U54" s="38">
        <v>26.890999999999998</v>
      </c>
      <c r="V54" s="74"/>
      <c r="W54" s="34">
        <f t="shared" si="4"/>
        <v>26.890999999999998</v>
      </c>
      <c r="X54" s="34">
        <f t="shared" si="0"/>
        <v>0.23236741982105791</v>
      </c>
      <c r="Y54" s="35" t="str">
        <f t="shared" si="5"/>
        <v/>
      </c>
      <c r="Z54" s="36">
        <f t="shared" si="6"/>
        <v>0.92823610631687947</v>
      </c>
      <c r="AA54" s="6"/>
      <c r="AB54" s="37">
        <v>1.42</v>
      </c>
      <c r="AC54" s="38">
        <v>1.5580000000000001</v>
      </c>
      <c r="AD54" s="38"/>
      <c r="AE54" s="34"/>
      <c r="AF54" s="34">
        <f t="shared" si="8"/>
        <v>1.0299323448104072</v>
      </c>
      <c r="AG54" s="35" t="str">
        <f t="shared" si="1"/>
        <v/>
      </c>
      <c r="AH54" s="36">
        <f t="shared" si="2"/>
        <v>1.0971830985915494</v>
      </c>
    </row>
    <row r="55" spans="1:34" ht="1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29" t="str">
        <f t="shared" si="3"/>
        <v/>
      </c>
      <c r="Q55" s="30"/>
      <c r="R55" s="31"/>
      <c r="S55" s="68"/>
      <c r="T55" s="39">
        <v>28.97</v>
      </c>
      <c r="U55" s="38"/>
      <c r="V55" s="74"/>
      <c r="W55" s="34" t="str">
        <f t="shared" si="4"/>
        <v>FALSE</v>
      </c>
      <c r="X55" s="34" t="str">
        <f t="shared" si="0"/>
        <v>FALSE</v>
      </c>
      <c r="Y55" s="35">
        <f t="shared" si="5"/>
        <v>0</v>
      </c>
      <c r="Z55" s="36" t="str">
        <f t="shared" si="6"/>
        <v/>
      </c>
      <c r="AA55" s="6"/>
      <c r="AB55" s="37">
        <v>1.42</v>
      </c>
      <c r="AC55" s="38"/>
      <c r="AD55" s="38"/>
      <c r="AE55" s="34"/>
      <c r="AF55" s="34" t="str">
        <f t="shared" si="8"/>
        <v>FALSE</v>
      </c>
      <c r="AG55" s="35">
        <f t="shared" si="1"/>
        <v>0</v>
      </c>
      <c r="AH55" s="36" t="str">
        <f t="shared" si="2"/>
        <v/>
      </c>
    </row>
    <row r="56" spans="1:34" ht="1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29" t="str">
        <f t="shared" si="3"/>
        <v/>
      </c>
      <c r="Q56" s="30"/>
      <c r="R56" s="31"/>
      <c r="S56" s="68"/>
      <c r="T56" s="39">
        <v>28.97</v>
      </c>
      <c r="U56" s="38"/>
      <c r="V56" s="74"/>
      <c r="W56" s="34" t="str">
        <f t="shared" si="4"/>
        <v>FALSE</v>
      </c>
      <c r="X56" s="34" t="str">
        <f t="shared" si="0"/>
        <v>FALSE</v>
      </c>
      <c r="Y56" s="35">
        <f t="shared" si="5"/>
        <v>0</v>
      </c>
      <c r="Z56" s="36" t="str">
        <f t="shared" si="6"/>
        <v/>
      </c>
      <c r="AA56" s="6"/>
      <c r="AB56" s="37">
        <v>1.42</v>
      </c>
      <c r="AC56" s="38"/>
      <c r="AD56" s="38"/>
      <c r="AE56" s="34"/>
      <c r="AF56" s="34" t="str">
        <f t="shared" si="8"/>
        <v>FALSE</v>
      </c>
      <c r="AG56" s="35">
        <f t="shared" si="1"/>
        <v>0</v>
      </c>
      <c r="AH56" s="36" t="str">
        <f t="shared" si="2"/>
        <v/>
      </c>
    </row>
    <row r="57" spans="1:34" ht="14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29" t="str">
        <f t="shared" si="3"/>
        <v/>
      </c>
      <c r="Q57" s="30"/>
      <c r="R57" s="31"/>
      <c r="S57" s="68"/>
      <c r="T57" s="39">
        <v>28.97</v>
      </c>
      <c r="U57" s="38"/>
      <c r="V57" s="74"/>
      <c r="W57" s="34" t="str">
        <f t="shared" si="4"/>
        <v>FALSE</v>
      </c>
      <c r="X57" s="34" t="str">
        <f t="shared" si="0"/>
        <v>FALSE</v>
      </c>
      <c r="Y57" s="35">
        <f t="shared" si="5"/>
        <v>0</v>
      </c>
      <c r="Z57" s="36" t="str">
        <f t="shared" si="6"/>
        <v/>
      </c>
      <c r="AA57" s="42"/>
      <c r="AB57" s="37">
        <v>1.42</v>
      </c>
      <c r="AC57" s="38"/>
      <c r="AD57" s="38"/>
      <c r="AE57" s="34"/>
      <c r="AF57" s="34" t="str">
        <f t="shared" si="8"/>
        <v>FALSE</v>
      </c>
      <c r="AG57" s="35">
        <f t="shared" si="1"/>
        <v>0</v>
      </c>
      <c r="AH57" s="36" t="str">
        <f t="shared" si="2"/>
        <v/>
      </c>
    </row>
    <row r="58" spans="1:34" ht="1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29" t="str">
        <f t="shared" si="3"/>
        <v/>
      </c>
      <c r="Q58" s="30"/>
      <c r="R58" s="31"/>
      <c r="S58" s="68"/>
      <c r="T58" s="40"/>
      <c r="U58" s="38"/>
      <c r="V58" s="74"/>
      <c r="W58" s="34" t="str">
        <f t="shared" si="4"/>
        <v>FALSE</v>
      </c>
      <c r="X58" s="34" t="str">
        <f t="shared" si="0"/>
        <v>FALSE</v>
      </c>
      <c r="Y58" s="35">
        <f t="shared" si="5"/>
        <v>0</v>
      </c>
      <c r="Z58" s="36" t="str">
        <f t="shared" si="6"/>
        <v/>
      </c>
      <c r="AA58" s="6"/>
      <c r="AB58" s="41"/>
      <c r="AC58" s="38"/>
      <c r="AD58" s="38"/>
      <c r="AE58" s="34"/>
      <c r="AF58" s="34" t="str">
        <f t="shared" si="8"/>
        <v>FALSE</v>
      </c>
      <c r="AG58" s="35">
        <f t="shared" si="1"/>
        <v>0</v>
      </c>
      <c r="AH58" s="36" t="str">
        <f t="shared" si="2"/>
        <v/>
      </c>
    </row>
    <row r="59" spans="1:34" ht="1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29" t="str">
        <f t="shared" si="3"/>
        <v/>
      </c>
      <c r="Q59" s="30"/>
      <c r="R59" s="31"/>
      <c r="S59" s="68"/>
      <c r="T59" s="40"/>
      <c r="U59" s="38"/>
      <c r="V59" s="74"/>
      <c r="W59" s="34" t="str">
        <f t="shared" si="4"/>
        <v>FALSE</v>
      </c>
      <c r="X59" s="34" t="str">
        <f t="shared" si="0"/>
        <v>FALSE</v>
      </c>
      <c r="Y59" s="35">
        <f t="shared" si="5"/>
        <v>0</v>
      </c>
      <c r="Z59" s="36" t="str">
        <f t="shared" si="6"/>
        <v/>
      </c>
      <c r="AA59" s="6"/>
      <c r="AB59" s="41"/>
      <c r="AC59" s="38"/>
      <c r="AD59" s="38"/>
      <c r="AE59" s="34"/>
      <c r="AF59" s="34" t="str">
        <f t="shared" si="8"/>
        <v>FALSE</v>
      </c>
      <c r="AG59" s="35">
        <f t="shared" si="1"/>
        <v>0</v>
      </c>
      <c r="AH59" s="36" t="str">
        <f t="shared" si="2"/>
        <v/>
      </c>
    </row>
    <row r="60" spans="1:34" ht="1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29" t="str">
        <f t="shared" si="3"/>
        <v/>
      </c>
      <c r="Q60" s="30"/>
      <c r="R60" s="31"/>
      <c r="S60" s="68"/>
      <c r="T60" s="40"/>
      <c r="U60" s="38"/>
      <c r="V60" s="74"/>
      <c r="W60" s="34" t="str">
        <f t="shared" si="4"/>
        <v>FALSE</v>
      </c>
      <c r="X60" s="34" t="str">
        <f t="shared" si="0"/>
        <v>FALSE</v>
      </c>
      <c r="Y60" s="35">
        <f t="shared" si="5"/>
        <v>0</v>
      </c>
      <c r="Z60" s="36" t="str">
        <f t="shared" si="6"/>
        <v/>
      </c>
      <c r="AA60" s="6"/>
      <c r="AB60" s="41"/>
      <c r="AC60" s="38"/>
      <c r="AD60" s="38"/>
      <c r="AE60" s="34"/>
      <c r="AF60" s="34" t="str">
        <f t="shared" si="8"/>
        <v>FALSE</v>
      </c>
      <c r="AG60" s="35">
        <f t="shared" si="1"/>
        <v>0</v>
      </c>
      <c r="AH60" s="36" t="str">
        <f t="shared" si="2"/>
        <v/>
      </c>
    </row>
    <row r="61" spans="1:34" ht="1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29" t="str">
        <f t="shared" si="3"/>
        <v/>
      </c>
      <c r="Q61" s="30"/>
      <c r="R61" s="31"/>
      <c r="S61" s="68"/>
      <c r="T61" s="40"/>
      <c r="U61" s="38"/>
      <c r="V61" s="74"/>
      <c r="W61" s="34" t="str">
        <f t="shared" si="4"/>
        <v>FALSE</v>
      </c>
      <c r="X61" s="34" t="str">
        <f t="shared" si="0"/>
        <v>FALSE</v>
      </c>
      <c r="Y61" s="35">
        <f t="shared" si="5"/>
        <v>0</v>
      </c>
      <c r="Z61" s="36" t="str">
        <f t="shared" si="6"/>
        <v/>
      </c>
      <c r="AA61" s="6"/>
      <c r="AB61" s="41"/>
      <c r="AC61" s="38"/>
      <c r="AD61" s="38"/>
      <c r="AE61" s="34"/>
      <c r="AF61" s="34" t="str">
        <f t="shared" si="8"/>
        <v>FALSE</v>
      </c>
      <c r="AG61" s="35">
        <f t="shared" si="1"/>
        <v>0</v>
      </c>
      <c r="AH61" s="36" t="str">
        <f t="shared" si="2"/>
        <v/>
      </c>
    </row>
    <row r="62" spans="1:34" ht="1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29" t="str">
        <f t="shared" si="3"/>
        <v/>
      </c>
      <c r="Q62" s="30"/>
      <c r="R62" s="31"/>
      <c r="S62" s="68"/>
      <c r="T62" s="40"/>
      <c r="U62" s="38"/>
      <c r="V62" s="74"/>
      <c r="W62" s="34" t="str">
        <f t="shared" si="4"/>
        <v>FALSE</v>
      </c>
      <c r="X62" s="34" t="str">
        <f t="shared" si="0"/>
        <v>FALSE</v>
      </c>
      <c r="Y62" s="35">
        <f t="shared" si="5"/>
        <v>0</v>
      </c>
      <c r="Z62" s="36" t="str">
        <f t="shared" si="6"/>
        <v/>
      </c>
      <c r="AA62" s="6"/>
      <c r="AB62" s="41"/>
      <c r="AC62" s="38"/>
      <c r="AD62" s="38"/>
      <c r="AE62" s="34"/>
      <c r="AF62" s="34" t="str">
        <f t="shared" si="8"/>
        <v>FALSE</v>
      </c>
      <c r="AG62" s="35">
        <f t="shared" si="1"/>
        <v>0</v>
      </c>
      <c r="AH62" s="36" t="str">
        <f t="shared" si="2"/>
        <v/>
      </c>
    </row>
    <row r="63" spans="1:34" ht="1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29" t="str">
        <f t="shared" si="3"/>
        <v/>
      </c>
      <c r="Q63" s="30"/>
      <c r="R63" s="31"/>
      <c r="S63" s="68"/>
      <c r="T63" s="40"/>
      <c r="U63" s="38"/>
      <c r="V63" s="74"/>
      <c r="W63" s="34" t="str">
        <f t="shared" si="4"/>
        <v>FALSE</v>
      </c>
      <c r="X63" s="34" t="str">
        <f t="shared" si="0"/>
        <v>FALSE</v>
      </c>
      <c r="Y63" s="35">
        <f t="shared" si="5"/>
        <v>0</v>
      </c>
      <c r="Z63" s="36" t="str">
        <f t="shared" si="6"/>
        <v/>
      </c>
      <c r="AA63" s="6"/>
      <c r="AB63" s="41"/>
      <c r="AC63" s="38"/>
      <c r="AD63" s="38"/>
      <c r="AE63" s="34"/>
      <c r="AF63" s="34" t="str">
        <f t="shared" si="8"/>
        <v>FALSE</v>
      </c>
      <c r="AG63" s="35">
        <f t="shared" si="1"/>
        <v>0</v>
      </c>
      <c r="AH63" s="36" t="str">
        <f t="shared" si="2"/>
        <v/>
      </c>
    </row>
    <row r="64" spans="1:34" ht="1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29" t="str">
        <f t="shared" si="3"/>
        <v/>
      </c>
      <c r="Q64" s="30"/>
      <c r="R64" s="31"/>
      <c r="S64" s="68"/>
      <c r="T64" s="40"/>
      <c r="U64" s="38"/>
      <c r="V64" s="74"/>
      <c r="W64" s="34" t="str">
        <f t="shared" si="4"/>
        <v>FALSE</v>
      </c>
      <c r="X64" s="34" t="str">
        <f t="shared" si="0"/>
        <v>FALSE</v>
      </c>
      <c r="Y64" s="35">
        <f t="shared" si="5"/>
        <v>0</v>
      </c>
      <c r="Z64" s="36" t="str">
        <f t="shared" si="6"/>
        <v/>
      </c>
      <c r="AA64" s="6"/>
      <c r="AB64" s="41"/>
      <c r="AC64" s="38"/>
      <c r="AD64" s="38"/>
      <c r="AE64" s="34"/>
      <c r="AF64" s="34" t="str">
        <f t="shared" si="8"/>
        <v>FALSE</v>
      </c>
      <c r="AG64" s="35">
        <f t="shared" si="1"/>
        <v>0</v>
      </c>
      <c r="AH64" s="36" t="str">
        <f t="shared" si="2"/>
        <v/>
      </c>
    </row>
    <row r="65" spans="1:34" ht="1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29" t="str">
        <f t="shared" si="3"/>
        <v/>
      </c>
      <c r="Q65" s="30"/>
      <c r="R65" s="31"/>
      <c r="S65" s="68"/>
      <c r="T65" s="40"/>
      <c r="U65" s="38"/>
      <c r="V65" s="74"/>
      <c r="W65" s="34" t="str">
        <f t="shared" si="4"/>
        <v>FALSE</v>
      </c>
      <c r="X65" s="34" t="str">
        <f t="shared" si="0"/>
        <v>FALSE</v>
      </c>
      <c r="Y65" s="35">
        <f t="shared" si="5"/>
        <v>0</v>
      </c>
      <c r="Z65" s="36" t="str">
        <f t="shared" si="6"/>
        <v/>
      </c>
      <c r="AA65" s="6"/>
      <c r="AB65" s="41"/>
      <c r="AC65" s="38"/>
      <c r="AD65" s="38"/>
      <c r="AE65" s="34"/>
      <c r="AF65" s="34" t="str">
        <f t="shared" si="8"/>
        <v>FALSE</v>
      </c>
      <c r="AG65" s="35">
        <f t="shared" si="1"/>
        <v>0</v>
      </c>
      <c r="AH65" s="36" t="str">
        <f t="shared" si="2"/>
        <v/>
      </c>
    </row>
    <row r="66" spans="1:34" ht="1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29" t="str">
        <f t="shared" si="3"/>
        <v/>
      </c>
      <c r="Q66" s="30"/>
      <c r="R66" s="31"/>
      <c r="S66" s="68"/>
      <c r="T66" s="40"/>
      <c r="U66" s="38"/>
      <c r="V66" s="74"/>
      <c r="W66" s="34" t="str">
        <f t="shared" si="4"/>
        <v>FALSE</v>
      </c>
      <c r="X66" s="34" t="str">
        <f t="shared" si="0"/>
        <v>FALSE</v>
      </c>
      <c r="Y66" s="35">
        <f t="shared" si="5"/>
        <v>0</v>
      </c>
      <c r="Z66" s="36" t="str">
        <f t="shared" si="6"/>
        <v/>
      </c>
      <c r="AA66" s="6"/>
      <c r="AB66" s="41"/>
      <c r="AC66" s="38"/>
      <c r="AD66" s="38"/>
      <c r="AE66" s="34"/>
      <c r="AF66" s="34" t="str">
        <f t="shared" si="8"/>
        <v>FALSE</v>
      </c>
      <c r="AG66" s="35">
        <f t="shared" si="1"/>
        <v>0</v>
      </c>
      <c r="AH66" s="36" t="str">
        <f t="shared" si="2"/>
        <v/>
      </c>
    </row>
    <row r="67" spans="1:34" ht="1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29" t="str">
        <f t="shared" si="3"/>
        <v/>
      </c>
      <c r="Q67" s="30"/>
      <c r="R67" s="31"/>
      <c r="S67" s="68"/>
      <c r="T67" s="40"/>
      <c r="U67" s="38"/>
      <c r="V67" s="74"/>
      <c r="W67" s="34" t="str">
        <f t="shared" si="4"/>
        <v>FALSE</v>
      </c>
      <c r="X67" s="34" t="str">
        <f t="shared" si="0"/>
        <v>FALSE</v>
      </c>
      <c r="Y67" s="35">
        <f t="shared" si="5"/>
        <v>0</v>
      </c>
      <c r="Z67" s="36" t="str">
        <f t="shared" si="6"/>
        <v/>
      </c>
      <c r="AA67" s="6"/>
      <c r="AB67" s="41"/>
      <c r="AC67" s="38"/>
      <c r="AD67" s="38"/>
      <c r="AE67" s="34"/>
      <c r="AF67" s="34" t="str">
        <f t="shared" si="8"/>
        <v>FALSE</v>
      </c>
      <c r="AG67" s="35">
        <f t="shared" si="1"/>
        <v>0</v>
      </c>
      <c r="AH67" s="36" t="str">
        <f t="shared" si="2"/>
        <v/>
      </c>
    </row>
    <row r="68" spans="1:34" ht="1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29" t="str">
        <f t="shared" si="3"/>
        <v/>
      </c>
      <c r="Q68" s="30"/>
      <c r="R68" s="31"/>
      <c r="S68" s="68"/>
      <c r="T68" s="40"/>
      <c r="U68" s="38"/>
      <c r="V68" s="74"/>
      <c r="W68" s="34" t="str">
        <f t="shared" si="4"/>
        <v>FALSE</v>
      </c>
      <c r="X68" s="34" t="str">
        <f t="shared" si="0"/>
        <v>FALSE</v>
      </c>
      <c r="Y68" s="35">
        <f t="shared" si="5"/>
        <v>0</v>
      </c>
      <c r="Z68" s="36" t="str">
        <f t="shared" si="6"/>
        <v/>
      </c>
      <c r="AA68" s="6"/>
      <c r="AB68" s="41"/>
      <c r="AC68" s="38"/>
      <c r="AD68" s="38"/>
      <c r="AE68" s="34"/>
      <c r="AF68" s="34" t="str">
        <f t="shared" si="8"/>
        <v>FALSE</v>
      </c>
      <c r="AG68" s="35">
        <f t="shared" si="1"/>
        <v>0</v>
      </c>
      <c r="AH68" s="36" t="str">
        <f t="shared" si="2"/>
        <v/>
      </c>
    </row>
    <row r="69" spans="1:34" ht="1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29" t="str">
        <f t="shared" si="3"/>
        <v/>
      </c>
      <c r="Q69" s="30"/>
      <c r="R69" s="31"/>
      <c r="S69" s="68"/>
      <c r="T69" s="40"/>
      <c r="U69" s="38"/>
      <c r="V69" s="74"/>
      <c r="W69" s="34" t="str">
        <f t="shared" si="4"/>
        <v>FALSE</v>
      </c>
      <c r="X69" s="34" t="str">
        <f t="shared" si="0"/>
        <v>FALSE</v>
      </c>
      <c r="Y69" s="35">
        <f t="shared" si="5"/>
        <v>0</v>
      </c>
      <c r="Z69" s="36" t="str">
        <f t="shared" si="6"/>
        <v/>
      </c>
      <c r="AA69" s="6"/>
      <c r="AB69" s="41"/>
      <c r="AC69" s="38"/>
      <c r="AD69" s="38"/>
      <c r="AE69" s="34"/>
      <c r="AF69" s="34" t="str">
        <f t="shared" si="8"/>
        <v>FALSE</v>
      </c>
      <c r="AG69" s="35">
        <f t="shared" si="1"/>
        <v>0</v>
      </c>
      <c r="AH69" s="36" t="str">
        <f t="shared" si="2"/>
        <v/>
      </c>
    </row>
    <row r="70" spans="1:34" ht="1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29" t="str">
        <f t="shared" si="3"/>
        <v/>
      </c>
      <c r="Q70" s="30"/>
      <c r="R70" s="31"/>
      <c r="S70" s="68"/>
      <c r="T70" s="40"/>
      <c r="U70" s="38"/>
      <c r="V70" s="74"/>
      <c r="W70" s="34" t="str">
        <f t="shared" si="4"/>
        <v>FALSE</v>
      </c>
      <c r="X70" s="34" t="str">
        <f t="shared" si="0"/>
        <v>FALSE</v>
      </c>
      <c r="Y70" s="35">
        <f t="shared" si="5"/>
        <v>0</v>
      </c>
      <c r="Z70" s="36" t="str">
        <f t="shared" si="6"/>
        <v/>
      </c>
      <c r="AA70" s="6"/>
      <c r="AB70" s="41"/>
      <c r="AC70" s="38"/>
      <c r="AD70" s="38"/>
      <c r="AE70" s="34"/>
      <c r="AF70" s="34" t="str">
        <f t="shared" si="8"/>
        <v>FALSE</v>
      </c>
      <c r="AG70" s="35">
        <f t="shared" si="1"/>
        <v>0</v>
      </c>
      <c r="AH70" s="36" t="str">
        <f t="shared" si="2"/>
        <v/>
      </c>
    </row>
    <row r="71" spans="1:34" ht="1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29" t="str">
        <f t="shared" si="3"/>
        <v/>
      </c>
      <c r="Q71" s="30"/>
      <c r="R71" s="31"/>
      <c r="S71" s="68"/>
      <c r="T71" s="40"/>
      <c r="U71" s="38"/>
      <c r="V71" s="74"/>
      <c r="W71" s="34" t="str">
        <f t="shared" si="4"/>
        <v>FALSE</v>
      </c>
      <c r="X71" s="34" t="str">
        <f t="shared" si="0"/>
        <v>FALSE</v>
      </c>
      <c r="Y71" s="35">
        <f t="shared" si="5"/>
        <v>0</v>
      </c>
      <c r="Z71" s="36" t="str">
        <f t="shared" si="6"/>
        <v/>
      </c>
      <c r="AA71" s="6"/>
      <c r="AB71" s="41"/>
      <c r="AC71" s="38"/>
      <c r="AD71" s="38"/>
      <c r="AE71" s="34"/>
      <c r="AF71" s="34" t="str">
        <f t="shared" si="8"/>
        <v>FALSE</v>
      </c>
      <c r="AG71" s="35">
        <f t="shared" si="1"/>
        <v>0</v>
      </c>
      <c r="AH71" s="36" t="str">
        <f t="shared" si="2"/>
        <v/>
      </c>
    </row>
    <row r="72" spans="1:34" ht="1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29" t="str">
        <f t="shared" si="3"/>
        <v/>
      </c>
      <c r="Q72" s="30"/>
      <c r="R72" s="31"/>
      <c r="S72" s="68"/>
      <c r="T72" s="40"/>
      <c r="U72" s="38"/>
      <c r="V72" s="74"/>
      <c r="W72" s="34" t="str">
        <f t="shared" si="4"/>
        <v>FALSE</v>
      </c>
      <c r="X72" s="34" t="str">
        <f t="shared" si="0"/>
        <v>FALSE</v>
      </c>
      <c r="Y72" s="35">
        <f t="shared" si="5"/>
        <v>0</v>
      </c>
      <c r="Z72" s="36" t="str">
        <f t="shared" si="6"/>
        <v/>
      </c>
      <c r="AA72" s="6"/>
      <c r="AB72" s="41"/>
      <c r="AC72" s="38"/>
      <c r="AD72" s="38"/>
      <c r="AE72" s="34"/>
      <c r="AF72" s="34" t="str">
        <f t="shared" si="8"/>
        <v>FALSE</v>
      </c>
      <c r="AG72" s="35">
        <f t="shared" si="1"/>
        <v>0</v>
      </c>
      <c r="AH72" s="36" t="str">
        <f t="shared" si="2"/>
        <v/>
      </c>
    </row>
    <row r="73" spans="1:34" ht="1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29" t="str">
        <f t="shared" si="3"/>
        <v/>
      </c>
      <c r="Q73" s="30"/>
      <c r="R73" s="31"/>
      <c r="S73" s="68"/>
      <c r="T73" s="40"/>
      <c r="U73" s="38"/>
      <c r="V73" s="74"/>
      <c r="W73" s="34" t="str">
        <f t="shared" si="4"/>
        <v>FALSE</v>
      </c>
      <c r="X73" s="34" t="str">
        <f t="shared" si="0"/>
        <v>FALSE</v>
      </c>
      <c r="Y73" s="35">
        <f t="shared" si="5"/>
        <v>0</v>
      </c>
      <c r="Z73" s="36" t="str">
        <f t="shared" si="6"/>
        <v/>
      </c>
      <c r="AA73" s="6"/>
      <c r="AB73" s="41"/>
      <c r="AC73" s="38"/>
      <c r="AD73" s="38"/>
      <c r="AE73" s="34"/>
      <c r="AF73" s="34" t="str">
        <f t="shared" si="8"/>
        <v>FALSE</v>
      </c>
      <c r="AG73" s="35">
        <f t="shared" si="1"/>
        <v>0</v>
      </c>
      <c r="AH73" s="36" t="str">
        <f t="shared" si="2"/>
        <v/>
      </c>
    </row>
    <row r="74" spans="1:34" ht="1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29" t="str">
        <f t="shared" si="3"/>
        <v/>
      </c>
      <c r="Q74" s="30"/>
      <c r="R74" s="31"/>
      <c r="S74" s="68"/>
      <c r="T74" s="40"/>
      <c r="U74" s="38"/>
      <c r="V74" s="74"/>
      <c r="W74" s="34" t="str">
        <f t="shared" si="4"/>
        <v>FALSE</v>
      </c>
      <c r="X74" s="34" t="str">
        <f t="shared" si="0"/>
        <v>FALSE</v>
      </c>
      <c r="Y74" s="35">
        <f t="shared" si="5"/>
        <v>0</v>
      </c>
      <c r="Z74" s="36" t="str">
        <f t="shared" si="6"/>
        <v/>
      </c>
      <c r="AA74" s="6"/>
      <c r="AB74" s="41"/>
      <c r="AC74" s="38"/>
      <c r="AD74" s="38"/>
      <c r="AE74" s="34"/>
      <c r="AF74" s="34" t="str">
        <f t="shared" si="8"/>
        <v>FALSE</v>
      </c>
      <c r="AG74" s="35">
        <f t="shared" si="1"/>
        <v>0</v>
      </c>
      <c r="AH74" s="36" t="str">
        <f t="shared" si="2"/>
        <v/>
      </c>
    </row>
    <row r="75" spans="1:34" ht="1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29" t="str">
        <f t="shared" si="3"/>
        <v/>
      </c>
      <c r="Q75" s="30"/>
      <c r="R75" s="31"/>
      <c r="S75" s="68"/>
      <c r="T75" s="40"/>
      <c r="U75" s="38"/>
      <c r="V75" s="74"/>
      <c r="W75" s="34" t="str">
        <f t="shared" si="4"/>
        <v>FALSE</v>
      </c>
      <c r="X75" s="34" t="str">
        <f t="shared" si="0"/>
        <v>FALSE</v>
      </c>
      <c r="Y75" s="35">
        <f t="shared" si="5"/>
        <v>0</v>
      </c>
      <c r="Z75" s="36" t="str">
        <f t="shared" si="6"/>
        <v/>
      </c>
      <c r="AA75" s="6"/>
      <c r="AB75" s="41"/>
      <c r="AC75" s="38"/>
      <c r="AD75" s="38"/>
      <c r="AE75" s="34"/>
      <c r="AF75" s="34" t="str">
        <f t="shared" si="8"/>
        <v>FALSE</v>
      </c>
      <c r="AG75" s="35">
        <f t="shared" si="1"/>
        <v>0</v>
      </c>
      <c r="AH75" s="36" t="str">
        <f t="shared" si="2"/>
        <v/>
      </c>
    </row>
    <row r="76" spans="1:34" ht="1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29" t="str">
        <f t="shared" si="3"/>
        <v/>
      </c>
      <c r="Q76" s="30"/>
      <c r="R76" s="31"/>
      <c r="S76" s="68"/>
      <c r="T76" s="40"/>
      <c r="U76" s="38"/>
      <c r="V76" s="74"/>
      <c r="W76" s="34" t="str">
        <f t="shared" si="4"/>
        <v>FALSE</v>
      </c>
      <c r="X76" s="34" t="str">
        <f t="shared" si="0"/>
        <v>FALSE</v>
      </c>
      <c r="Y76" s="35">
        <f t="shared" si="5"/>
        <v>0</v>
      </c>
      <c r="Z76" s="36" t="str">
        <f t="shared" si="6"/>
        <v/>
      </c>
      <c r="AA76" s="6"/>
      <c r="AB76" s="41"/>
      <c r="AC76" s="38"/>
      <c r="AD76" s="38"/>
      <c r="AE76" s="34"/>
      <c r="AF76" s="34" t="str">
        <f t="shared" si="8"/>
        <v>FALSE</v>
      </c>
      <c r="AG76" s="35">
        <f t="shared" si="1"/>
        <v>0</v>
      </c>
      <c r="AH76" s="36" t="str">
        <f t="shared" si="2"/>
        <v/>
      </c>
    </row>
    <row r="77" spans="1:34" ht="1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29" t="str">
        <f t="shared" si="3"/>
        <v/>
      </c>
      <c r="Q77" s="30"/>
      <c r="R77" s="31"/>
      <c r="S77" s="68"/>
      <c r="T77" s="40"/>
      <c r="U77" s="38"/>
      <c r="V77" s="74"/>
      <c r="W77" s="34" t="str">
        <f t="shared" si="4"/>
        <v>FALSE</v>
      </c>
      <c r="X77" s="34" t="str">
        <f t="shared" si="0"/>
        <v>FALSE</v>
      </c>
      <c r="Y77" s="35">
        <f t="shared" si="5"/>
        <v>0</v>
      </c>
      <c r="Z77" s="36" t="str">
        <f t="shared" si="6"/>
        <v/>
      </c>
      <c r="AA77" s="6"/>
      <c r="AB77" s="41"/>
      <c r="AC77" s="38"/>
      <c r="AD77" s="38"/>
      <c r="AE77" s="34"/>
      <c r="AF77" s="34" t="str">
        <f t="shared" si="8"/>
        <v>FALSE</v>
      </c>
      <c r="AG77" s="35">
        <f t="shared" si="1"/>
        <v>0</v>
      </c>
      <c r="AH77" s="36" t="str">
        <f t="shared" si="2"/>
        <v/>
      </c>
    </row>
    <row r="78" spans="1:34" ht="1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29" t="str">
        <f t="shared" si="3"/>
        <v/>
      </c>
      <c r="Q78" s="30"/>
      <c r="R78" s="31"/>
      <c r="S78" s="68"/>
      <c r="T78" s="40"/>
      <c r="U78" s="38"/>
      <c r="V78" s="74"/>
      <c r="W78" s="34" t="str">
        <f t="shared" si="4"/>
        <v>FALSE</v>
      </c>
      <c r="X78" s="34" t="str">
        <f t="shared" ref="X78:X120" si="9">IF(U78="","FALSE",ABS((U78-AVERAGE($U$14:$U$120))/_xlfn.STDEV.S($U$14:$U$104)))</f>
        <v>FALSE</v>
      </c>
      <c r="Y78" s="35">
        <f t="shared" si="5"/>
        <v>0</v>
      </c>
      <c r="Z78" s="36" t="str">
        <f t="shared" si="6"/>
        <v/>
      </c>
      <c r="AA78" s="6"/>
      <c r="AB78" s="41"/>
      <c r="AC78" s="38"/>
      <c r="AD78" s="38"/>
      <c r="AE78" s="34"/>
      <c r="AF78" s="34" t="str">
        <f t="shared" si="8"/>
        <v>FALSE</v>
      </c>
      <c r="AG78" s="35">
        <f t="shared" ref="AG78:AG120" si="10">IF(OR(AC78&gt;$AG$11,AC78&lt;$AF$11),AC78,"")</f>
        <v>0</v>
      </c>
      <c r="AH78" s="36" t="str">
        <f t="shared" ref="AH78:AH120" si="11">IF(AC78="","",AC78/AB78)</f>
        <v/>
      </c>
    </row>
    <row r="79" spans="1:34" ht="1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29" t="str">
        <f t="shared" ref="P79:P120" si="12">IF(R79&lt;&gt;"",P78+1,"")</f>
        <v/>
      </c>
      <c r="Q79" s="30"/>
      <c r="R79" s="31"/>
      <c r="S79" s="68"/>
      <c r="T79" s="40"/>
      <c r="U79" s="38"/>
      <c r="V79" s="74"/>
      <c r="W79" s="34" t="str">
        <f t="shared" ref="W79:W120" si="13">IF(X79&gt;3,"FALSE",U79)</f>
        <v>FALSE</v>
      </c>
      <c r="X79" s="34" t="str">
        <f t="shared" si="9"/>
        <v>FALSE</v>
      </c>
      <c r="Y79" s="35">
        <f t="shared" ref="Y79:Y120" si="14">IF(OR(U79&gt;$Y$11,U79&lt;$X$11),U79,"")</f>
        <v>0</v>
      </c>
      <c r="Z79" s="36" t="str">
        <f t="shared" ref="Z79:Z120" si="15">IF(U79="","",U79/T79)</f>
        <v/>
      </c>
      <c r="AA79" s="6"/>
      <c r="AB79" s="41"/>
      <c r="AC79" s="38"/>
      <c r="AD79" s="38"/>
      <c r="AE79" s="34"/>
      <c r="AF79" s="34" t="str">
        <f t="shared" ref="AF79:AF120" si="16">IF(AC79="","FALSE",ABS((AC79-AVERAGE($AC$14:$AC$120))/_xlfn.STDEV.S($AC$14:$AC$104)))</f>
        <v>FALSE</v>
      </c>
      <c r="AG79" s="35">
        <f t="shared" si="10"/>
        <v>0</v>
      </c>
      <c r="AH79" s="36" t="str">
        <f t="shared" si="11"/>
        <v/>
      </c>
    </row>
    <row r="80" spans="1:34" ht="1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29" t="str">
        <f t="shared" si="12"/>
        <v/>
      </c>
      <c r="Q80" s="30"/>
      <c r="R80" s="31"/>
      <c r="S80" s="68"/>
      <c r="T80" s="40"/>
      <c r="U80" s="38"/>
      <c r="V80" s="74"/>
      <c r="W80" s="34" t="str">
        <f t="shared" si="13"/>
        <v>FALSE</v>
      </c>
      <c r="X80" s="34" t="str">
        <f t="shared" si="9"/>
        <v>FALSE</v>
      </c>
      <c r="Y80" s="35">
        <f t="shared" si="14"/>
        <v>0</v>
      </c>
      <c r="Z80" s="36" t="str">
        <f t="shared" si="15"/>
        <v/>
      </c>
      <c r="AA80" s="6"/>
      <c r="AB80" s="41"/>
      <c r="AC80" s="38"/>
      <c r="AD80" s="38"/>
      <c r="AE80" s="34"/>
      <c r="AF80" s="34" t="str">
        <f t="shared" si="16"/>
        <v>FALSE</v>
      </c>
      <c r="AG80" s="35">
        <f t="shared" si="10"/>
        <v>0</v>
      </c>
      <c r="AH80" s="36" t="str">
        <f t="shared" si="11"/>
        <v/>
      </c>
    </row>
    <row r="81" spans="1:34" ht="1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29" t="str">
        <f t="shared" si="12"/>
        <v/>
      </c>
      <c r="Q81" s="30"/>
      <c r="R81" s="31"/>
      <c r="S81" s="68"/>
      <c r="T81" s="40"/>
      <c r="U81" s="38"/>
      <c r="V81" s="74"/>
      <c r="W81" s="34" t="str">
        <f t="shared" si="13"/>
        <v>FALSE</v>
      </c>
      <c r="X81" s="34" t="str">
        <f t="shared" si="9"/>
        <v>FALSE</v>
      </c>
      <c r="Y81" s="35">
        <f t="shared" si="14"/>
        <v>0</v>
      </c>
      <c r="Z81" s="36" t="str">
        <f t="shared" si="15"/>
        <v/>
      </c>
      <c r="AA81" s="6"/>
      <c r="AB81" s="41"/>
      <c r="AC81" s="38"/>
      <c r="AD81" s="38"/>
      <c r="AE81" s="34"/>
      <c r="AF81" s="34" t="str">
        <f t="shared" si="16"/>
        <v>FALSE</v>
      </c>
      <c r="AG81" s="35">
        <f t="shared" si="10"/>
        <v>0</v>
      </c>
      <c r="AH81" s="36" t="str">
        <f t="shared" si="11"/>
        <v/>
      </c>
    </row>
    <row r="82" spans="1:34" ht="1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29" t="str">
        <f t="shared" si="12"/>
        <v/>
      </c>
      <c r="Q82" s="30"/>
      <c r="R82" s="31"/>
      <c r="S82" s="68"/>
      <c r="T82" s="40"/>
      <c r="U82" s="38"/>
      <c r="V82" s="74"/>
      <c r="W82" s="34" t="str">
        <f t="shared" si="13"/>
        <v>FALSE</v>
      </c>
      <c r="X82" s="34" t="str">
        <f t="shared" si="9"/>
        <v>FALSE</v>
      </c>
      <c r="Y82" s="35">
        <f t="shared" si="14"/>
        <v>0</v>
      </c>
      <c r="Z82" s="36" t="str">
        <f t="shared" si="15"/>
        <v/>
      </c>
      <c r="AA82" s="6"/>
      <c r="AB82" s="41"/>
      <c r="AC82" s="38"/>
      <c r="AD82" s="38"/>
      <c r="AE82" s="34"/>
      <c r="AF82" s="34" t="str">
        <f t="shared" si="16"/>
        <v>FALSE</v>
      </c>
      <c r="AG82" s="35">
        <f t="shared" si="10"/>
        <v>0</v>
      </c>
      <c r="AH82" s="36" t="str">
        <f t="shared" si="11"/>
        <v/>
      </c>
    </row>
    <row r="83" spans="1:34" ht="1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29" t="str">
        <f t="shared" si="12"/>
        <v/>
      </c>
      <c r="Q83" s="30"/>
      <c r="R83" s="31"/>
      <c r="S83" s="68"/>
      <c r="T83" s="40"/>
      <c r="U83" s="38"/>
      <c r="V83" s="74"/>
      <c r="W83" s="34" t="str">
        <f t="shared" si="13"/>
        <v>FALSE</v>
      </c>
      <c r="X83" s="34" t="str">
        <f t="shared" si="9"/>
        <v>FALSE</v>
      </c>
      <c r="Y83" s="35">
        <f t="shared" si="14"/>
        <v>0</v>
      </c>
      <c r="Z83" s="36" t="str">
        <f t="shared" si="15"/>
        <v/>
      </c>
      <c r="AA83" s="6"/>
      <c r="AB83" s="41"/>
      <c r="AC83" s="38"/>
      <c r="AD83" s="38"/>
      <c r="AE83" s="34"/>
      <c r="AF83" s="34" t="str">
        <f t="shared" si="16"/>
        <v>FALSE</v>
      </c>
      <c r="AG83" s="35">
        <f t="shared" si="10"/>
        <v>0</v>
      </c>
      <c r="AH83" s="36" t="str">
        <f t="shared" si="11"/>
        <v/>
      </c>
    </row>
    <row r="84" spans="1:34" ht="1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29" t="str">
        <f t="shared" si="12"/>
        <v/>
      </c>
      <c r="Q84" s="30"/>
      <c r="R84" s="31"/>
      <c r="S84" s="68"/>
      <c r="T84" s="40"/>
      <c r="U84" s="38"/>
      <c r="V84" s="74"/>
      <c r="W84" s="34" t="str">
        <f t="shared" si="13"/>
        <v>FALSE</v>
      </c>
      <c r="X84" s="34" t="str">
        <f t="shared" si="9"/>
        <v>FALSE</v>
      </c>
      <c r="Y84" s="35">
        <f t="shared" si="14"/>
        <v>0</v>
      </c>
      <c r="Z84" s="36" t="str">
        <f t="shared" si="15"/>
        <v/>
      </c>
      <c r="AA84" s="6"/>
      <c r="AB84" s="41"/>
      <c r="AC84" s="38"/>
      <c r="AD84" s="38"/>
      <c r="AE84" s="34"/>
      <c r="AF84" s="34" t="str">
        <f t="shared" si="16"/>
        <v>FALSE</v>
      </c>
      <c r="AG84" s="35">
        <f t="shared" si="10"/>
        <v>0</v>
      </c>
      <c r="AH84" s="36" t="str">
        <f t="shared" si="11"/>
        <v/>
      </c>
    </row>
    <row r="85" spans="1:34" ht="1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29" t="str">
        <f t="shared" si="12"/>
        <v/>
      </c>
      <c r="Q85" s="30"/>
      <c r="R85" s="31"/>
      <c r="S85" s="68"/>
      <c r="T85" s="40"/>
      <c r="U85" s="38"/>
      <c r="V85" s="74"/>
      <c r="W85" s="34" t="str">
        <f t="shared" si="13"/>
        <v>FALSE</v>
      </c>
      <c r="X85" s="34" t="str">
        <f t="shared" si="9"/>
        <v>FALSE</v>
      </c>
      <c r="Y85" s="35">
        <f t="shared" si="14"/>
        <v>0</v>
      </c>
      <c r="Z85" s="36" t="str">
        <f t="shared" si="15"/>
        <v/>
      </c>
      <c r="AA85" s="6"/>
      <c r="AB85" s="41"/>
      <c r="AC85" s="38"/>
      <c r="AD85" s="38"/>
      <c r="AE85" s="34"/>
      <c r="AF85" s="34" t="str">
        <f t="shared" si="16"/>
        <v>FALSE</v>
      </c>
      <c r="AG85" s="35">
        <f t="shared" si="10"/>
        <v>0</v>
      </c>
      <c r="AH85" s="36" t="str">
        <f t="shared" si="11"/>
        <v/>
      </c>
    </row>
    <row r="86" spans="1:34" ht="1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29" t="str">
        <f t="shared" si="12"/>
        <v/>
      </c>
      <c r="Q86" s="30"/>
      <c r="R86" s="31"/>
      <c r="S86" s="68"/>
      <c r="T86" s="40"/>
      <c r="U86" s="38"/>
      <c r="V86" s="74"/>
      <c r="W86" s="34" t="str">
        <f t="shared" si="13"/>
        <v>FALSE</v>
      </c>
      <c r="X86" s="34" t="str">
        <f t="shared" si="9"/>
        <v>FALSE</v>
      </c>
      <c r="Y86" s="35">
        <f t="shared" si="14"/>
        <v>0</v>
      </c>
      <c r="Z86" s="36" t="str">
        <f t="shared" si="15"/>
        <v/>
      </c>
      <c r="AA86" s="6"/>
      <c r="AB86" s="41"/>
      <c r="AC86" s="38"/>
      <c r="AD86" s="38"/>
      <c r="AE86" s="34"/>
      <c r="AF86" s="34" t="str">
        <f t="shared" si="16"/>
        <v>FALSE</v>
      </c>
      <c r="AG86" s="35">
        <f t="shared" si="10"/>
        <v>0</v>
      </c>
      <c r="AH86" s="36" t="str">
        <f t="shared" si="11"/>
        <v/>
      </c>
    </row>
    <row r="87" spans="1:34" ht="1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29" t="str">
        <f t="shared" si="12"/>
        <v/>
      </c>
      <c r="Q87" s="30"/>
      <c r="R87" s="31"/>
      <c r="S87" s="68"/>
      <c r="T87" s="40"/>
      <c r="U87" s="38"/>
      <c r="V87" s="74"/>
      <c r="W87" s="34" t="str">
        <f t="shared" si="13"/>
        <v>FALSE</v>
      </c>
      <c r="X87" s="34" t="str">
        <f t="shared" si="9"/>
        <v>FALSE</v>
      </c>
      <c r="Y87" s="35">
        <f t="shared" si="14"/>
        <v>0</v>
      </c>
      <c r="Z87" s="36" t="str">
        <f t="shared" si="15"/>
        <v/>
      </c>
      <c r="AA87" s="6"/>
      <c r="AB87" s="41"/>
      <c r="AC87" s="38"/>
      <c r="AD87" s="38"/>
      <c r="AE87" s="34"/>
      <c r="AF87" s="34" t="str">
        <f t="shared" si="16"/>
        <v>FALSE</v>
      </c>
      <c r="AG87" s="35">
        <f t="shared" si="10"/>
        <v>0</v>
      </c>
      <c r="AH87" s="36" t="str">
        <f t="shared" si="11"/>
        <v/>
      </c>
    </row>
    <row r="88" spans="1:34" ht="1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29" t="str">
        <f t="shared" si="12"/>
        <v/>
      </c>
      <c r="Q88" s="30"/>
      <c r="R88" s="31"/>
      <c r="S88" s="68"/>
      <c r="T88" s="40"/>
      <c r="U88" s="38"/>
      <c r="V88" s="74"/>
      <c r="W88" s="34" t="str">
        <f t="shared" si="13"/>
        <v>FALSE</v>
      </c>
      <c r="X88" s="34" t="str">
        <f t="shared" si="9"/>
        <v>FALSE</v>
      </c>
      <c r="Y88" s="35">
        <f t="shared" si="14"/>
        <v>0</v>
      </c>
      <c r="Z88" s="36" t="str">
        <f t="shared" si="15"/>
        <v/>
      </c>
      <c r="AA88" s="6"/>
      <c r="AB88" s="41"/>
      <c r="AC88" s="38"/>
      <c r="AD88" s="38"/>
      <c r="AE88" s="34"/>
      <c r="AF88" s="34" t="str">
        <f t="shared" si="16"/>
        <v>FALSE</v>
      </c>
      <c r="AG88" s="35">
        <f t="shared" si="10"/>
        <v>0</v>
      </c>
      <c r="AH88" s="36" t="str">
        <f t="shared" si="11"/>
        <v/>
      </c>
    </row>
    <row r="89" spans="1:34" ht="1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29" t="str">
        <f t="shared" si="12"/>
        <v/>
      </c>
      <c r="Q89" s="30"/>
      <c r="R89" s="31"/>
      <c r="S89" s="68"/>
      <c r="T89" s="40"/>
      <c r="U89" s="38"/>
      <c r="V89" s="74"/>
      <c r="W89" s="34" t="str">
        <f t="shared" si="13"/>
        <v>FALSE</v>
      </c>
      <c r="X89" s="34" t="str">
        <f t="shared" si="9"/>
        <v>FALSE</v>
      </c>
      <c r="Y89" s="35">
        <f t="shared" si="14"/>
        <v>0</v>
      </c>
      <c r="Z89" s="36" t="str">
        <f t="shared" si="15"/>
        <v/>
      </c>
      <c r="AA89" s="6"/>
      <c r="AB89" s="41"/>
      <c r="AC89" s="38"/>
      <c r="AD89" s="38"/>
      <c r="AE89" s="34"/>
      <c r="AF89" s="34" t="str">
        <f t="shared" si="16"/>
        <v>FALSE</v>
      </c>
      <c r="AG89" s="35">
        <f t="shared" si="10"/>
        <v>0</v>
      </c>
      <c r="AH89" s="36" t="str">
        <f t="shared" si="11"/>
        <v/>
      </c>
    </row>
    <row r="90" spans="1:34" ht="1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29" t="str">
        <f t="shared" si="12"/>
        <v/>
      </c>
      <c r="Q90" s="30"/>
      <c r="R90" s="31"/>
      <c r="S90" s="68"/>
      <c r="T90" s="40"/>
      <c r="U90" s="38"/>
      <c r="V90" s="74"/>
      <c r="W90" s="34" t="str">
        <f t="shared" si="13"/>
        <v>FALSE</v>
      </c>
      <c r="X90" s="34" t="str">
        <f t="shared" si="9"/>
        <v>FALSE</v>
      </c>
      <c r="Y90" s="35">
        <f t="shared" si="14"/>
        <v>0</v>
      </c>
      <c r="Z90" s="36" t="str">
        <f t="shared" si="15"/>
        <v/>
      </c>
      <c r="AA90" s="6"/>
      <c r="AB90" s="41"/>
      <c r="AC90" s="38"/>
      <c r="AD90" s="38"/>
      <c r="AE90" s="34"/>
      <c r="AF90" s="34" t="str">
        <f t="shared" si="16"/>
        <v>FALSE</v>
      </c>
      <c r="AG90" s="35">
        <f t="shared" si="10"/>
        <v>0</v>
      </c>
      <c r="AH90" s="36" t="str">
        <f t="shared" si="11"/>
        <v/>
      </c>
    </row>
    <row r="91" spans="1:34" ht="1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29" t="str">
        <f t="shared" si="12"/>
        <v/>
      </c>
      <c r="Q91" s="30"/>
      <c r="R91" s="31"/>
      <c r="S91" s="68"/>
      <c r="T91" s="40"/>
      <c r="U91" s="38"/>
      <c r="V91" s="74"/>
      <c r="W91" s="34" t="str">
        <f t="shared" si="13"/>
        <v>FALSE</v>
      </c>
      <c r="X91" s="34" t="str">
        <f t="shared" si="9"/>
        <v>FALSE</v>
      </c>
      <c r="Y91" s="35">
        <f t="shared" si="14"/>
        <v>0</v>
      </c>
      <c r="Z91" s="36" t="str">
        <f t="shared" si="15"/>
        <v/>
      </c>
      <c r="AA91" s="6"/>
      <c r="AB91" s="41"/>
      <c r="AC91" s="38"/>
      <c r="AD91" s="38"/>
      <c r="AE91" s="34"/>
      <c r="AF91" s="34" t="str">
        <f t="shared" si="16"/>
        <v>FALSE</v>
      </c>
      <c r="AG91" s="35">
        <f t="shared" si="10"/>
        <v>0</v>
      </c>
      <c r="AH91" s="36" t="str">
        <f t="shared" si="11"/>
        <v/>
      </c>
    </row>
    <row r="92" spans="1:34" ht="1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29" t="str">
        <f t="shared" si="12"/>
        <v/>
      </c>
      <c r="Q92" s="30"/>
      <c r="R92" s="31"/>
      <c r="S92" s="68"/>
      <c r="T92" s="40"/>
      <c r="U92" s="38"/>
      <c r="V92" s="74"/>
      <c r="W92" s="34" t="str">
        <f t="shared" si="13"/>
        <v>FALSE</v>
      </c>
      <c r="X92" s="34" t="str">
        <f t="shared" si="9"/>
        <v>FALSE</v>
      </c>
      <c r="Y92" s="35">
        <f t="shared" si="14"/>
        <v>0</v>
      </c>
      <c r="Z92" s="36" t="str">
        <f t="shared" si="15"/>
        <v/>
      </c>
      <c r="AA92" s="6"/>
      <c r="AB92" s="41"/>
      <c r="AC92" s="38"/>
      <c r="AD92" s="38"/>
      <c r="AE92" s="34"/>
      <c r="AF92" s="34" t="str">
        <f t="shared" si="16"/>
        <v>FALSE</v>
      </c>
      <c r="AG92" s="35">
        <f t="shared" si="10"/>
        <v>0</v>
      </c>
      <c r="AH92" s="36" t="str">
        <f t="shared" si="11"/>
        <v/>
      </c>
    </row>
    <row r="93" spans="1:34" ht="1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29" t="str">
        <f t="shared" si="12"/>
        <v/>
      </c>
      <c r="Q93" s="30"/>
      <c r="R93" s="31"/>
      <c r="S93" s="68"/>
      <c r="T93" s="40"/>
      <c r="U93" s="38"/>
      <c r="V93" s="74"/>
      <c r="W93" s="34" t="str">
        <f t="shared" si="13"/>
        <v>FALSE</v>
      </c>
      <c r="X93" s="34" t="str">
        <f t="shared" si="9"/>
        <v>FALSE</v>
      </c>
      <c r="Y93" s="35">
        <f t="shared" si="14"/>
        <v>0</v>
      </c>
      <c r="Z93" s="36" t="str">
        <f t="shared" si="15"/>
        <v/>
      </c>
      <c r="AA93" s="6"/>
      <c r="AB93" s="41"/>
      <c r="AC93" s="38"/>
      <c r="AD93" s="38"/>
      <c r="AE93" s="34"/>
      <c r="AF93" s="34" t="str">
        <f t="shared" si="16"/>
        <v>FALSE</v>
      </c>
      <c r="AG93" s="35">
        <f t="shared" si="10"/>
        <v>0</v>
      </c>
      <c r="AH93" s="36" t="str">
        <f t="shared" si="11"/>
        <v/>
      </c>
    </row>
    <row r="94" spans="1:34" ht="1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29" t="str">
        <f t="shared" si="12"/>
        <v/>
      </c>
      <c r="Q94" s="30"/>
      <c r="R94" s="31"/>
      <c r="S94" s="68"/>
      <c r="T94" s="40"/>
      <c r="U94" s="38"/>
      <c r="V94" s="74"/>
      <c r="W94" s="34" t="str">
        <f t="shared" si="13"/>
        <v>FALSE</v>
      </c>
      <c r="X94" s="34" t="str">
        <f t="shared" si="9"/>
        <v>FALSE</v>
      </c>
      <c r="Y94" s="35">
        <f t="shared" si="14"/>
        <v>0</v>
      </c>
      <c r="Z94" s="36" t="str">
        <f t="shared" si="15"/>
        <v/>
      </c>
      <c r="AA94" s="6"/>
      <c r="AB94" s="41"/>
      <c r="AC94" s="38"/>
      <c r="AD94" s="38"/>
      <c r="AE94" s="34"/>
      <c r="AF94" s="34" t="str">
        <f t="shared" si="16"/>
        <v>FALSE</v>
      </c>
      <c r="AG94" s="35">
        <f t="shared" si="10"/>
        <v>0</v>
      </c>
      <c r="AH94" s="36" t="str">
        <f t="shared" si="11"/>
        <v/>
      </c>
    </row>
    <row r="95" spans="1:34" ht="1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29" t="str">
        <f t="shared" si="12"/>
        <v/>
      </c>
      <c r="Q95" s="30"/>
      <c r="R95" s="31"/>
      <c r="S95" s="68"/>
      <c r="T95" s="40"/>
      <c r="U95" s="38"/>
      <c r="V95" s="74"/>
      <c r="W95" s="34" t="str">
        <f t="shared" si="13"/>
        <v>FALSE</v>
      </c>
      <c r="X95" s="34" t="str">
        <f t="shared" si="9"/>
        <v>FALSE</v>
      </c>
      <c r="Y95" s="35">
        <f t="shared" si="14"/>
        <v>0</v>
      </c>
      <c r="Z95" s="36" t="str">
        <f t="shared" si="15"/>
        <v/>
      </c>
      <c r="AA95" s="6"/>
      <c r="AB95" s="41"/>
      <c r="AC95" s="38"/>
      <c r="AD95" s="38"/>
      <c r="AE95" s="34"/>
      <c r="AF95" s="34" t="str">
        <f t="shared" si="16"/>
        <v>FALSE</v>
      </c>
      <c r="AG95" s="35">
        <f t="shared" si="10"/>
        <v>0</v>
      </c>
      <c r="AH95" s="36" t="str">
        <f t="shared" si="11"/>
        <v/>
      </c>
    </row>
    <row r="96" spans="1:34" ht="1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29" t="str">
        <f t="shared" si="12"/>
        <v/>
      </c>
      <c r="Q96" s="30"/>
      <c r="R96" s="31"/>
      <c r="S96" s="68"/>
      <c r="T96" s="40"/>
      <c r="U96" s="38"/>
      <c r="V96" s="74"/>
      <c r="W96" s="34" t="str">
        <f t="shared" si="13"/>
        <v>FALSE</v>
      </c>
      <c r="X96" s="34" t="str">
        <f t="shared" si="9"/>
        <v>FALSE</v>
      </c>
      <c r="Y96" s="35">
        <f t="shared" si="14"/>
        <v>0</v>
      </c>
      <c r="Z96" s="36" t="str">
        <f t="shared" si="15"/>
        <v/>
      </c>
      <c r="AA96" s="6"/>
      <c r="AB96" s="41"/>
      <c r="AC96" s="38"/>
      <c r="AD96" s="38"/>
      <c r="AE96" s="34"/>
      <c r="AF96" s="34" t="str">
        <f t="shared" si="16"/>
        <v>FALSE</v>
      </c>
      <c r="AG96" s="35">
        <f t="shared" si="10"/>
        <v>0</v>
      </c>
      <c r="AH96" s="36" t="str">
        <f t="shared" si="11"/>
        <v/>
      </c>
    </row>
    <row r="97" spans="1:34" ht="1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29" t="str">
        <f t="shared" si="12"/>
        <v/>
      </c>
      <c r="Q97" s="30"/>
      <c r="R97" s="31"/>
      <c r="S97" s="68"/>
      <c r="T97" s="40"/>
      <c r="U97" s="38"/>
      <c r="V97" s="74"/>
      <c r="W97" s="34" t="str">
        <f t="shared" si="13"/>
        <v>FALSE</v>
      </c>
      <c r="X97" s="34" t="str">
        <f t="shared" si="9"/>
        <v>FALSE</v>
      </c>
      <c r="Y97" s="35">
        <f t="shared" si="14"/>
        <v>0</v>
      </c>
      <c r="Z97" s="36" t="str">
        <f t="shared" si="15"/>
        <v/>
      </c>
      <c r="AA97" s="6"/>
      <c r="AB97" s="41"/>
      <c r="AC97" s="38"/>
      <c r="AD97" s="38"/>
      <c r="AE97" s="34"/>
      <c r="AF97" s="34" t="str">
        <f t="shared" si="16"/>
        <v>FALSE</v>
      </c>
      <c r="AG97" s="35">
        <f t="shared" si="10"/>
        <v>0</v>
      </c>
      <c r="AH97" s="36" t="str">
        <f t="shared" si="11"/>
        <v/>
      </c>
    </row>
    <row r="98" spans="1:34" ht="1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29" t="str">
        <f t="shared" si="12"/>
        <v/>
      </c>
      <c r="Q98" s="30"/>
      <c r="R98" s="31"/>
      <c r="S98" s="68"/>
      <c r="T98" s="40"/>
      <c r="U98" s="38"/>
      <c r="V98" s="74"/>
      <c r="W98" s="34" t="str">
        <f t="shared" si="13"/>
        <v>FALSE</v>
      </c>
      <c r="X98" s="34" t="str">
        <f t="shared" si="9"/>
        <v>FALSE</v>
      </c>
      <c r="Y98" s="35">
        <f t="shared" si="14"/>
        <v>0</v>
      </c>
      <c r="Z98" s="36" t="str">
        <f t="shared" si="15"/>
        <v/>
      </c>
      <c r="AA98" s="6"/>
      <c r="AB98" s="41"/>
      <c r="AC98" s="38"/>
      <c r="AD98" s="38"/>
      <c r="AE98" s="34"/>
      <c r="AF98" s="34" t="str">
        <f t="shared" si="16"/>
        <v>FALSE</v>
      </c>
      <c r="AG98" s="35">
        <f t="shared" si="10"/>
        <v>0</v>
      </c>
      <c r="AH98" s="36" t="str">
        <f t="shared" si="11"/>
        <v/>
      </c>
    </row>
    <row r="99" spans="1:34" ht="1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29" t="str">
        <f t="shared" si="12"/>
        <v/>
      </c>
      <c r="Q99" s="30"/>
      <c r="R99" s="31"/>
      <c r="S99" s="68"/>
      <c r="T99" s="40"/>
      <c r="U99" s="38"/>
      <c r="V99" s="74"/>
      <c r="W99" s="34" t="str">
        <f t="shared" si="13"/>
        <v>FALSE</v>
      </c>
      <c r="X99" s="34" t="str">
        <f t="shared" si="9"/>
        <v>FALSE</v>
      </c>
      <c r="Y99" s="35">
        <f t="shared" si="14"/>
        <v>0</v>
      </c>
      <c r="Z99" s="36" t="str">
        <f t="shared" si="15"/>
        <v/>
      </c>
      <c r="AA99" s="6"/>
      <c r="AB99" s="41"/>
      <c r="AC99" s="38"/>
      <c r="AD99" s="38"/>
      <c r="AE99" s="34"/>
      <c r="AF99" s="34" t="str">
        <f t="shared" si="16"/>
        <v>FALSE</v>
      </c>
      <c r="AG99" s="35">
        <f t="shared" si="10"/>
        <v>0</v>
      </c>
      <c r="AH99" s="36" t="str">
        <f t="shared" si="11"/>
        <v/>
      </c>
    </row>
    <row r="100" spans="1:34" ht="1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29" t="str">
        <f t="shared" si="12"/>
        <v/>
      </c>
      <c r="Q100" s="30"/>
      <c r="R100" s="31"/>
      <c r="S100" s="68"/>
      <c r="T100" s="40"/>
      <c r="U100" s="38"/>
      <c r="V100" s="74"/>
      <c r="W100" s="34" t="str">
        <f t="shared" si="13"/>
        <v>FALSE</v>
      </c>
      <c r="X100" s="34" t="str">
        <f t="shared" si="9"/>
        <v>FALSE</v>
      </c>
      <c r="Y100" s="35">
        <f t="shared" si="14"/>
        <v>0</v>
      </c>
      <c r="Z100" s="36" t="str">
        <f t="shared" si="15"/>
        <v/>
      </c>
      <c r="AA100" s="6"/>
      <c r="AB100" s="41"/>
      <c r="AC100" s="38"/>
      <c r="AD100" s="38"/>
      <c r="AE100" s="34"/>
      <c r="AF100" s="34" t="str">
        <f t="shared" si="16"/>
        <v>FALSE</v>
      </c>
      <c r="AG100" s="35">
        <f t="shared" si="10"/>
        <v>0</v>
      </c>
      <c r="AH100" s="36" t="str">
        <f t="shared" si="11"/>
        <v/>
      </c>
    </row>
    <row r="101" spans="1:34" ht="1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29" t="str">
        <f t="shared" si="12"/>
        <v/>
      </c>
      <c r="Q101" s="30"/>
      <c r="R101" s="31"/>
      <c r="S101" s="68"/>
      <c r="T101" s="40"/>
      <c r="U101" s="38"/>
      <c r="V101" s="74"/>
      <c r="W101" s="34" t="str">
        <f t="shared" si="13"/>
        <v>FALSE</v>
      </c>
      <c r="X101" s="34" t="str">
        <f t="shared" si="9"/>
        <v>FALSE</v>
      </c>
      <c r="Y101" s="35">
        <f t="shared" si="14"/>
        <v>0</v>
      </c>
      <c r="Z101" s="36" t="str">
        <f t="shared" si="15"/>
        <v/>
      </c>
      <c r="AA101" s="6"/>
      <c r="AB101" s="41"/>
      <c r="AC101" s="38"/>
      <c r="AD101" s="38"/>
      <c r="AE101" s="34"/>
      <c r="AF101" s="34" t="str">
        <f t="shared" si="16"/>
        <v>FALSE</v>
      </c>
      <c r="AG101" s="35">
        <f t="shared" si="10"/>
        <v>0</v>
      </c>
      <c r="AH101" s="36" t="str">
        <f t="shared" si="11"/>
        <v/>
      </c>
    </row>
    <row r="102" spans="1:34" ht="1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29" t="str">
        <f t="shared" si="12"/>
        <v/>
      </c>
      <c r="Q102" s="30"/>
      <c r="R102" s="31"/>
      <c r="S102" s="68"/>
      <c r="T102" s="40"/>
      <c r="U102" s="38"/>
      <c r="V102" s="74"/>
      <c r="W102" s="34" t="str">
        <f t="shared" si="13"/>
        <v>FALSE</v>
      </c>
      <c r="X102" s="34" t="str">
        <f t="shared" si="9"/>
        <v>FALSE</v>
      </c>
      <c r="Y102" s="35">
        <f t="shared" si="14"/>
        <v>0</v>
      </c>
      <c r="Z102" s="36" t="str">
        <f t="shared" si="15"/>
        <v/>
      </c>
      <c r="AA102" s="6"/>
      <c r="AB102" s="41"/>
      <c r="AC102" s="38"/>
      <c r="AD102" s="38"/>
      <c r="AE102" s="34"/>
      <c r="AF102" s="34" t="str">
        <f t="shared" si="16"/>
        <v>FALSE</v>
      </c>
      <c r="AG102" s="35">
        <f t="shared" si="10"/>
        <v>0</v>
      </c>
      <c r="AH102" s="36" t="str">
        <f t="shared" si="11"/>
        <v/>
      </c>
    </row>
    <row r="103" spans="1:34" ht="1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29" t="str">
        <f t="shared" si="12"/>
        <v/>
      </c>
      <c r="Q103" s="30"/>
      <c r="R103" s="31"/>
      <c r="S103" s="68"/>
      <c r="T103" s="40"/>
      <c r="U103" s="38"/>
      <c r="V103" s="74"/>
      <c r="W103" s="34" t="str">
        <f t="shared" si="13"/>
        <v>FALSE</v>
      </c>
      <c r="X103" s="34" t="str">
        <f t="shared" si="9"/>
        <v>FALSE</v>
      </c>
      <c r="Y103" s="35">
        <f t="shared" si="14"/>
        <v>0</v>
      </c>
      <c r="Z103" s="36" t="str">
        <f t="shared" si="15"/>
        <v/>
      </c>
      <c r="AA103" s="6"/>
      <c r="AB103" s="41"/>
      <c r="AC103" s="38"/>
      <c r="AD103" s="38"/>
      <c r="AE103" s="34"/>
      <c r="AF103" s="34" t="str">
        <f t="shared" si="16"/>
        <v>FALSE</v>
      </c>
      <c r="AG103" s="35">
        <f t="shared" si="10"/>
        <v>0</v>
      </c>
      <c r="AH103" s="36" t="str">
        <f t="shared" si="11"/>
        <v/>
      </c>
    </row>
    <row r="104" spans="1:34" ht="1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29" t="str">
        <f t="shared" si="12"/>
        <v/>
      </c>
      <c r="Q104" s="30"/>
      <c r="R104" s="31"/>
      <c r="S104" s="68"/>
      <c r="T104" s="40"/>
      <c r="U104" s="38"/>
      <c r="V104" s="74"/>
      <c r="W104" s="34" t="str">
        <f t="shared" si="13"/>
        <v>FALSE</v>
      </c>
      <c r="X104" s="34" t="str">
        <f t="shared" si="9"/>
        <v>FALSE</v>
      </c>
      <c r="Y104" s="35">
        <f t="shared" si="14"/>
        <v>0</v>
      </c>
      <c r="Z104" s="36" t="str">
        <f t="shared" si="15"/>
        <v/>
      </c>
      <c r="AA104" s="6"/>
      <c r="AB104" s="41"/>
      <c r="AC104" s="38"/>
      <c r="AD104" s="38"/>
      <c r="AE104" s="34"/>
      <c r="AF104" s="34" t="str">
        <f t="shared" si="16"/>
        <v>FALSE</v>
      </c>
      <c r="AG104" s="35">
        <f t="shared" si="10"/>
        <v>0</v>
      </c>
      <c r="AH104" s="36" t="str">
        <f t="shared" si="11"/>
        <v/>
      </c>
    </row>
    <row r="105" spans="1:34" ht="1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29" t="str">
        <f t="shared" si="12"/>
        <v/>
      </c>
      <c r="Q105" s="30"/>
      <c r="R105" s="31"/>
      <c r="S105" s="68"/>
      <c r="T105" s="40"/>
      <c r="U105" s="38"/>
      <c r="V105" s="74"/>
      <c r="W105" s="34" t="str">
        <f t="shared" si="13"/>
        <v>FALSE</v>
      </c>
      <c r="X105" s="34" t="str">
        <f t="shared" si="9"/>
        <v>FALSE</v>
      </c>
      <c r="Y105" s="35">
        <f t="shared" si="14"/>
        <v>0</v>
      </c>
      <c r="Z105" s="36" t="str">
        <f t="shared" si="15"/>
        <v/>
      </c>
      <c r="AA105" s="6"/>
      <c r="AB105" s="41"/>
      <c r="AC105" s="38"/>
      <c r="AD105" s="38"/>
      <c r="AE105" s="34"/>
      <c r="AF105" s="34" t="str">
        <f t="shared" si="16"/>
        <v>FALSE</v>
      </c>
      <c r="AG105" s="35">
        <f t="shared" si="10"/>
        <v>0</v>
      </c>
      <c r="AH105" s="36" t="str">
        <f t="shared" si="11"/>
        <v/>
      </c>
    </row>
    <row r="106" spans="1:34" ht="1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29" t="str">
        <f t="shared" si="12"/>
        <v/>
      </c>
      <c r="Q106" s="30"/>
      <c r="R106" s="31"/>
      <c r="S106" s="68"/>
      <c r="T106" s="40"/>
      <c r="U106" s="38"/>
      <c r="V106" s="74"/>
      <c r="W106" s="34" t="str">
        <f t="shared" si="13"/>
        <v>FALSE</v>
      </c>
      <c r="X106" s="34" t="str">
        <f t="shared" si="9"/>
        <v>FALSE</v>
      </c>
      <c r="Y106" s="35">
        <f t="shared" si="14"/>
        <v>0</v>
      </c>
      <c r="Z106" s="36" t="str">
        <f t="shared" si="15"/>
        <v/>
      </c>
      <c r="AA106" s="6"/>
      <c r="AB106" s="41"/>
      <c r="AC106" s="38"/>
      <c r="AD106" s="38"/>
      <c r="AE106" s="34"/>
      <c r="AF106" s="34" t="str">
        <f t="shared" si="16"/>
        <v>FALSE</v>
      </c>
      <c r="AG106" s="35">
        <f t="shared" si="10"/>
        <v>0</v>
      </c>
      <c r="AH106" s="36" t="str">
        <f t="shared" si="11"/>
        <v/>
      </c>
    </row>
    <row r="107" spans="1:34" ht="1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29" t="str">
        <f t="shared" si="12"/>
        <v/>
      </c>
      <c r="Q107" s="30"/>
      <c r="R107" s="31"/>
      <c r="S107" s="68"/>
      <c r="T107" s="40"/>
      <c r="U107" s="38"/>
      <c r="V107" s="74"/>
      <c r="W107" s="34" t="str">
        <f t="shared" si="13"/>
        <v>FALSE</v>
      </c>
      <c r="X107" s="34" t="str">
        <f t="shared" si="9"/>
        <v>FALSE</v>
      </c>
      <c r="Y107" s="35">
        <f t="shared" si="14"/>
        <v>0</v>
      </c>
      <c r="Z107" s="36" t="str">
        <f t="shared" si="15"/>
        <v/>
      </c>
      <c r="AA107" s="6"/>
      <c r="AB107" s="41"/>
      <c r="AC107" s="38"/>
      <c r="AD107" s="38"/>
      <c r="AE107" s="34"/>
      <c r="AF107" s="34" t="str">
        <f t="shared" si="16"/>
        <v>FALSE</v>
      </c>
      <c r="AG107" s="35">
        <f t="shared" si="10"/>
        <v>0</v>
      </c>
      <c r="AH107" s="36" t="str">
        <f t="shared" si="11"/>
        <v/>
      </c>
    </row>
    <row r="108" spans="1:34" ht="1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29" t="str">
        <f t="shared" si="12"/>
        <v/>
      </c>
      <c r="Q108" s="30"/>
      <c r="R108" s="31"/>
      <c r="S108" s="68"/>
      <c r="T108" s="40"/>
      <c r="U108" s="38"/>
      <c r="V108" s="74"/>
      <c r="W108" s="34" t="str">
        <f t="shared" si="13"/>
        <v>FALSE</v>
      </c>
      <c r="X108" s="34" t="str">
        <f t="shared" si="9"/>
        <v>FALSE</v>
      </c>
      <c r="Y108" s="35">
        <f t="shared" si="14"/>
        <v>0</v>
      </c>
      <c r="Z108" s="36" t="str">
        <f t="shared" si="15"/>
        <v/>
      </c>
      <c r="AA108" s="6"/>
      <c r="AB108" s="41"/>
      <c r="AC108" s="38"/>
      <c r="AD108" s="38"/>
      <c r="AE108" s="34"/>
      <c r="AF108" s="34" t="str">
        <f t="shared" si="16"/>
        <v>FALSE</v>
      </c>
      <c r="AG108" s="35">
        <f t="shared" si="10"/>
        <v>0</v>
      </c>
      <c r="AH108" s="36" t="str">
        <f t="shared" si="11"/>
        <v/>
      </c>
    </row>
    <row r="109" spans="1:34" ht="1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29" t="str">
        <f t="shared" si="12"/>
        <v/>
      </c>
      <c r="Q109" s="30"/>
      <c r="R109" s="31"/>
      <c r="S109" s="68"/>
      <c r="T109" s="40"/>
      <c r="U109" s="38"/>
      <c r="V109" s="74"/>
      <c r="W109" s="34" t="str">
        <f t="shared" si="13"/>
        <v>FALSE</v>
      </c>
      <c r="X109" s="34" t="str">
        <f t="shared" si="9"/>
        <v>FALSE</v>
      </c>
      <c r="Y109" s="35">
        <f t="shared" si="14"/>
        <v>0</v>
      </c>
      <c r="Z109" s="36" t="str">
        <f t="shared" si="15"/>
        <v/>
      </c>
      <c r="AA109" s="6"/>
      <c r="AB109" s="41"/>
      <c r="AC109" s="38"/>
      <c r="AD109" s="38"/>
      <c r="AE109" s="34"/>
      <c r="AF109" s="34" t="str">
        <f t="shared" si="16"/>
        <v>FALSE</v>
      </c>
      <c r="AG109" s="35">
        <f t="shared" si="10"/>
        <v>0</v>
      </c>
      <c r="AH109" s="36" t="str">
        <f t="shared" si="11"/>
        <v/>
      </c>
    </row>
    <row r="110" spans="1:34" ht="1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29" t="str">
        <f t="shared" si="12"/>
        <v/>
      </c>
      <c r="Q110" s="30"/>
      <c r="R110" s="31"/>
      <c r="S110" s="68"/>
      <c r="T110" s="40"/>
      <c r="U110" s="38"/>
      <c r="V110" s="74"/>
      <c r="W110" s="34" t="str">
        <f t="shared" si="13"/>
        <v>FALSE</v>
      </c>
      <c r="X110" s="34" t="str">
        <f t="shared" si="9"/>
        <v>FALSE</v>
      </c>
      <c r="Y110" s="35">
        <f t="shared" si="14"/>
        <v>0</v>
      </c>
      <c r="Z110" s="36" t="str">
        <f t="shared" si="15"/>
        <v/>
      </c>
      <c r="AA110" s="6"/>
      <c r="AB110" s="41"/>
      <c r="AC110" s="38"/>
      <c r="AD110" s="38"/>
      <c r="AE110" s="34"/>
      <c r="AF110" s="34" t="str">
        <f t="shared" si="16"/>
        <v>FALSE</v>
      </c>
      <c r="AG110" s="35">
        <f t="shared" si="10"/>
        <v>0</v>
      </c>
      <c r="AH110" s="36" t="str">
        <f t="shared" si="11"/>
        <v/>
      </c>
    </row>
    <row r="111" spans="1:34" ht="1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29" t="str">
        <f t="shared" si="12"/>
        <v/>
      </c>
      <c r="Q111" s="30"/>
      <c r="R111" s="31"/>
      <c r="S111" s="68"/>
      <c r="T111" s="40"/>
      <c r="U111" s="38"/>
      <c r="V111" s="74"/>
      <c r="W111" s="34" t="str">
        <f t="shared" si="13"/>
        <v>FALSE</v>
      </c>
      <c r="X111" s="34" t="str">
        <f t="shared" si="9"/>
        <v>FALSE</v>
      </c>
      <c r="Y111" s="35">
        <f t="shared" si="14"/>
        <v>0</v>
      </c>
      <c r="Z111" s="36" t="str">
        <f t="shared" si="15"/>
        <v/>
      </c>
      <c r="AA111" s="6"/>
      <c r="AB111" s="41"/>
      <c r="AC111" s="38"/>
      <c r="AD111" s="38"/>
      <c r="AE111" s="34"/>
      <c r="AF111" s="34" t="str">
        <f t="shared" si="16"/>
        <v>FALSE</v>
      </c>
      <c r="AG111" s="35">
        <f t="shared" si="10"/>
        <v>0</v>
      </c>
      <c r="AH111" s="36" t="str">
        <f t="shared" si="11"/>
        <v/>
      </c>
    </row>
    <row r="112" spans="1:34" ht="1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29" t="str">
        <f t="shared" si="12"/>
        <v/>
      </c>
      <c r="Q112" s="30"/>
      <c r="R112" s="31"/>
      <c r="S112" s="68"/>
      <c r="T112" s="40"/>
      <c r="U112" s="38"/>
      <c r="V112" s="74"/>
      <c r="W112" s="34" t="str">
        <f t="shared" si="13"/>
        <v>FALSE</v>
      </c>
      <c r="X112" s="34" t="str">
        <f t="shared" si="9"/>
        <v>FALSE</v>
      </c>
      <c r="Y112" s="35">
        <f t="shared" si="14"/>
        <v>0</v>
      </c>
      <c r="Z112" s="36" t="str">
        <f t="shared" si="15"/>
        <v/>
      </c>
      <c r="AA112" s="6"/>
      <c r="AB112" s="41"/>
      <c r="AC112" s="38"/>
      <c r="AD112" s="38"/>
      <c r="AE112" s="34"/>
      <c r="AF112" s="34" t="str">
        <f t="shared" si="16"/>
        <v>FALSE</v>
      </c>
      <c r="AG112" s="35">
        <f t="shared" si="10"/>
        <v>0</v>
      </c>
      <c r="AH112" s="36" t="str">
        <f t="shared" si="11"/>
        <v/>
      </c>
    </row>
    <row r="113" spans="1:34" ht="1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29" t="str">
        <f t="shared" si="12"/>
        <v/>
      </c>
      <c r="Q113" s="30"/>
      <c r="R113" s="31"/>
      <c r="S113" s="68"/>
      <c r="T113" s="40"/>
      <c r="U113" s="38"/>
      <c r="V113" s="74"/>
      <c r="W113" s="34" t="str">
        <f t="shared" si="13"/>
        <v>FALSE</v>
      </c>
      <c r="X113" s="34" t="str">
        <f t="shared" si="9"/>
        <v>FALSE</v>
      </c>
      <c r="Y113" s="35">
        <f t="shared" si="14"/>
        <v>0</v>
      </c>
      <c r="Z113" s="36" t="str">
        <f t="shared" si="15"/>
        <v/>
      </c>
      <c r="AA113" s="6"/>
      <c r="AB113" s="41"/>
      <c r="AC113" s="38"/>
      <c r="AD113" s="38"/>
      <c r="AE113" s="34"/>
      <c r="AF113" s="34" t="str">
        <f t="shared" si="16"/>
        <v>FALSE</v>
      </c>
      <c r="AG113" s="35">
        <f t="shared" si="10"/>
        <v>0</v>
      </c>
      <c r="AH113" s="36" t="str">
        <f t="shared" si="11"/>
        <v/>
      </c>
    </row>
    <row r="114" spans="1:34" ht="1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29" t="str">
        <f t="shared" si="12"/>
        <v/>
      </c>
      <c r="Q114" s="30"/>
      <c r="R114" s="31"/>
      <c r="S114" s="68"/>
      <c r="T114" s="40"/>
      <c r="U114" s="38"/>
      <c r="V114" s="74"/>
      <c r="W114" s="34" t="str">
        <f t="shared" si="13"/>
        <v>FALSE</v>
      </c>
      <c r="X114" s="34" t="str">
        <f t="shared" si="9"/>
        <v>FALSE</v>
      </c>
      <c r="Y114" s="35">
        <f t="shared" si="14"/>
        <v>0</v>
      </c>
      <c r="Z114" s="36" t="str">
        <f t="shared" si="15"/>
        <v/>
      </c>
      <c r="AA114" s="6"/>
      <c r="AB114" s="41"/>
      <c r="AC114" s="38"/>
      <c r="AD114" s="38"/>
      <c r="AE114" s="34"/>
      <c r="AF114" s="34" t="str">
        <f t="shared" si="16"/>
        <v>FALSE</v>
      </c>
      <c r="AG114" s="35">
        <f t="shared" si="10"/>
        <v>0</v>
      </c>
      <c r="AH114" s="36" t="str">
        <f t="shared" si="11"/>
        <v/>
      </c>
    </row>
    <row r="115" spans="1:34" ht="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29" t="str">
        <f t="shared" si="12"/>
        <v/>
      </c>
      <c r="Q115" s="30"/>
      <c r="R115" s="31"/>
      <c r="S115" s="68"/>
      <c r="T115" s="40"/>
      <c r="U115" s="38"/>
      <c r="V115" s="74"/>
      <c r="W115" s="34" t="str">
        <f t="shared" si="13"/>
        <v>FALSE</v>
      </c>
      <c r="X115" s="34" t="str">
        <f t="shared" si="9"/>
        <v>FALSE</v>
      </c>
      <c r="Y115" s="35">
        <f t="shared" si="14"/>
        <v>0</v>
      </c>
      <c r="Z115" s="36" t="str">
        <f t="shared" si="15"/>
        <v/>
      </c>
      <c r="AA115" s="6"/>
      <c r="AB115" s="41"/>
      <c r="AC115" s="38"/>
      <c r="AD115" s="38"/>
      <c r="AE115" s="34"/>
      <c r="AF115" s="34" t="str">
        <f t="shared" si="16"/>
        <v>FALSE</v>
      </c>
      <c r="AG115" s="35">
        <f t="shared" si="10"/>
        <v>0</v>
      </c>
      <c r="AH115" s="36" t="str">
        <f t="shared" si="11"/>
        <v/>
      </c>
    </row>
    <row r="116" spans="1:34" ht="1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29" t="str">
        <f t="shared" si="12"/>
        <v/>
      </c>
      <c r="Q116" s="30"/>
      <c r="R116" s="31"/>
      <c r="S116" s="68"/>
      <c r="T116" s="40"/>
      <c r="U116" s="38"/>
      <c r="V116" s="74"/>
      <c r="W116" s="34" t="str">
        <f t="shared" si="13"/>
        <v>FALSE</v>
      </c>
      <c r="X116" s="34" t="str">
        <f t="shared" si="9"/>
        <v>FALSE</v>
      </c>
      <c r="Y116" s="35">
        <f t="shared" si="14"/>
        <v>0</v>
      </c>
      <c r="Z116" s="36" t="str">
        <f t="shared" si="15"/>
        <v/>
      </c>
      <c r="AA116" s="6"/>
      <c r="AB116" s="41"/>
      <c r="AC116" s="38"/>
      <c r="AD116" s="38"/>
      <c r="AE116" s="34"/>
      <c r="AF116" s="34" t="str">
        <f t="shared" si="16"/>
        <v>FALSE</v>
      </c>
      <c r="AG116" s="35">
        <f t="shared" si="10"/>
        <v>0</v>
      </c>
      <c r="AH116" s="36" t="str">
        <f t="shared" si="11"/>
        <v/>
      </c>
    </row>
    <row r="117" spans="1:34" ht="1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29" t="str">
        <f t="shared" si="12"/>
        <v/>
      </c>
      <c r="Q117" s="30"/>
      <c r="R117" s="31"/>
      <c r="S117" s="68"/>
      <c r="T117" s="40"/>
      <c r="U117" s="38"/>
      <c r="V117" s="74"/>
      <c r="W117" s="34" t="str">
        <f t="shared" si="13"/>
        <v>FALSE</v>
      </c>
      <c r="X117" s="34" t="str">
        <f t="shared" si="9"/>
        <v>FALSE</v>
      </c>
      <c r="Y117" s="35">
        <f t="shared" si="14"/>
        <v>0</v>
      </c>
      <c r="Z117" s="36" t="str">
        <f t="shared" si="15"/>
        <v/>
      </c>
      <c r="AA117" s="6"/>
      <c r="AB117" s="41"/>
      <c r="AC117" s="38"/>
      <c r="AD117" s="38"/>
      <c r="AE117" s="34"/>
      <c r="AF117" s="34" t="str">
        <f t="shared" si="16"/>
        <v>FALSE</v>
      </c>
      <c r="AG117" s="35">
        <f t="shared" si="10"/>
        <v>0</v>
      </c>
      <c r="AH117" s="36" t="str">
        <f t="shared" si="11"/>
        <v/>
      </c>
    </row>
    <row r="118" spans="1:34" ht="1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29" t="str">
        <f t="shared" si="12"/>
        <v/>
      </c>
      <c r="Q118" s="30"/>
      <c r="R118" s="31"/>
      <c r="S118" s="68"/>
      <c r="T118" s="40"/>
      <c r="U118" s="38"/>
      <c r="V118" s="74"/>
      <c r="W118" s="34" t="str">
        <f t="shared" si="13"/>
        <v>FALSE</v>
      </c>
      <c r="X118" s="34" t="str">
        <f t="shared" si="9"/>
        <v>FALSE</v>
      </c>
      <c r="Y118" s="35">
        <f t="shared" si="14"/>
        <v>0</v>
      </c>
      <c r="Z118" s="36" t="str">
        <f t="shared" si="15"/>
        <v/>
      </c>
      <c r="AA118" s="6"/>
      <c r="AB118" s="41"/>
      <c r="AC118" s="38"/>
      <c r="AD118" s="38"/>
      <c r="AE118" s="34"/>
      <c r="AF118" s="34" t="str">
        <f t="shared" si="16"/>
        <v>FALSE</v>
      </c>
      <c r="AG118" s="35">
        <f t="shared" si="10"/>
        <v>0</v>
      </c>
      <c r="AH118" s="36" t="str">
        <f t="shared" si="11"/>
        <v/>
      </c>
    </row>
    <row r="119" spans="1:34" ht="1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29" t="str">
        <f t="shared" si="12"/>
        <v/>
      </c>
      <c r="Q119" s="30"/>
      <c r="R119" s="31"/>
      <c r="S119" s="68"/>
      <c r="T119" s="40"/>
      <c r="U119" s="38"/>
      <c r="V119" s="74"/>
      <c r="W119" s="34" t="str">
        <f t="shared" si="13"/>
        <v>FALSE</v>
      </c>
      <c r="X119" s="34" t="str">
        <f t="shared" si="9"/>
        <v>FALSE</v>
      </c>
      <c r="Y119" s="35">
        <f t="shared" si="14"/>
        <v>0</v>
      </c>
      <c r="Z119" s="36" t="str">
        <f t="shared" si="15"/>
        <v/>
      </c>
      <c r="AA119" s="6"/>
      <c r="AB119" s="41"/>
      <c r="AC119" s="38"/>
      <c r="AD119" s="38"/>
      <c r="AE119" s="34"/>
      <c r="AF119" s="34" t="str">
        <f t="shared" si="16"/>
        <v>FALSE</v>
      </c>
      <c r="AG119" s="35">
        <f t="shared" si="10"/>
        <v>0</v>
      </c>
      <c r="AH119" s="36" t="str">
        <f t="shared" si="11"/>
        <v/>
      </c>
    </row>
    <row r="120" spans="1:34" ht="1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29" t="str">
        <f t="shared" si="12"/>
        <v/>
      </c>
      <c r="Q120" s="30"/>
      <c r="R120" s="31"/>
      <c r="S120" s="68"/>
      <c r="T120" s="40"/>
      <c r="U120" s="38"/>
      <c r="V120" s="74"/>
      <c r="W120" s="34" t="str">
        <f t="shared" si="13"/>
        <v>FALSE</v>
      </c>
      <c r="X120" s="34" t="str">
        <f t="shared" si="9"/>
        <v>FALSE</v>
      </c>
      <c r="Y120" s="35">
        <f t="shared" si="14"/>
        <v>0</v>
      </c>
      <c r="Z120" s="36" t="str">
        <f t="shared" si="15"/>
        <v/>
      </c>
      <c r="AA120" s="6"/>
      <c r="AB120" s="41"/>
      <c r="AC120" s="38"/>
      <c r="AD120" s="38"/>
      <c r="AE120" s="34"/>
      <c r="AF120" s="34" t="str">
        <f t="shared" si="16"/>
        <v>FALSE</v>
      </c>
      <c r="AG120" s="35">
        <f t="shared" si="10"/>
        <v>0</v>
      </c>
      <c r="AH120" s="36" t="str">
        <f t="shared" si="11"/>
        <v/>
      </c>
    </row>
  </sheetData>
  <mergeCells count="11">
    <mergeCell ref="P6:U6"/>
    <mergeCell ref="X6:AA6"/>
    <mergeCell ref="Q8:Z8"/>
    <mergeCell ref="AB8:AH8"/>
    <mergeCell ref="D1:L2"/>
    <mergeCell ref="X2:AA2"/>
    <mergeCell ref="AC2:AG2"/>
    <mergeCell ref="P3:R3"/>
    <mergeCell ref="T3:U3"/>
    <mergeCell ref="X3:AA3"/>
    <mergeCell ref="AC3:AG3"/>
  </mergeCells>
  <conditionalFormatting sqref="U14:U120">
    <cfRule type="containsBlanks" dxfId="319" priority="1">
      <formula>LEN(TRIM(U14))=0</formula>
    </cfRule>
    <cfRule type="expression" dxfId="318" priority="2">
      <formula>AND(X14&gt;=2,X14&lt;3)</formula>
    </cfRule>
    <cfRule type="expression" dxfId="317" priority="3">
      <formula>X14&gt;3</formula>
    </cfRule>
  </conditionalFormatting>
  <conditionalFormatting sqref="W14:W120">
    <cfRule type="expression" dxfId="316" priority="15">
      <formula>X14="FALSE"</formula>
    </cfRule>
  </conditionalFormatting>
  <conditionalFormatting sqref="X14:X120">
    <cfRule type="expression" dxfId="315" priority="14">
      <formula>X14="FALSE"</formula>
    </cfRule>
    <cfRule type="expression" dxfId="314" priority="16">
      <formula>AND(X14&gt;2,X14&lt;3)</formula>
    </cfRule>
  </conditionalFormatting>
  <conditionalFormatting sqref="X14:Y50 X51:X120">
    <cfRule type="expression" dxfId="313" priority="20">
      <formula>X14&gt;=3</formula>
    </cfRule>
  </conditionalFormatting>
  <conditionalFormatting sqref="Y14:Y50">
    <cfRule type="expression" dxfId="312" priority="19">
      <formula>AND(X14&gt;=2,X14&lt;3)</formula>
    </cfRule>
  </conditionalFormatting>
  <conditionalFormatting sqref="Z14:Z120">
    <cfRule type="cellIs" dxfId="311" priority="17" operator="notBetween">
      <formula>0.8</formula>
      <formula>1.15</formula>
    </cfRule>
  </conditionalFormatting>
  <conditionalFormatting sqref="AC14:AC120">
    <cfRule type="containsBlanks" dxfId="310" priority="4">
      <formula>LEN(TRIM(AC14))=0</formula>
    </cfRule>
    <cfRule type="expression" dxfId="309" priority="5">
      <formula>AND(AF14&gt;=2,AF14&lt;3)</formula>
    </cfRule>
    <cfRule type="expression" dxfId="308" priority="6">
      <formula>AF14&gt;3</formula>
    </cfRule>
  </conditionalFormatting>
  <conditionalFormatting sqref="AE14:AE120">
    <cfRule type="expression" dxfId="307" priority="13">
      <formula>AF14="FALSE"</formula>
    </cfRule>
  </conditionalFormatting>
  <conditionalFormatting sqref="AF14:AF120">
    <cfRule type="expression" dxfId="306" priority="10">
      <formula>AF14="FALSE"</formula>
    </cfRule>
    <cfRule type="expression" dxfId="305" priority="11">
      <formula>AND(AF14&gt;2,AF14&lt;3)</formula>
    </cfRule>
    <cfRule type="expression" dxfId="304" priority="12">
      <formula>AF14&gt;=3</formula>
    </cfRule>
  </conditionalFormatting>
  <conditionalFormatting sqref="AG14:AG120">
    <cfRule type="expression" dxfId="303" priority="7">
      <formula>AF14=0</formula>
    </cfRule>
    <cfRule type="expression" dxfId="302" priority="8">
      <formula>AND(AF14&gt;=2,AF14&lt;3)</formula>
    </cfRule>
    <cfRule type="expression" dxfId="301" priority="9">
      <formula>AG14&gt;=3</formula>
    </cfRule>
  </conditionalFormatting>
  <conditionalFormatting sqref="AH14:AH120">
    <cfRule type="cellIs" dxfId="300" priority="18" operator="notBetween">
      <formula>0.8</formula>
      <formula>1.15</formula>
    </cfRule>
  </conditionalFormatting>
  <pageMargins left="0.4" right="0.4" top="0.4" bottom="0.4" header="0" footer="0"/>
  <pageSetup scale="10" fitToHeight="0" orientation="landscape" horizontalDpi="4294967292" verticalDpi="4294967292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93238-27ED-4FAC-8587-71FD0E170F98}">
  <sheetPr>
    <tabColor rgb="FFFFFFFF"/>
    <pageSetUpPr fitToPage="1"/>
  </sheetPr>
  <dimension ref="A1:AH120"/>
  <sheetViews>
    <sheetView showGridLines="0" topLeftCell="C57" zoomScale="70" zoomScaleNormal="70" workbookViewId="0">
      <selection activeCell="Q55" sqref="Q55:R55"/>
    </sheetView>
  </sheetViews>
  <sheetFormatPr defaultColWidth="11" defaultRowHeight="13.5" customHeight="1"/>
  <cols>
    <col min="1" max="2" width="3.125" style="12" customWidth="1"/>
    <col min="3" max="8" width="11" style="12"/>
    <col min="9" max="9" width="9" style="12" customWidth="1"/>
    <col min="10" max="13" width="11" style="12"/>
    <col min="14" max="15" width="4" style="12" customWidth="1"/>
    <col min="16" max="16" width="6.125" style="43" customWidth="1"/>
    <col min="17" max="17" width="13" style="12" customWidth="1"/>
    <col min="18" max="18" width="12.875" style="44" customWidth="1"/>
    <col min="19" max="19" width="3" style="44" customWidth="1"/>
    <col min="20" max="20" width="12" style="45" customWidth="1"/>
    <col min="21" max="21" width="14.875" style="8" customWidth="1"/>
    <col min="22" max="22" width="2.375" style="12" customWidth="1"/>
    <col min="23" max="23" width="12.875" style="6" customWidth="1"/>
    <col min="24" max="24" width="11.5" style="6" customWidth="1"/>
    <col min="25" max="25" width="13" style="12" customWidth="1"/>
    <col min="26" max="26" width="11.625" style="12" customWidth="1"/>
    <col min="27" max="27" width="9.125" style="12" customWidth="1"/>
    <col min="28" max="28" width="13.375" style="8" customWidth="1"/>
    <col min="29" max="29" width="13.75" style="12" customWidth="1"/>
    <col min="30" max="30" width="2" style="12" customWidth="1"/>
    <col min="31" max="31" width="12.75" style="12" customWidth="1"/>
    <col min="32" max="32" width="12.375" style="12" customWidth="1"/>
    <col min="33" max="33" width="13.125" style="12" customWidth="1"/>
    <col min="34" max="34" width="15.25" style="12" customWidth="1"/>
    <col min="35" max="16384" width="11" style="12"/>
  </cols>
  <sheetData>
    <row r="1" spans="1:34" s="7" customFormat="1" ht="31.5" customHeight="1">
      <c r="A1" s="1"/>
      <c r="B1" s="1"/>
      <c r="C1" s="1"/>
      <c r="D1" s="162" t="s">
        <v>12</v>
      </c>
      <c r="E1" s="162"/>
      <c r="F1" s="162"/>
      <c r="G1" s="162"/>
      <c r="H1" s="162"/>
      <c r="I1" s="162"/>
      <c r="J1" s="162"/>
      <c r="K1" s="162"/>
      <c r="L1" s="162"/>
      <c r="M1" s="1"/>
      <c r="N1" s="1"/>
      <c r="O1" s="1"/>
      <c r="P1" s="2"/>
      <c r="Q1" s="3" t="s">
        <v>74</v>
      </c>
      <c r="R1" s="4"/>
      <c r="S1" s="4"/>
      <c r="T1" s="4"/>
      <c r="U1" s="5"/>
      <c r="V1" s="6"/>
      <c r="W1" s="6"/>
      <c r="X1" s="6"/>
      <c r="Y1" s="5"/>
      <c r="Z1" s="5"/>
      <c r="AA1" s="5"/>
      <c r="AB1" s="5"/>
      <c r="AC1" s="5"/>
      <c r="AD1" s="5"/>
      <c r="AE1" s="5"/>
      <c r="AF1" s="5"/>
      <c r="AG1" s="5"/>
      <c r="AH1"/>
    </row>
    <row r="2" spans="1:34" ht="15.75" customHeight="1">
      <c r="A2" s="8"/>
      <c r="B2" s="8"/>
      <c r="C2" s="8"/>
      <c r="D2" s="162"/>
      <c r="E2" s="162"/>
      <c r="F2" s="162"/>
      <c r="G2" s="162"/>
      <c r="H2" s="162"/>
      <c r="I2" s="162"/>
      <c r="J2" s="162"/>
      <c r="K2" s="162"/>
      <c r="L2" s="162"/>
      <c r="M2" s="8"/>
      <c r="N2" s="8"/>
      <c r="O2" s="8"/>
      <c r="P2" s="9"/>
      <c r="Q2" s="10" t="s">
        <v>75</v>
      </c>
      <c r="R2" s="11"/>
      <c r="S2" s="11"/>
      <c r="T2" s="10" t="s">
        <v>76</v>
      </c>
      <c r="X2" s="163" t="s">
        <v>77</v>
      </c>
      <c r="Y2" s="163"/>
      <c r="Z2" s="163"/>
      <c r="AA2" s="163"/>
      <c r="AC2" s="163" t="s">
        <v>78</v>
      </c>
      <c r="AD2" s="163"/>
      <c r="AE2" s="163"/>
      <c r="AF2" s="163"/>
      <c r="AG2" s="163"/>
      <c r="AH2"/>
    </row>
    <row r="3" spans="1:34" ht="26.2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164">
        <f>MIN(R14:R16)</f>
        <v>45677</v>
      </c>
      <c r="Q3" s="165"/>
      <c r="R3" s="166"/>
      <c r="S3" s="65"/>
      <c r="T3" s="167">
        <f>MAX(R14:R116)</f>
        <v>46065</v>
      </c>
      <c r="U3" s="168"/>
      <c r="X3" s="164" t="s">
        <v>79</v>
      </c>
      <c r="Y3" s="165"/>
      <c r="Z3" s="165"/>
      <c r="AA3" s="168"/>
      <c r="AC3" s="169" t="s">
        <v>80</v>
      </c>
      <c r="AD3" s="170"/>
      <c r="AE3" s="170"/>
      <c r="AF3" s="170"/>
      <c r="AG3" s="171"/>
      <c r="AH3"/>
    </row>
    <row r="4" spans="1:34" ht="15.7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13"/>
      <c r="Q4" s="14"/>
      <c r="R4" s="15">
        <f>MIN(P14:P120)</f>
        <v>1</v>
      </c>
      <c r="S4" s="15"/>
      <c r="T4" s="16">
        <f>MAX(P14:P120)</f>
        <v>42</v>
      </c>
      <c r="U4" s="14"/>
      <c r="V4" s="6"/>
      <c r="X4" s="14"/>
      <c r="Y4" s="14"/>
      <c r="Z4" s="14"/>
      <c r="AA4" s="14"/>
      <c r="AB4"/>
      <c r="AC4" s="14"/>
      <c r="AD4" s="14"/>
      <c r="AE4" s="14"/>
      <c r="AF4" s="14"/>
      <c r="AH4" s="8"/>
    </row>
    <row r="5" spans="1:34" ht="20.2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17"/>
      <c r="Q5" s="17" t="s">
        <v>81</v>
      </c>
      <c r="R5" s="11"/>
      <c r="S5" s="11"/>
      <c r="T5" s="18"/>
      <c r="U5" s="17"/>
      <c r="V5" s="6"/>
      <c r="X5" s="17" t="s">
        <v>82</v>
      </c>
      <c r="Y5" s="17"/>
      <c r="Z5" s="17"/>
      <c r="AA5" s="14"/>
      <c r="AB5"/>
      <c r="AC5" s="10"/>
      <c r="AD5" s="10"/>
    </row>
    <row r="6" spans="1:34" ht="25.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158" t="s">
        <v>83</v>
      </c>
      <c r="Q6" s="158"/>
      <c r="R6" s="158"/>
      <c r="S6" s="158"/>
      <c r="T6" s="158"/>
      <c r="U6" s="158"/>
      <c r="V6" s="6"/>
      <c r="X6" s="159"/>
      <c r="Y6" s="159"/>
      <c r="Z6" s="159"/>
      <c r="AA6" s="159"/>
      <c r="AB6"/>
      <c r="AC6" s="6"/>
      <c r="AD6" s="6"/>
    </row>
    <row r="7" spans="1:34" ht="23.2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19"/>
      <c r="Q7" s="20" t="s">
        <v>84</v>
      </c>
      <c r="R7" s="21"/>
      <c r="S7" s="21"/>
      <c r="T7" s="22"/>
      <c r="V7" s="8"/>
      <c r="Y7" s="8"/>
      <c r="Z7" s="8"/>
      <c r="AA7" s="8"/>
      <c r="AC7" s="8"/>
      <c r="AD7" s="8"/>
      <c r="AE7" s="8"/>
      <c r="AF7" s="8"/>
      <c r="AG7" s="8"/>
      <c r="AH7" s="8"/>
    </row>
    <row r="8" spans="1:34" ht="31.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19"/>
      <c r="Q8" s="160" t="s">
        <v>85</v>
      </c>
      <c r="R8" s="160"/>
      <c r="S8" s="160"/>
      <c r="T8" s="160"/>
      <c r="U8" s="160"/>
      <c r="V8" s="160"/>
      <c r="W8" s="160"/>
      <c r="X8" s="160"/>
      <c r="Y8" s="160"/>
      <c r="Z8" s="160"/>
      <c r="AA8" s="6"/>
      <c r="AB8" s="161" t="s">
        <v>86</v>
      </c>
      <c r="AC8" s="161"/>
      <c r="AD8" s="161"/>
      <c r="AE8" s="161"/>
      <c r="AF8" s="161"/>
      <c r="AG8" s="161"/>
      <c r="AH8" s="161"/>
    </row>
    <row r="9" spans="1:34" customFormat="1" ht="11.25" customHeight="1"/>
    <row r="10" spans="1:34" s="52" customFormat="1" ht="27.75" customHeight="1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Q10" s="73" t="s">
        <v>87</v>
      </c>
      <c r="R10" s="73" t="s">
        <v>88</v>
      </c>
      <c r="S10" s="66"/>
      <c r="T10" s="49" t="s">
        <v>89</v>
      </c>
      <c r="U10" s="46" t="s">
        <v>90</v>
      </c>
      <c r="V10" s="50"/>
      <c r="W10" s="47" t="s">
        <v>91</v>
      </c>
      <c r="X10" s="61" t="s">
        <v>92</v>
      </c>
      <c r="Y10" s="61" t="s">
        <v>93</v>
      </c>
      <c r="Z10" s="48" t="s">
        <v>94</v>
      </c>
      <c r="AA10" s="53"/>
      <c r="AB10" s="49" t="s">
        <v>95</v>
      </c>
      <c r="AC10" s="46" t="s">
        <v>90</v>
      </c>
      <c r="AE10" s="47" t="s">
        <v>91</v>
      </c>
      <c r="AF10" s="61" t="s">
        <v>92</v>
      </c>
      <c r="AG10" s="61" t="s">
        <v>93</v>
      </c>
      <c r="AH10" s="48" t="s">
        <v>94</v>
      </c>
    </row>
    <row r="11" spans="1:34" s="55" customFormat="1" ht="27.75" customHeight="1" thickBot="1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Q11" s="64">
        <f>IF(U11="","",1.15)</f>
        <v>1.1499999999999999</v>
      </c>
      <c r="R11" s="64">
        <f>IF(U11="","",0.8)</f>
        <v>0.8</v>
      </c>
      <c r="S11" s="67"/>
      <c r="T11" s="62">
        <f>_xlfn.STDEV.P($U$14:$U$120)/$U$11</f>
        <v>0.14194758155212953</v>
      </c>
      <c r="U11" s="63">
        <f>AVERAGE($W$14:$W$120)</f>
        <v>24.394630952380957</v>
      </c>
      <c r="V11" s="56"/>
      <c r="W11" s="60">
        <f>$U$11-(3*_xlfn.STDEV.S($W$14:$W$120))</f>
        <v>13.880431250922872</v>
      </c>
      <c r="X11" s="59">
        <f>$U$11-(2*_xlfn.STDEV.S($W$14:$W$120))</f>
        <v>17.385164484742234</v>
      </c>
      <c r="Y11" s="59">
        <f>$U$11+(2*_xlfn.STDEV.S($W$14:$W$120))</f>
        <v>31.404097420019681</v>
      </c>
      <c r="Z11" s="58">
        <f>$U$11+(3*_xlfn.STDEV.S($W$14:$W$120))</f>
        <v>34.908830653839047</v>
      </c>
      <c r="AA11" s="57"/>
      <c r="AB11" s="62">
        <f>_xlfn.STDEV.P($AC$14:$AC$120)/$AC$11</f>
        <v>0.1403465835763831</v>
      </c>
      <c r="AC11" s="63">
        <f>AVERAGE($AC$14:$AC$120)</f>
        <v>1.393719047619048</v>
      </c>
      <c r="AE11" s="60">
        <f>$AC$11-(3*_xlfn.STDEV.S($AE$14:$AE$120))</f>
        <v>0.80349198109213571</v>
      </c>
      <c r="AF11" s="59">
        <f>$AC$11-(2*_xlfn.STDEV.S($AE$14:$AE$120))</f>
        <v>1.0002343366011064</v>
      </c>
      <c r="AG11" s="59">
        <f>$AC$11+(2*_xlfn.STDEV.S($AE$14:$AE$120))</f>
        <v>1.7872037586369895</v>
      </c>
      <c r="AH11" s="58">
        <f>$AC$11+(3*_xlfn.STDEV.S($AE$14:$AE$120))</f>
        <v>1.9839461141459602</v>
      </c>
    </row>
    <row r="12" spans="1:34" ht="11.2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19"/>
      <c r="Q12" s="20"/>
      <c r="R12" s="21"/>
      <c r="S12" s="21"/>
      <c r="T12" s="22"/>
      <c r="V12" s="8"/>
      <c r="Y12" s="8"/>
      <c r="Z12" s="8"/>
      <c r="AA12" s="6"/>
      <c r="AC12" s="8"/>
      <c r="AD12" s="8"/>
      <c r="AE12" s="8"/>
      <c r="AF12" s="8"/>
      <c r="AG12" s="8"/>
      <c r="AH12" s="8"/>
    </row>
    <row r="13" spans="1:34" ht="4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70" t="s">
        <v>96</v>
      </c>
      <c r="Q13" s="71" t="s">
        <v>97</v>
      </c>
      <c r="R13" s="71" t="s">
        <v>98</v>
      </c>
      <c r="S13" s="69"/>
      <c r="T13" s="72" t="s">
        <v>99</v>
      </c>
      <c r="U13" s="71" t="s">
        <v>100</v>
      </c>
      <c r="V13" s="69"/>
      <c r="W13" s="75" t="s">
        <v>101</v>
      </c>
      <c r="X13" s="75" t="s">
        <v>102</v>
      </c>
      <c r="Y13" s="76" t="s">
        <v>111</v>
      </c>
      <c r="Z13" s="77" t="s">
        <v>104</v>
      </c>
      <c r="AA13" s="6"/>
      <c r="AB13" s="26" t="s">
        <v>99</v>
      </c>
      <c r="AC13" s="27" t="s">
        <v>100</v>
      </c>
      <c r="AD13" s="28"/>
      <c r="AE13" s="23" t="s">
        <v>101</v>
      </c>
      <c r="AF13" s="23" t="s">
        <v>102</v>
      </c>
      <c r="AG13" s="24" t="s">
        <v>105</v>
      </c>
      <c r="AH13" s="25" t="s">
        <v>104</v>
      </c>
    </row>
    <row r="14" spans="1:34" ht="1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29">
        <v>1</v>
      </c>
      <c r="Q14" s="30" t="s">
        <v>106</v>
      </c>
      <c r="R14" s="31">
        <v>45677</v>
      </c>
      <c r="S14" s="68"/>
      <c r="T14" s="32">
        <v>24.89</v>
      </c>
      <c r="U14" s="38">
        <v>24.782</v>
      </c>
      <c r="V14" s="74"/>
      <c r="W14" s="34">
        <f>IF(X14&gt;3,"FALSE",U14)</f>
        <v>24.782</v>
      </c>
      <c r="X14" s="34">
        <f t="shared" ref="X14:X77" si="0">IF(U14="","FALSE",ABS((U14-AVERAGE($U$14:$U$120))/_xlfn.STDEV.S($U$14:$U$104)))</f>
        <v>0.1105273987421001</v>
      </c>
      <c r="Y14" s="35" t="str">
        <f>IF(OR(U14&gt;$Y$11,U14&lt;$X$11),U14,"")</f>
        <v/>
      </c>
      <c r="Z14" s="36">
        <f>IF(U14="","",U14/T14)</f>
        <v>0.99566090799517881</v>
      </c>
      <c r="AA14" s="6"/>
      <c r="AB14" s="37">
        <v>1.484</v>
      </c>
      <c r="AC14" s="38">
        <v>1.52</v>
      </c>
      <c r="AD14" s="38"/>
      <c r="AE14" s="34">
        <f>IF(AF14&gt;3,"FALSE",AC14)</f>
        <v>1.52</v>
      </c>
      <c r="AF14" s="34">
        <f>IF(AC14="","FALSE",ABS((AC14-AVERAGE($AC$14:$AC$120))/_xlfn.STDEV.S($AC$14:$AC$104)))</f>
        <v>0.63786393995232882</v>
      </c>
      <c r="AG14" s="35" t="str">
        <f t="shared" ref="AG14:AG77" si="1">IF(OR(AC14&gt;$AG$11,AC14&lt;$AF$11),AC14,"")</f>
        <v/>
      </c>
      <c r="AH14" s="36">
        <f t="shared" ref="AH14:AH77" si="2">IF(AC14="","",AC14/AB14)</f>
        <v>1.0242587601078168</v>
      </c>
    </row>
    <row r="15" spans="1:34" ht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29">
        <f t="shared" ref="P15:P78" si="3">IF(R15&lt;&gt;"",P14+1,"")</f>
        <v>2</v>
      </c>
      <c r="Q15" s="30" t="s">
        <v>106</v>
      </c>
      <c r="R15" s="31">
        <v>45677</v>
      </c>
      <c r="S15" s="68"/>
      <c r="T15" s="32">
        <v>24.89</v>
      </c>
      <c r="U15" s="38">
        <v>29.823</v>
      </c>
      <c r="V15" s="74"/>
      <c r="W15" s="34">
        <f t="shared" ref="W15:W78" si="4">IF(X15&gt;3,"FALSE",U15)</f>
        <v>29.823</v>
      </c>
      <c r="X15" s="34">
        <f t="shared" si="0"/>
        <v>1.54886796953255</v>
      </c>
      <c r="Y15" s="35" t="str">
        <f t="shared" ref="Y15:Y78" si="5">IF(OR(U15&gt;$Y$11,U15&lt;$X$11),U15,"")</f>
        <v/>
      </c>
      <c r="Z15" s="36">
        <f t="shared" ref="Z15:Z78" si="6">IF(U15="","",U15/T15)</f>
        <v>1.1981920449979913</v>
      </c>
      <c r="AA15" s="6"/>
      <c r="AB15" s="37">
        <v>1.484</v>
      </c>
      <c r="AC15" s="38">
        <v>1.3620000000000001</v>
      </c>
      <c r="AD15" s="38"/>
      <c r="AE15" s="34">
        <f t="shared" ref="AE15:AE54" si="7">IF(AF15&gt;3,"FALSE",AC15)</f>
        <v>1.3620000000000001</v>
      </c>
      <c r="AF15" s="34">
        <f t="shared" ref="AF15:AF78" si="8">IF(AC15="","FALSE",ABS((AC15-AVERAGE($AC$14:$AC$120))/_xlfn.STDEV.S($AC$14:$AC$104)))</f>
        <v>0.16021764410507586</v>
      </c>
      <c r="AG15" s="35" t="str">
        <f t="shared" si="1"/>
        <v/>
      </c>
      <c r="AH15" s="36">
        <f t="shared" si="2"/>
        <v>0.91778975741239899</v>
      </c>
    </row>
    <row r="16" spans="1:34" ht="1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29">
        <f t="shared" si="3"/>
        <v>3</v>
      </c>
      <c r="Q16" s="30" t="s">
        <v>106</v>
      </c>
      <c r="R16" s="31">
        <v>45677</v>
      </c>
      <c r="S16" s="68"/>
      <c r="T16" s="32">
        <v>24.89</v>
      </c>
      <c r="U16" s="38">
        <v>20.04</v>
      </c>
      <c r="V16" s="74"/>
      <c r="W16" s="34">
        <f t="shared" si="4"/>
        <v>20.04</v>
      </c>
      <c r="X16" s="34">
        <f t="shared" si="0"/>
        <v>1.2424999741379463</v>
      </c>
      <c r="Y16" s="35" t="str">
        <f t="shared" si="5"/>
        <v/>
      </c>
      <c r="Z16" s="36">
        <f t="shared" si="6"/>
        <v>0.80514262756126953</v>
      </c>
      <c r="AA16" s="6"/>
      <c r="AB16" s="37">
        <v>1.484</v>
      </c>
      <c r="AC16" s="38">
        <v>1.726</v>
      </c>
      <c r="AD16" s="38"/>
      <c r="AE16" s="34">
        <f t="shared" si="7"/>
        <v>1.726</v>
      </c>
      <c r="AF16" s="34">
        <f t="shared" si="8"/>
        <v>1.6784006887866669</v>
      </c>
      <c r="AG16" s="35" t="str">
        <f t="shared" si="1"/>
        <v/>
      </c>
      <c r="AH16" s="36">
        <f t="shared" si="2"/>
        <v>1.1630727762803235</v>
      </c>
    </row>
    <row r="17" spans="1:34" ht="1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29">
        <f t="shared" si="3"/>
        <v>4</v>
      </c>
      <c r="Q17" s="30" t="s">
        <v>106</v>
      </c>
      <c r="R17" s="31">
        <v>45677</v>
      </c>
      <c r="S17" s="68"/>
      <c r="T17" s="32">
        <v>24.89</v>
      </c>
      <c r="U17" s="38">
        <v>26.152999999999999</v>
      </c>
      <c r="V17" s="74"/>
      <c r="W17" s="34">
        <f t="shared" si="4"/>
        <v>26.152999999999999</v>
      </c>
      <c r="X17" s="34">
        <f t="shared" si="0"/>
        <v>0.50171266407709414</v>
      </c>
      <c r="Y17" s="35" t="str">
        <f t="shared" si="5"/>
        <v/>
      </c>
      <c r="Z17" s="36">
        <f t="shared" si="6"/>
        <v>1.0507432703897146</v>
      </c>
      <c r="AA17" s="6"/>
      <c r="AB17" s="37">
        <v>1.484</v>
      </c>
      <c r="AC17" s="38">
        <v>1.667</v>
      </c>
      <c r="AD17" s="38"/>
      <c r="AE17" s="34">
        <f t="shared" si="7"/>
        <v>1.667</v>
      </c>
      <c r="AF17" s="34">
        <f t="shared" si="8"/>
        <v>1.3803828820816868</v>
      </c>
      <c r="AG17" s="35" t="str">
        <f t="shared" si="1"/>
        <v/>
      </c>
      <c r="AH17" s="36">
        <f t="shared" si="2"/>
        <v>1.1233153638814017</v>
      </c>
    </row>
    <row r="18" spans="1:34" ht="1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29">
        <f t="shared" si="3"/>
        <v>5</v>
      </c>
      <c r="Q18" s="30" t="s">
        <v>106</v>
      </c>
      <c r="R18" s="31">
        <v>45677</v>
      </c>
      <c r="S18" s="68"/>
      <c r="T18" s="32">
        <v>24.89</v>
      </c>
      <c r="U18" s="38">
        <v>21.821999999999999</v>
      </c>
      <c r="V18" s="74"/>
      <c r="W18" s="34">
        <f t="shared" si="4"/>
        <v>21.821999999999999</v>
      </c>
      <c r="X18" s="34">
        <f t="shared" si="0"/>
        <v>0.73404472772878515</v>
      </c>
      <c r="Y18" s="35" t="str">
        <f t="shared" si="5"/>
        <v/>
      </c>
      <c r="Z18" s="36">
        <f t="shared" si="6"/>
        <v>0.87673764564081957</v>
      </c>
      <c r="AA18" s="6"/>
      <c r="AB18" s="37">
        <v>1.484</v>
      </c>
      <c r="AC18" s="38">
        <v>1.4450000000000001</v>
      </c>
      <c r="AD18" s="38"/>
      <c r="AE18" s="34">
        <f t="shared" si="7"/>
        <v>1.4450000000000001</v>
      </c>
      <c r="AF18" s="34">
        <f t="shared" si="8"/>
        <v>0.25902774498837094</v>
      </c>
      <c r="AG18" s="35" t="str">
        <f t="shared" si="1"/>
        <v/>
      </c>
      <c r="AH18" s="36">
        <f t="shared" si="2"/>
        <v>0.97371967654986524</v>
      </c>
    </row>
    <row r="19" spans="1:34" ht="1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29">
        <f t="shared" si="3"/>
        <v>6</v>
      </c>
      <c r="Q19" s="30" t="s">
        <v>106</v>
      </c>
      <c r="R19" s="31">
        <v>45678</v>
      </c>
      <c r="S19" s="68"/>
      <c r="T19" s="32">
        <v>24.89</v>
      </c>
      <c r="U19" s="38">
        <v>23.6</v>
      </c>
      <c r="V19" s="74"/>
      <c r="W19" s="34">
        <f t="shared" si="4"/>
        <v>23.6</v>
      </c>
      <c r="X19" s="34">
        <f t="shared" si="0"/>
        <v>0.22673079500404344</v>
      </c>
      <c r="Y19" s="35" t="str">
        <f t="shared" si="5"/>
        <v/>
      </c>
      <c r="Z19" s="36">
        <f t="shared" si="6"/>
        <v>0.94817195660907994</v>
      </c>
      <c r="AA19" s="6"/>
      <c r="AB19" s="37">
        <v>1.484</v>
      </c>
      <c r="AC19" s="38">
        <v>1.37</v>
      </c>
      <c r="AD19" s="38"/>
      <c r="AE19" s="34">
        <f t="shared" si="7"/>
        <v>1.37</v>
      </c>
      <c r="AF19" s="34">
        <f t="shared" si="8"/>
        <v>0.11980844997558697</v>
      </c>
      <c r="AG19" s="35" t="str">
        <f t="shared" si="1"/>
        <v/>
      </c>
      <c r="AH19" s="36">
        <f t="shared" si="2"/>
        <v>0.9231805929919138</v>
      </c>
    </row>
    <row r="20" spans="1:34" ht="1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29">
        <f t="shared" si="3"/>
        <v>7</v>
      </c>
      <c r="Q20" s="30" t="s">
        <v>106</v>
      </c>
      <c r="R20" s="31">
        <v>45678</v>
      </c>
      <c r="S20" s="68"/>
      <c r="T20" s="32">
        <v>24.89</v>
      </c>
      <c r="U20" s="38">
        <v>28.056999999999999</v>
      </c>
      <c r="V20" s="74"/>
      <c r="W20" s="34">
        <f t="shared" si="4"/>
        <v>28.056999999999999</v>
      </c>
      <c r="X20" s="34">
        <f t="shared" si="0"/>
        <v>1.0449779778610688</v>
      </c>
      <c r="Y20" s="35" t="str">
        <f t="shared" si="5"/>
        <v/>
      </c>
      <c r="Z20" s="36">
        <f t="shared" si="6"/>
        <v>1.1272398553635998</v>
      </c>
      <c r="AA20" s="6"/>
      <c r="AB20" s="37">
        <v>1.484</v>
      </c>
      <c r="AC20" s="38">
        <v>1.256</v>
      </c>
      <c r="AD20" s="38"/>
      <c r="AE20" s="34">
        <f t="shared" si="7"/>
        <v>1.256</v>
      </c>
      <c r="AF20" s="34">
        <f t="shared" si="8"/>
        <v>0.69563946632080387</v>
      </c>
      <c r="AG20" s="35" t="str">
        <f t="shared" si="1"/>
        <v/>
      </c>
      <c r="AH20" s="36">
        <f t="shared" si="2"/>
        <v>0.84636118598382748</v>
      </c>
    </row>
    <row r="21" spans="1:34" ht="1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29">
        <f t="shared" si="3"/>
        <v>8</v>
      </c>
      <c r="Q21" s="30" t="s">
        <v>106</v>
      </c>
      <c r="R21" s="31">
        <v>45678</v>
      </c>
      <c r="S21" s="68"/>
      <c r="T21" s="32">
        <v>24.89</v>
      </c>
      <c r="U21" s="38">
        <v>28.244</v>
      </c>
      <c r="V21" s="74"/>
      <c r="W21" s="34">
        <f t="shared" si="4"/>
        <v>28.244</v>
      </c>
      <c r="X21" s="34">
        <f t="shared" si="0"/>
        <v>1.0983343926077094</v>
      </c>
      <c r="Y21" s="35" t="str">
        <f t="shared" si="5"/>
        <v/>
      </c>
      <c r="Z21" s="36">
        <f t="shared" si="6"/>
        <v>1.134752912816392</v>
      </c>
      <c r="AA21" s="6"/>
      <c r="AB21" s="37">
        <v>1.484</v>
      </c>
      <c r="AC21" s="38">
        <v>1.891</v>
      </c>
      <c r="AD21" s="38"/>
      <c r="AE21" s="34">
        <f t="shared" si="7"/>
        <v>1.891</v>
      </c>
      <c r="AF21" s="34">
        <f t="shared" si="8"/>
        <v>2.5118403177073749</v>
      </c>
      <c r="AG21" s="35">
        <f t="shared" si="1"/>
        <v>1.891</v>
      </c>
      <c r="AH21" s="36">
        <f t="shared" si="2"/>
        <v>1.2742587601078168</v>
      </c>
    </row>
    <row r="22" spans="1:34" ht="1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29">
        <f t="shared" si="3"/>
        <v>9</v>
      </c>
      <c r="Q22" s="30" t="s">
        <v>106</v>
      </c>
      <c r="R22" s="31">
        <v>45678</v>
      </c>
      <c r="S22" s="68"/>
      <c r="T22" s="32">
        <v>24.89</v>
      </c>
      <c r="U22" s="38">
        <v>24.783999999999999</v>
      </c>
      <c r="V22" s="74"/>
      <c r="W22" s="34">
        <f t="shared" si="4"/>
        <v>24.783999999999999</v>
      </c>
      <c r="X22" s="34">
        <f t="shared" si="0"/>
        <v>0.11109805558430984</v>
      </c>
      <c r="Y22" s="35" t="str">
        <f t="shared" si="5"/>
        <v/>
      </c>
      <c r="Z22" s="36">
        <f t="shared" si="6"/>
        <v>0.99574126155082354</v>
      </c>
      <c r="AA22" s="6"/>
      <c r="AB22" s="37">
        <v>1.484</v>
      </c>
      <c r="AC22" s="38">
        <v>1.8129999999999999</v>
      </c>
      <c r="AD22" s="38"/>
      <c r="AE22" s="34">
        <f t="shared" si="7"/>
        <v>1.8129999999999999</v>
      </c>
      <c r="AF22" s="34">
        <f t="shared" si="8"/>
        <v>2.117850674944858</v>
      </c>
      <c r="AG22" s="35">
        <f t="shared" si="1"/>
        <v>1.8129999999999999</v>
      </c>
      <c r="AH22" s="36">
        <f t="shared" si="2"/>
        <v>1.2216981132075471</v>
      </c>
    </row>
    <row r="23" spans="1:34" ht="1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29">
        <f t="shared" si="3"/>
        <v>10</v>
      </c>
      <c r="Q23" s="30" t="s">
        <v>106</v>
      </c>
      <c r="R23" s="31">
        <v>45678</v>
      </c>
      <c r="S23" s="68"/>
      <c r="T23" s="32">
        <v>24.89</v>
      </c>
      <c r="U23" s="38">
        <v>25.059000000000001</v>
      </c>
      <c r="V23" s="74"/>
      <c r="W23" s="34">
        <f t="shared" si="4"/>
        <v>25.059000000000001</v>
      </c>
      <c r="X23" s="34">
        <f t="shared" si="0"/>
        <v>0.18956337138819335</v>
      </c>
      <c r="Y23" s="35" t="str">
        <f t="shared" si="5"/>
        <v/>
      </c>
      <c r="Z23" s="36">
        <f t="shared" si="6"/>
        <v>1.0067898754519888</v>
      </c>
      <c r="AA23" s="6"/>
      <c r="AB23" s="37">
        <v>1.484</v>
      </c>
      <c r="AC23" s="38">
        <v>1.706</v>
      </c>
      <c r="AD23" s="38"/>
      <c r="AE23" s="34">
        <f t="shared" si="7"/>
        <v>1.706</v>
      </c>
      <c r="AF23" s="34">
        <f t="shared" si="8"/>
        <v>1.5773777034629448</v>
      </c>
      <c r="AG23" s="35" t="str">
        <f t="shared" si="1"/>
        <v/>
      </c>
      <c r="AH23" s="36">
        <f t="shared" si="2"/>
        <v>1.1495956873315363</v>
      </c>
    </row>
    <row r="24" spans="1:34" ht="1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29">
        <f t="shared" si="3"/>
        <v>11</v>
      </c>
      <c r="Q24" s="30" t="s">
        <v>106</v>
      </c>
      <c r="R24" s="31">
        <v>45679</v>
      </c>
      <c r="S24" s="68"/>
      <c r="T24" s="32">
        <v>24.89</v>
      </c>
      <c r="U24" s="38">
        <v>20.251999999999999</v>
      </c>
      <c r="V24" s="74"/>
      <c r="W24" s="34">
        <f t="shared" si="4"/>
        <v>20.251999999999999</v>
      </c>
      <c r="X24" s="34">
        <f t="shared" si="0"/>
        <v>1.1820103488636804</v>
      </c>
      <c r="Y24" s="35" t="str">
        <f t="shared" si="5"/>
        <v/>
      </c>
      <c r="Z24" s="36">
        <f t="shared" si="6"/>
        <v>0.81366010445962222</v>
      </c>
      <c r="AA24" s="6"/>
      <c r="AB24" s="37">
        <v>1.484</v>
      </c>
      <c r="AC24" s="38">
        <v>1.3580000000000001</v>
      </c>
      <c r="AD24" s="38"/>
      <c r="AE24" s="34">
        <f t="shared" si="7"/>
        <v>1.3580000000000001</v>
      </c>
      <c r="AF24" s="34">
        <f t="shared" si="8"/>
        <v>0.18042224116982034</v>
      </c>
      <c r="AG24" s="35" t="str">
        <f t="shared" si="1"/>
        <v/>
      </c>
      <c r="AH24" s="36">
        <f t="shared" si="2"/>
        <v>0.91509433962264153</v>
      </c>
    </row>
    <row r="25" spans="1:34" ht="1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29">
        <f t="shared" si="3"/>
        <v>12</v>
      </c>
      <c r="Q25" s="30" t="s">
        <v>106</v>
      </c>
      <c r="R25" s="31">
        <v>45679</v>
      </c>
      <c r="S25" s="68"/>
      <c r="T25" s="32">
        <v>24.89</v>
      </c>
      <c r="U25" s="38">
        <v>22.151</v>
      </c>
      <c r="V25" s="74"/>
      <c r="W25" s="34">
        <f t="shared" si="4"/>
        <v>22.151</v>
      </c>
      <c r="X25" s="34">
        <f t="shared" si="0"/>
        <v>0.64017167718523049</v>
      </c>
      <c r="Y25" s="35" t="str">
        <f t="shared" si="5"/>
        <v/>
      </c>
      <c r="Z25" s="36">
        <f t="shared" si="6"/>
        <v>0.88995580554439535</v>
      </c>
      <c r="AA25" s="6"/>
      <c r="AB25" s="37">
        <v>1.484</v>
      </c>
      <c r="AC25" s="38">
        <v>1.085</v>
      </c>
      <c r="AD25" s="38"/>
      <c r="AE25" s="34">
        <f t="shared" si="7"/>
        <v>1.085</v>
      </c>
      <c r="AF25" s="34">
        <f t="shared" si="8"/>
        <v>1.5593859908386285</v>
      </c>
      <c r="AG25" s="35" t="str">
        <f t="shared" si="1"/>
        <v/>
      </c>
      <c r="AH25" s="36">
        <f t="shared" si="2"/>
        <v>0.73113207547169812</v>
      </c>
    </row>
    <row r="26" spans="1:34" ht="1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29">
        <f t="shared" si="3"/>
        <v>13</v>
      </c>
      <c r="Q26" s="30" t="s">
        <v>106</v>
      </c>
      <c r="R26" s="31">
        <v>45679</v>
      </c>
      <c r="S26" s="68"/>
      <c r="T26" s="32">
        <v>24.89</v>
      </c>
      <c r="U26" s="38">
        <v>24.388999999999999</v>
      </c>
      <c r="V26" s="74"/>
      <c r="W26" s="34">
        <f t="shared" si="4"/>
        <v>24.388999999999999</v>
      </c>
      <c r="X26" s="34">
        <f t="shared" si="0"/>
        <v>1.6066707521763827E-3</v>
      </c>
      <c r="Y26" s="35" t="str">
        <f t="shared" si="5"/>
        <v/>
      </c>
      <c r="Z26" s="36">
        <f t="shared" si="6"/>
        <v>0.97987143431096824</v>
      </c>
      <c r="AA26" s="6"/>
      <c r="AB26" s="37">
        <v>1.484</v>
      </c>
      <c r="AC26" s="38">
        <v>1.252</v>
      </c>
      <c r="AD26" s="38"/>
      <c r="AE26" s="34">
        <f t="shared" si="7"/>
        <v>1.252</v>
      </c>
      <c r="AF26" s="34">
        <f t="shared" si="8"/>
        <v>0.71584406338554829</v>
      </c>
      <c r="AG26" s="35" t="str">
        <f t="shared" si="1"/>
        <v/>
      </c>
      <c r="AH26" s="36">
        <f t="shared" si="2"/>
        <v>0.84366576819407013</v>
      </c>
    </row>
    <row r="27" spans="1:34" ht="1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29">
        <f t="shared" si="3"/>
        <v>14</v>
      </c>
      <c r="Q27" s="30" t="s">
        <v>106</v>
      </c>
      <c r="R27" s="31">
        <v>45679</v>
      </c>
      <c r="S27" s="68"/>
      <c r="T27" s="32">
        <v>24.89</v>
      </c>
      <c r="U27" s="38">
        <v>20.108000000000001</v>
      </c>
      <c r="V27" s="74"/>
      <c r="W27" s="34">
        <f t="shared" si="4"/>
        <v>20.108000000000001</v>
      </c>
      <c r="X27" s="34">
        <f t="shared" si="0"/>
        <v>1.2230976415028041</v>
      </c>
      <c r="Y27" s="35" t="str">
        <f t="shared" si="5"/>
        <v/>
      </c>
      <c r="Z27" s="36">
        <f t="shared" si="6"/>
        <v>0.80787464845319401</v>
      </c>
      <c r="AA27" s="6"/>
      <c r="AB27" s="37">
        <v>1.484</v>
      </c>
      <c r="AC27" s="38">
        <v>1.3879999999999999</v>
      </c>
      <c r="AD27" s="38"/>
      <c r="AE27" s="34">
        <f t="shared" si="7"/>
        <v>1.3879999999999999</v>
      </c>
      <c r="AF27" s="34">
        <f t="shared" si="8"/>
        <v>2.8887763184238059E-2</v>
      </c>
      <c r="AG27" s="35" t="str">
        <f t="shared" si="1"/>
        <v/>
      </c>
      <c r="AH27" s="36">
        <f t="shared" si="2"/>
        <v>0.93530997304582209</v>
      </c>
    </row>
    <row r="28" spans="1:34" ht="1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29">
        <f t="shared" si="3"/>
        <v>15</v>
      </c>
      <c r="Q28" s="30" t="s">
        <v>106</v>
      </c>
      <c r="R28" s="31">
        <v>45679</v>
      </c>
      <c r="S28" s="68"/>
      <c r="T28" s="32">
        <v>24.89</v>
      </c>
      <c r="U28" s="38">
        <v>20.966999999999999</v>
      </c>
      <c r="V28" s="74"/>
      <c r="W28" s="34">
        <f t="shared" si="4"/>
        <v>20.966999999999999</v>
      </c>
      <c r="X28" s="34">
        <f t="shared" si="0"/>
        <v>0.97800052777358482</v>
      </c>
      <c r="Y28" s="35" t="str">
        <f t="shared" si="5"/>
        <v/>
      </c>
      <c r="Z28" s="36">
        <f t="shared" si="6"/>
        <v>0.84238650060265163</v>
      </c>
      <c r="AA28" s="6"/>
      <c r="AB28" s="37">
        <v>1.484</v>
      </c>
      <c r="AC28" s="38">
        <v>1.5940000000000001</v>
      </c>
      <c r="AD28" s="38"/>
      <c r="AE28" s="34">
        <f t="shared" si="7"/>
        <v>1.5940000000000001</v>
      </c>
      <c r="AF28" s="34">
        <f t="shared" si="8"/>
        <v>1.0116489856501012</v>
      </c>
      <c r="AG28" s="35" t="str">
        <f t="shared" si="1"/>
        <v/>
      </c>
      <c r="AH28" s="36">
        <f t="shared" si="2"/>
        <v>1.074123989218329</v>
      </c>
    </row>
    <row r="29" spans="1:34" ht="1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 t="s">
        <v>107</v>
      </c>
      <c r="O29" s="8"/>
      <c r="P29" s="29">
        <f t="shared" si="3"/>
        <v>16</v>
      </c>
      <c r="Q29" s="30" t="s">
        <v>106</v>
      </c>
      <c r="R29" s="31">
        <v>45681</v>
      </c>
      <c r="S29" s="68"/>
      <c r="T29" s="32">
        <v>24.89</v>
      </c>
      <c r="U29" s="38">
        <v>20.271000000000001</v>
      </c>
      <c r="V29" s="74"/>
      <c r="W29" s="34">
        <f t="shared" si="4"/>
        <v>20.271000000000001</v>
      </c>
      <c r="X29" s="34">
        <f t="shared" si="0"/>
        <v>1.1765891088626843</v>
      </c>
      <c r="Y29" s="35" t="str">
        <f t="shared" si="5"/>
        <v/>
      </c>
      <c r="Z29" s="36">
        <f t="shared" si="6"/>
        <v>0.81442346323824832</v>
      </c>
      <c r="AA29" s="6"/>
      <c r="AB29" s="37">
        <v>1.484</v>
      </c>
      <c r="AC29" s="38">
        <v>1.3440000000000001</v>
      </c>
      <c r="AD29" s="38"/>
      <c r="AE29" s="34">
        <f t="shared" si="7"/>
        <v>1.3440000000000001</v>
      </c>
      <c r="AF29" s="34">
        <f t="shared" si="8"/>
        <v>0.2511383308964259</v>
      </c>
      <c r="AG29" s="35" t="str">
        <f t="shared" si="1"/>
        <v/>
      </c>
      <c r="AH29" s="36">
        <f t="shared" si="2"/>
        <v>0.90566037735849059</v>
      </c>
    </row>
    <row r="30" spans="1:34" ht="1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29">
        <f t="shared" si="3"/>
        <v>17</v>
      </c>
      <c r="Q30" s="30" t="s">
        <v>106</v>
      </c>
      <c r="R30" s="31">
        <v>45681</v>
      </c>
      <c r="S30" s="68"/>
      <c r="T30" s="32">
        <v>24.89</v>
      </c>
      <c r="U30" s="38">
        <v>21.579000000000001</v>
      </c>
      <c r="V30" s="74"/>
      <c r="W30" s="34">
        <f t="shared" si="4"/>
        <v>21.579000000000001</v>
      </c>
      <c r="X30" s="34">
        <f t="shared" si="0"/>
        <v>0.80337953405730678</v>
      </c>
      <c r="Y30" s="35" t="str">
        <f t="shared" si="5"/>
        <v/>
      </c>
      <c r="Z30" s="36">
        <f t="shared" si="6"/>
        <v>0.86697468862997185</v>
      </c>
      <c r="AA30" s="6"/>
      <c r="AB30" s="37">
        <v>1.484</v>
      </c>
      <c r="AC30" s="38">
        <v>1.39</v>
      </c>
      <c r="AD30" s="38"/>
      <c r="AE30" s="34">
        <f t="shared" si="7"/>
        <v>1.39</v>
      </c>
      <c r="AF30" s="34">
        <f t="shared" si="8"/>
        <v>1.878546465186583E-2</v>
      </c>
      <c r="AG30" s="35" t="str">
        <f t="shared" si="1"/>
        <v/>
      </c>
      <c r="AH30" s="36">
        <f t="shared" si="2"/>
        <v>0.93665768194070076</v>
      </c>
    </row>
    <row r="31" spans="1:34" ht="1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29">
        <f t="shared" si="3"/>
        <v>18</v>
      </c>
      <c r="Q31" s="30" t="s">
        <v>106</v>
      </c>
      <c r="R31" s="31">
        <v>45681</v>
      </c>
      <c r="S31" s="68"/>
      <c r="T31" s="32">
        <v>24.89</v>
      </c>
      <c r="U31" s="38">
        <v>22.536999999999999</v>
      </c>
      <c r="V31" s="74"/>
      <c r="W31" s="34">
        <f t="shared" si="4"/>
        <v>22.536999999999999</v>
      </c>
      <c r="X31" s="34">
        <f t="shared" si="0"/>
        <v>0.53003490663868968</v>
      </c>
      <c r="Y31" s="35" t="str">
        <f t="shared" si="5"/>
        <v/>
      </c>
      <c r="Z31" s="36">
        <f t="shared" si="6"/>
        <v>0.90546404178384887</v>
      </c>
      <c r="AA31" s="6"/>
      <c r="AB31" s="37">
        <v>1.484</v>
      </c>
      <c r="AC31" s="38">
        <v>1.32</v>
      </c>
      <c r="AD31" s="38"/>
      <c r="AE31" s="34">
        <f t="shared" si="7"/>
        <v>1.32</v>
      </c>
      <c r="AF31" s="34">
        <f t="shared" si="8"/>
        <v>0.3723659132848926</v>
      </c>
      <c r="AG31" s="35" t="str">
        <f t="shared" si="1"/>
        <v/>
      </c>
      <c r="AH31" s="36">
        <f t="shared" si="2"/>
        <v>0.88948787061994616</v>
      </c>
    </row>
    <row r="32" spans="1:34" ht="1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29">
        <f t="shared" si="3"/>
        <v>19</v>
      </c>
      <c r="Q32" s="30" t="s">
        <v>106</v>
      </c>
      <c r="R32" s="31">
        <v>45681</v>
      </c>
      <c r="S32" s="68"/>
      <c r="T32" s="32">
        <v>24.89</v>
      </c>
      <c r="U32" s="38">
        <v>23.335999999999999</v>
      </c>
      <c r="V32" s="74"/>
      <c r="W32" s="34">
        <f t="shared" si="4"/>
        <v>23.335999999999999</v>
      </c>
      <c r="X32" s="34">
        <f t="shared" si="0"/>
        <v>0.30205749817577188</v>
      </c>
      <c r="Y32" s="35" t="str">
        <f t="shared" si="5"/>
        <v/>
      </c>
      <c r="Z32" s="36">
        <f t="shared" si="6"/>
        <v>0.93756528726396138</v>
      </c>
      <c r="AA32" s="6"/>
      <c r="AB32" s="37">
        <v>1.484</v>
      </c>
      <c r="AC32" s="38">
        <v>1.302</v>
      </c>
      <c r="AD32" s="38"/>
      <c r="AE32" s="34">
        <f t="shared" si="7"/>
        <v>1.302</v>
      </c>
      <c r="AF32" s="34">
        <f t="shared" si="8"/>
        <v>0.46328660007624262</v>
      </c>
      <c r="AG32" s="35" t="str">
        <f t="shared" si="1"/>
        <v/>
      </c>
      <c r="AH32" s="36">
        <f t="shared" si="2"/>
        <v>0.87735849056603776</v>
      </c>
    </row>
    <row r="33" spans="1:34" ht="1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29">
        <f t="shared" si="3"/>
        <v>20</v>
      </c>
      <c r="Q33" s="30" t="s">
        <v>106</v>
      </c>
      <c r="R33" s="31">
        <v>45681</v>
      </c>
      <c r="S33" s="68"/>
      <c r="T33" s="32">
        <v>24.89</v>
      </c>
      <c r="U33" s="38">
        <v>19.843</v>
      </c>
      <c r="V33" s="74"/>
      <c r="W33" s="34">
        <f t="shared" si="4"/>
        <v>19.843</v>
      </c>
      <c r="X33" s="34">
        <f t="shared" si="0"/>
        <v>1.2987096730956367</v>
      </c>
      <c r="Y33" s="35" t="str">
        <f t="shared" si="5"/>
        <v/>
      </c>
      <c r="Z33" s="36">
        <f t="shared" si="6"/>
        <v>0.79722780233025314</v>
      </c>
      <c r="AA33" s="6"/>
      <c r="AB33" s="37">
        <v>1.484</v>
      </c>
      <c r="AC33" s="38">
        <v>1.272</v>
      </c>
      <c r="AD33" s="38"/>
      <c r="AE33" s="34">
        <f t="shared" si="7"/>
        <v>1.272</v>
      </c>
      <c r="AF33" s="34">
        <f t="shared" si="8"/>
        <v>0.61482107806182607</v>
      </c>
      <c r="AG33" s="35" t="str">
        <f t="shared" si="1"/>
        <v/>
      </c>
      <c r="AH33" s="36">
        <f t="shared" si="2"/>
        <v>0.85714285714285721</v>
      </c>
    </row>
    <row r="34" spans="1:34" ht="1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29">
        <f t="shared" si="3"/>
        <v>21</v>
      </c>
      <c r="Q34" s="30" t="s">
        <v>108</v>
      </c>
      <c r="R34" s="31">
        <v>45743</v>
      </c>
      <c r="S34" s="68"/>
      <c r="T34" s="39">
        <v>27.28</v>
      </c>
      <c r="U34" s="38">
        <v>23.071000000000002</v>
      </c>
      <c r="V34" s="74"/>
      <c r="W34" s="34">
        <f t="shared" si="4"/>
        <v>23.071000000000002</v>
      </c>
      <c r="X34" s="34">
        <f t="shared" si="0"/>
        <v>0.37766952976860363</v>
      </c>
      <c r="Y34" s="35" t="str">
        <f t="shared" si="5"/>
        <v/>
      </c>
      <c r="Z34" s="36">
        <f t="shared" si="6"/>
        <v>0.84571114369501466</v>
      </c>
      <c r="AA34" s="6"/>
      <c r="AB34" s="37">
        <v>1.3839999999999999</v>
      </c>
      <c r="AC34" s="38">
        <v>1.365</v>
      </c>
      <c r="AD34" s="38"/>
      <c r="AE34" s="34">
        <f t="shared" si="7"/>
        <v>1.365</v>
      </c>
      <c r="AF34" s="34">
        <f t="shared" si="8"/>
        <v>0.1450641963065181</v>
      </c>
      <c r="AG34" s="35" t="str">
        <f t="shared" si="1"/>
        <v/>
      </c>
      <c r="AH34" s="36">
        <f t="shared" si="2"/>
        <v>0.9862716763005781</v>
      </c>
    </row>
    <row r="35" spans="1:34" ht="1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29">
        <f t="shared" si="3"/>
        <v>22</v>
      </c>
      <c r="Q35" s="30" t="s">
        <v>108</v>
      </c>
      <c r="R35" s="31">
        <v>45743</v>
      </c>
      <c r="S35" s="68"/>
      <c r="T35" s="39">
        <v>27.28</v>
      </c>
      <c r="U35" s="38">
        <v>22.687999999999999</v>
      </c>
      <c r="V35" s="74"/>
      <c r="W35" s="34">
        <f t="shared" si="4"/>
        <v>22.687999999999999</v>
      </c>
      <c r="X35" s="34">
        <f t="shared" si="0"/>
        <v>0.4869503150518304</v>
      </c>
      <c r="Y35" s="35" t="str">
        <f t="shared" si="5"/>
        <v/>
      </c>
      <c r="Z35" s="36">
        <f t="shared" si="6"/>
        <v>0.8316715542521993</v>
      </c>
      <c r="AA35" s="6"/>
      <c r="AB35" s="37">
        <v>1.3839999999999999</v>
      </c>
      <c r="AC35" s="38">
        <v>1.161</v>
      </c>
      <c r="AD35" s="38"/>
      <c r="AE35" s="34">
        <f t="shared" si="7"/>
        <v>1.161</v>
      </c>
      <c r="AF35" s="34">
        <f t="shared" si="8"/>
        <v>1.175498646608484</v>
      </c>
      <c r="AG35" s="35" t="str">
        <f t="shared" si="1"/>
        <v/>
      </c>
      <c r="AH35" s="36">
        <f t="shared" si="2"/>
        <v>0.83887283236994226</v>
      </c>
    </row>
    <row r="36" spans="1:34" ht="1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29">
        <f t="shared" si="3"/>
        <v>23</v>
      </c>
      <c r="Q36" s="30" t="s">
        <v>108</v>
      </c>
      <c r="R36" s="31">
        <v>45772</v>
      </c>
      <c r="S36" s="68"/>
      <c r="T36" s="39">
        <v>27.28</v>
      </c>
      <c r="U36" s="38">
        <v>21.966000000000001</v>
      </c>
      <c r="V36" s="74"/>
      <c r="W36" s="34">
        <f t="shared" si="4"/>
        <v>21.966000000000001</v>
      </c>
      <c r="X36" s="34">
        <f t="shared" si="0"/>
        <v>0.69295743508966046</v>
      </c>
      <c r="Y36" s="35" t="str">
        <f t="shared" si="5"/>
        <v/>
      </c>
      <c r="Z36" s="36">
        <f t="shared" si="6"/>
        <v>0.80520527859237534</v>
      </c>
      <c r="AA36" s="6"/>
      <c r="AB36" s="37">
        <v>1.3839999999999999</v>
      </c>
      <c r="AC36" s="38">
        <v>1.272</v>
      </c>
      <c r="AD36" s="38"/>
      <c r="AE36" s="34">
        <f t="shared" si="7"/>
        <v>1.272</v>
      </c>
      <c r="AF36" s="34">
        <f t="shared" si="8"/>
        <v>0.61482107806182607</v>
      </c>
      <c r="AG36" s="35" t="str">
        <f t="shared" si="1"/>
        <v/>
      </c>
      <c r="AH36" s="36">
        <f t="shared" si="2"/>
        <v>0.91907514450867056</v>
      </c>
    </row>
    <row r="37" spans="1:34" ht="1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29">
        <f t="shared" si="3"/>
        <v>24</v>
      </c>
      <c r="Q37" s="30" t="s">
        <v>108</v>
      </c>
      <c r="R37" s="31">
        <v>45772</v>
      </c>
      <c r="S37" s="68"/>
      <c r="T37" s="39">
        <v>27.28</v>
      </c>
      <c r="U37" s="38">
        <v>22.050999999999998</v>
      </c>
      <c r="V37" s="74"/>
      <c r="W37" s="34">
        <f t="shared" si="4"/>
        <v>22.050999999999998</v>
      </c>
      <c r="X37" s="34">
        <f t="shared" si="0"/>
        <v>0.66870451929573382</v>
      </c>
      <c r="Y37" s="35" t="str">
        <f t="shared" si="5"/>
        <v/>
      </c>
      <c r="Z37" s="36">
        <f t="shared" si="6"/>
        <v>0.80832111436950138</v>
      </c>
      <c r="AA37" s="6"/>
      <c r="AB37" s="37">
        <v>1.3839999999999999</v>
      </c>
      <c r="AC37" s="38">
        <v>1.4039999999999999</v>
      </c>
      <c r="AD37" s="38"/>
      <c r="AE37" s="34">
        <f t="shared" si="7"/>
        <v>1.4039999999999999</v>
      </c>
      <c r="AF37" s="34">
        <f t="shared" si="8"/>
        <v>5.193062507473975E-2</v>
      </c>
      <c r="AG37" s="35" t="str">
        <f t="shared" si="1"/>
        <v/>
      </c>
      <c r="AH37" s="36">
        <f t="shared" si="2"/>
        <v>1.0144508670520231</v>
      </c>
    </row>
    <row r="38" spans="1:34" ht="1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29">
        <f t="shared" si="3"/>
        <v>25</v>
      </c>
      <c r="Q38" s="30" t="s">
        <v>108</v>
      </c>
      <c r="R38" s="31">
        <v>45785</v>
      </c>
      <c r="S38" s="68"/>
      <c r="T38" s="39">
        <v>27.28</v>
      </c>
      <c r="U38" s="38">
        <v>22.334900000000001</v>
      </c>
      <c r="V38" s="74"/>
      <c r="W38" s="34">
        <f t="shared" si="4"/>
        <v>22.334900000000001</v>
      </c>
      <c r="X38" s="34">
        <f t="shared" si="0"/>
        <v>0.58769978054401539</v>
      </c>
      <c r="Y38" s="35" t="str">
        <f t="shared" si="5"/>
        <v/>
      </c>
      <c r="Z38" s="36">
        <f t="shared" si="6"/>
        <v>0.81872800586510264</v>
      </c>
      <c r="AA38" s="6"/>
      <c r="AB38" s="37">
        <v>1.3839999999999999</v>
      </c>
      <c r="AC38" s="38">
        <v>1.1005</v>
      </c>
      <c r="AD38" s="38"/>
      <c r="AE38" s="34">
        <f t="shared" si="7"/>
        <v>1.1005</v>
      </c>
      <c r="AF38" s="34">
        <f t="shared" si="8"/>
        <v>1.4810931772127436</v>
      </c>
      <c r="AG38" s="35" t="str">
        <f t="shared" si="1"/>
        <v/>
      </c>
      <c r="AH38" s="36">
        <f t="shared" si="2"/>
        <v>0.79515895953757232</v>
      </c>
    </row>
    <row r="39" spans="1:34" ht="1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29">
        <f t="shared" si="3"/>
        <v>26</v>
      </c>
      <c r="Q39" s="30" t="s">
        <v>108</v>
      </c>
      <c r="R39" s="31">
        <v>45785</v>
      </c>
      <c r="S39" s="68"/>
      <c r="T39" s="39">
        <v>27.28</v>
      </c>
      <c r="U39" s="38">
        <v>32.1706</v>
      </c>
      <c r="V39" s="74"/>
      <c r="W39" s="34">
        <f t="shared" si="4"/>
        <v>32.1706</v>
      </c>
      <c r="X39" s="34">
        <f t="shared" si="0"/>
        <v>2.2187049709187154</v>
      </c>
      <c r="Y39" s="35">
        <f t="shared" si="5"/>
        <v>32.1706</v>
      </c>
      <c r="Z39" s="36">
        <f t="shared" si="6"/>
        <v>1.179274193548387</v>
      </c>
      <c r="AA39" s="6"/>
      <c r="AB39" s="37">
        <v>1.3839999999999999</v>
      </c>
      <c r="AC39" s="38">
        <v>1.2586999999999999</v>
      </c>
      <c r="AD39" s="38"/>
      <c r="AE39" s="34">
        <f t="shared" si="7"/>
        <v>1.2586999999999999</v>
      </c>
      <c r="AF39" s="34">
        <f t="shared" si="8"/>
        <v>0.6820013633021017</v>
      </c>
      <c r="AG39" s="35" t="str">
        <f t="shared" si="1"/>
        <v/>
      </c>
      <c r="AH39" s="36">
        <f t="shared" si="2"/>
        <v>0.90946531791907514</v>
      </c>
    </row>
    <row r="40" spans="1:34" ht="1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29">
        <f t="shared" si="3"/>
        <v>27</v>
      </c>
      <c r="Q40" s="30" t="s">
        <v>109</v>
      </c>
      <c r="R40" s="31">
        <v>45793</v>
      </c>
      <c r="S40" s="68"/>
      <c r="T40" s="39">
        <v>27.28</v>
      </c>
      <c r="U40" s="38">
        <v>23.899000000000001</v>
      </c>
      <c r="V40" s="74"/>
      <c r="W40" s="34">
        <f t="shared" si="4"/>
        <v>23.899000000000001</v>
      </c>
      <c r="X40" s="34">
        <f t="shared" si="0"/>
        <v>0.14141759709364002</v>
      </c>
      <c r="Y40" s="35" t="str">
        <f t="shared" si="5"/>
        <v/>
      </c>
      <c r="Z40" s="36">
        <f t="shared" si="6"/>
        <v>0.87606304985337247</v>
      </c>
      <c r="AA40" s="6"/>
      <c r="AB40" s="37">
        <v>1.3839999999999999</v>
      </c>
      <c r="AC40" s="38">
        <v>1.546</v>
      </c>
      <c r="AD40" s="38"/>
      <c r="AE40" s="34">
        <f t="shared" si="7"/>
        <v>1.546</v>
      </c>
      <c r="AF40" s="34">
        <f t="shared" si="8"/>
        <v>0.76919382087316779</v>
      </c>
      <c r="AG40" s="35" t="str">
        <f t="shared" si="1"/>
        <v/>
      </c>
      <c r="AH40" s="36">
        <f t="shared" si="2"/>
        <v>1.1170520231213874</v>
      </c>
    </row>
    <row r="41" spans="1:34" ht="1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29">
        <f t="shared" si="3"/>
        <v>28</v>
      </c>
      <c r="Q41" s="30" t="s">
        <v>109</v>
      </c>
      <c r="R41" s="31">
        <v>45793</v>
      </c>
      <c r="S41" s="68"/>
      <c r="T41" s="39">
        <v>27.28</v>
      </c>
      <c r="U41" s="38">
        <v>31.841999999999999</v>
      </c>
      <c r="V41" s="74"/>
      <c r="W41" s="34">
        <f t="shared" si="4"/>
        <v>31.841999999999999</v>
      </c>
      <c r="X41" s="34">
        <f t="shared" si="0"/>
        <v>2.1249460517436023</v>
      </c>
      <c r="Y41" s="35">
        <f t="shared" si="5"/>
        <v>31.841999999999999</v>
      </c>
      <c r="Z41" s="36">
        <f t="shared" si="6"/>
        <v>1.1672287390029326</v>
      </c>
      <c r="AA41" s="6"/>
      <c r="AB41" s="37">
        <v>1.3839999999999999</v>
      </c>
      <c r="AC41" s="38">
        <v>1.3859999999999999</v>
      </c>
      <c r="AD41" s="38"/>
      <c r="AE41" s="34">
        <f t="shared" si="7"/>
        <v>1.3859999999999999</v>
      </c>
      <c r="AF41" s="34">
        <f t="shared" si="8"/>
        <v>3.8990061716610284E-2</v>
      </c>
      <c r="AG41" s="35" t="str">
        <f t="shared" si="1"/>
        <v/>
      </c>
      <c r="AH41" s="36">
        <f t="shared" si="2"/>
        <v>1.0014450867052023</v>
      </c>
    </row>
    <row r="42" spans="1:34" ht="1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29">
        <f t="shared" si="3"/>
        <v>29</v>
      </c>
      <c r="Q42" s="30" t="s">
        <v>108</v>
      </c>
      <c r="R42" s="31">
        <v>45804</v>
      </c>
      <c r="S42" s="68"/>
      <c r="T42" s="39">
        <v>27.28</v>
      </c>
      <c r="U42" s="38">
        <v>21.97</v>
      </c>
      <c r="V42" s="74"/>
      <c r="W42" s="34">
        <f t="shared" si="4"/>
        <v>21.97</v>
      </c>
      <c r="X42" s="34">
        <f t="shared" si="0"/>
        <v>0.69181612140524096</v>
      </c>
      <c r="Y42" s="35" t="str">
        <f t="shared" si="5"/>
        <v/>
      </c>
      <c r="Z42" s="36">
        <f t="shared" si="6"/>
        <v>0.80535190615835772</v>
      </c>
      <c r="AA42" s="6"/>
      <c r="AB42" s="37">
        <v>1.3839999999999999</v>
      </c>
      <c r="AC42" s="38">
        <v>1.3149999999999999</v>
      </c>
      <c r="AD42" s="38"/>
      <c r="AE42" s="34">
        <f t="shared" si="7"/>
        <v>1.3149999999999999</v>
      </c>
      <c r="AF42" s="34">
        <f t="shared" si="8"/>
        <v>0.39762165961582374</v>
      </c>
      <c r="AG42" s="35" t="str">
        <f t="shared" si="1"/>
        <v/>
      </c>
      <c r="AH42" s="36">
        <f t="shared" si="2"/>
        <v>0.95014450867052025</v>
      </c>
    </row>
    <row r="43" spans="1:34" ht="1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29">
        <f t="shared" si="3"/>
        <v>30</v>
      </c>
      <c r="Q43" s="30" t="s">
        <v>108</v>
      </c>
      <c r="R43" s="31">
        <v>45804</v>
      </c>
      <c r="S43" s="68"/>
      <c r="T43" s="39">
        <v>27.28</v>
      </c>
      <c r="U43" s="38">
        <v>26.585000000000001</v>
      </c>
      <c r="V43" s="74"/>
      <c r="W43" s="34">
        <f t="shared" si="4"/>
        <v>26.585000000000001</v>
      </c>
      <c r="X43" s="34">
        <f t="shared" si="0"/>
        <v>0.62497454199446711</v>
      </c>
      <c r="Y43" s="35" t="str">
        <f t="shared" si="5"/>
        <v/>
      </c>
      <c r="Z43" s="36">
        <f t="shared" si="6"/>
        <v>0.97452346041055715</v>
      </c>
      <c r="AA43" s="6"/>
      <c r="AB43" s="37">
        <v>1.3839999999999999</v>
      </c>
      <c r="AC43" s="38">
        <v>1.3620000000000001</v>
      </c>
      <c r="AD43" s="38"/>
      <c r="AE43" s="34">
        <f t="shared" si="7"/>
        <v>1.3620000000000001</v>
      </c>
      <c r="AF43" s="34">
        <f t="shared" si="8"/>
        <v>0.16021764410507586</v>
      </c>
      <c r="AG43" s="35" t="str">
        <f t="shared" si="1"/>
        <v/>
      </c>
      <c r="AH43" s="36">
        <f t="shared" si="2"/>
        <v>0.9841040462427747</v>
      </c>
    </row>
    <row r="44" spans="1:34" ht="1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29">
        <f t="shared" si="3"/>
        <v>31</v>
      </c>
      <c r="Q44" s="30" t="s">
        <v>108</v>
      </c>
      <c r="R44" s="31">
        <v>45825</v>
      </c>
      <c r="S44" s="68"/>
      <c r="T44" s="39">
        <v>27.28</v>
      </c>
      <c r="U44" s="38">
        <v>28.28</v>
      </c>
      <c r="V44" s="74"/>
      <c r="W44" s="34">
        <f t="shared" si="4"/>
        <v>28.28</v>
      </c>
      <c r="X44" s="34">
        <f t="shared" si="0"/>
        <v>1.108606215767491</v>
      </c>
      <c r="Y44" s="35" t="str">
        <f t="shared" si="5"/>
        <v/>
      </c>
      <c r="Z44" s="36">
        <f t="shared" si="6"/>
        <v>1.0366568914956011</v>
      </c>
      <c r="AA44" s="6"/>
      <c r="AB44" s="37">
        <v>1.3839999999999999</v>
      </c>
      <c r="AC44" s="38">
        <v>1.103</v>
      </c>
      <c r="AD44" s="38"/>
      <c r="AE44" s="34">
        <f t="shared" si="7"/>
        <v>1.103</v>
      </c>
      <c r="AF44" s="34">
        <f t="shared" si="8"/>
        <v>1.4684653040472786</v>
      </c>
      <c r="AG44" s="35" t="str">
        <f t="shared" si="1"/>
        <v/>
      </c>
      <c r="AH44" s="36">
        <f t="shared" si="2"/>
        <v>0.79696531791907521</v>
      </c>
    </row>
    <row r="45" spans="1:34" ht="1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29">
        <f t="shared" si="3"/>
        <v>32</v>
      </c>
      <c r="Q45" s="30" t="s">
        <v>108</v>
      </c>
      <c r="R45" s="31">
        <v>45825</v>
      </c>
      <c r="S45" s="68"/>
      <c r="T45" s="39">
        <v>27.28</v>
      </c>
      <c r="U45" s="38">
        <v>25.277999999999999</v>
      </c>
      <c r="V45" s="74"/>
      <c r="W45" s="34">
        <f t="shared" si="4"/>
        <v>25.277999999999999</v>
      </c>
      <c r="X45" s="34">
        <f t="shared" si="0"/>
        <v>0.25205029561019399</v>
      </c>
      <c r="Y45" s="35" t="str">
        <f t="shared" si="5"/>
        <v/>
      </c>
      <c r="Z45" s="36">
        <f t="shared" si="6"/>
        <v>0.92661290322580636</v>
      </c>
      <c r="AA45" s="6"/>
      <c r="AB45" s="37">
        <v>1.3839999999999999</v>
      </c>
      <c r="AC45" s="38">
        <v>1.103</v>
      </c>
      <c r="AD45" s="38"/>
      <c r="AE45" s="34">
        <f t="shared" si="7"/>
        <v>1.103</v>
      </c>
      <c r="AF45" s="34">
        <f t="shared" si="8"/>
        <v>1.4684653040472786</v>
      </c>
      <c r="AG45" s="35" t="str">
        <f t="shared" si="1"/>
        <v/>
      </c>
      <c r="AH45" s="36">
        <f t="shared" si="2"/>
        <v>0.79696531791907521</v>
      </c>
    </row>
    <row r="46" spans="1:34" ht="1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29">
        <f t="shared" si="3"/>
        <v>33</v>
      </c>
      <c r="Q46" s="30" t="s">
        <v>108</v>
      </c>
      <c r="R46" s="31">
        <v>45825</v>
      </c>
      <c r="S46" s="68"/>
      <c r="T46" s="39">
        <v>27.28</v>
      </c>
      <c r="U46" s="38">
        <v>23.664000000000001</v>
      </c>
      <c r="V46" s="74"/>
      <c r="W46" s="34">
        <f t="shared" si="4"/>
        <v>23.664000000000001</v>
      </c>
      <c r="X46" s="34">
        <f t="shared" si="0"/>
        <v>0.20846977605332159</v>
      </c>
      <c r="Y46" s="35" t="str">
        <f t="shared" si="5"/>
        <v/>
      </c>
      <c r="Z46" s="36">
        <f t="shared" si="6"/>
        <v>0.86744868035190614</v>
      </c>
      <c r="AA46" s="6"/>
      <c r="AB46" s="37">
        <v>1.3839999999999999</v>
      </c>
      <c r="AC46" s="38">
        <v>1.204</v>
      </c>
      <c r="AD46" s="38"/>
      <c r="AE46" s="34">
        <f t="shared" si="7"/>
        <v>1.204</v>
      </c>
      <c r="AF46" s="34">
        <f t="shared" si="8"/>
        <v>0.9582992281624817</v>
      </c>
      <c r="AG46" s="35" t="str">
        <f t="shared" si="1"/>
        <v/>
      </c>
      <c r="AH46" s="36">
        <f t="shared" si="2"/>
        <v>0.86994219653179194</v>
      </c>
    </row>
    <row r="47" spans="1:34" ht="1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29">
        <f t="shared" si="3"/>
        <v>34</v>
      </c>
      <c r="Q47" s="30" t="s">
        <v>108</v>
      </c>
      <c r="R47" s="31">
        <v>45825</v>
      </c>
      <c r="S47" s="68"/>
      <c r="T47" s="39">
        <v>27.28</v>
      </c>
      <c r="U47" s="38">
        <v>33.15</v>
      </c>
      <c r="V47" s="74"/>
      <c r="W47" s="34">
        <f t="shared" si="4"/>
        <v>33.15</v>
      </c>
      <c r="X47" s="34">
        <f t="shared" si="0"/>
        <v>2.4981556265489799</v>
      </c>
      <c r="Y47" s="35">
        <f t="shared" si="5"/>
        <v>33.15</v>
      </c>
      <c r="Z47" s="36">
        <f t="shared" si="6"/>
        <v>1.2151759530791788</v>
      </c>
      <c r="AA47" s="6"/>
      <c r="AB47" s="37">
        <v>1.3839999999999999</v>
      </c>
      <c r="AC47" s="38">
        <v>1.399</v>
      </c>
      <c r="AD47" s="38"/>
      <c r="AE47" s="34">
        <f t="shared" si="7"/>
        <v>1.399</v>
      </c>
      <c r="AF47" s="34">
        <f t="shared" si="8"/>
        <v>2.6674878743809746E-2</v>
      </c>
      <c r="AG47" s="35" t="str">
        <f t="shared" si="1"/>
        <v/>
      </c>
      <c r="AH47" s="36">
        <f t="shared" si="2"/>
        <v>1.0108381502890174</v>
      </c>
    </row>
    <row r="48" spans="1:34" ht="1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29">
        <f t="shared" si="3"/>
        <v>35</v>
      </c>
      <c r="Q48" s="30" t="s">
        <v>106</v>
      </c>
      <c r="R48" s="31">
        <v>45860</v>
      </c>
      <c r="S48" s="68"/>
      <c r="T48" s="39">
        <v>27.28</v>
      </c>
      <c r="U48" s="38">
        <v>31.984000000000002</v>
      </c>
      <c r="V48" s="74"/>
      <c r="W48" s="34">
        <f t="shared" si="4"/>
        <v>31.984000000000002</v>
      </c>
      <c r="X48" s="34">
        <f t="shared" si="0"/>
        <v>2.1654626875405176</v>
      </c>
      <c r="Y48" s="35">
        <f t="shared" si="5"/>
        <v>31.984000000000002</v>
      </c>
      <c r="Z48" s="36">
        <f t="shared" si="6"/>
        <v>1.1724340175953079</v>
      </c>
      <c r="AA48" s="6"/>
      <c r="AB48" s="37">
        <v>1.3839999999999999</v>
      </c>
      <c r="AC48" s="38">
        <v>1.056</v>
      </c>
      <c r="AD48" s="38"/>
      <c r="AE48" s="34">
        <f t="shared" si="7"/>
        <v>1.056</v>
      </c>
      <c r="AF48" s="34">
        <f t="shared" si="8"/>
        <v>1.7058693195580252</v>
      </c>
      <c r="AG48" s="35" t="str">
        <f t="shared" si="1"/>
        <v/>
      </c>
      <c r="AH48" s="36">
        <f t="shared" si="2"/>
        <v>0.76300578034682087</v>
      </c>
    </row>
    <row r="49" spans="1:34" ht="1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29">
        <f t="shared" si="3"/>
        <v>36</v>
      </c>
      <c r="Q49" s="30" t="s">
        <v>106</v>
      </c>
      <c r="R49" s="31">
        <v>45860</v>
      </c>
      <c r="S49" s="68"/>
      <c r="T49" s="39">
        <v>27.28</v>
      </c>
      <c r="U49" s="38">
        <v>25.213999999999999</v>
      </c>
      <c r="V49" s="74"/>
      <c r="W49" s="34">
        <f t="shared" si="4"/>
        <v>25.213999999999999</v>
      </c>
      <c r="X49" s="34">
        <f t="shared" si="0"/>
        <v>0.23378927665947211</v>
      </c>
      <c r="Y49" s="35" t="str">
        <f t="shared" si="5"/>
        <v/>
      </c>
      <c r="Z49" s="36">
        <f t="shared" si="6"/>
        <v>0.92426686217008791</v>
      </c>
      <c r="AA49" s="6"/>
      <c r="AB49" s="37">
        <v>1.3839999999999999</v>
      </c>
      <c r="AC49" s="38">
        <v>1.62</v>
      </c>
      <c r="AD49" s="38"/>
      <c r="AE49" s="34">
        <f t="shared" si="7"/>
        <v>1.62</v>
      </c>
      <c r="AF49" s="34">
        <f t="shared" si="8"/>
        <v>1.1429788665709402</v>
      </c>
      <c r="AG49" s="35" t="str">
        <f t="shared" si="1"/>
        <v/>
      </c>
      <c r="AH49" s="36">
        <f t="shared" si="2"/>
        <v>1.1705202312138729</v>
      </c>
    </row>
    <row r="50" spans="1:34" ht="1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29">
        <f t="shared" si="3"/>
        <v>37</v>
      </c>
      <c r="Q50" s="30" t="s">
        <v>106</v>
      </c>
      <c r="R50" s="31">
        <v>45912</v>
      </c>
      <c r="S50" s="68"/>
      <c r="T50" s="39">
        <v>27.28</v>
      </c>
      <c r="U50" s="38">
        <v>23.23</v>
      </c>
      <c r="V50" s="74"/>
      <c r="W50" s="34">
        <f t="shared" si="4"/>
        <v>23.23</v>
      </c>
      <c r="X50" s="34">
        <f t="shared" si="0"/>
        <v>0.33230231081290434</v>
      </c>
      <c r="Y50" s="35" t="str">
        <f t="shared" si="5"/>
        <v/>
      </c>
      <c r="Z50" s="36">
        <f t="shared" si="6"/>
        <v>0.85153958944281527</v>
      </c>
      <c r="AA50" s="6"/>
      <c r="AB50" s="37">
        <v>1.3839999999999999</v>
      </c>
      <c r="AC50" s="38">
        <v>1.3560000000000001</v>
      </c>
      <c r="AD50" s="38"/>
      <c r="AE50" s="34">
        <f t="shared" si="7"/>
        <v>1.3560000000000001</v>
      </c>
      <c r="AF50" s="34">
        <f t="shared" si="8"/>
        <v>0.19052453970219255</v>
      </c>
      <c r="AG50" s="35" t="str">
        <f t="shared" si="1"/>
        <v/>
      </c>
      <c r="AH50" s="36">
        <f t="shared" si="2"/>
        <v>0.97976878612716778</v>
      </c>
    </row>
    <row r="51" spans="1:34" ht="1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29">
        <f t="shared" si="3"/>
        <v>38</v>
      </c>
      <c r="Q51" s="30" t="s">
        <v>106</v>
      </c>
      <c r="R51" s="31">
        <v>46044</v>
      </c>
      <c r="S51" s="68"/>
      <c r="T51" s="39">
        <v>27.28</v>
      </c>
      <c r="U51" s="38">
        <v>23.684000000000001</v>
      </c>
      <c r="V51" s="74"/>
      <c r="W51" s="34">
        <f t="shared" si="4"/>
        <v>23.684000000000001</v>
      </c>
      <c r="X51" s="34">
        <f t="shared" si="0"/>
        <v>0.20276320763122113</v>
      </c>
      <c r="Y51" s="35" t="str">
        <f t="shared" si="5"/>
        <v/>
      </c>
      <c r="Z51" s="36">
        <f t="shared" si="6"/>
        <v>0.86818181818181817</v>
      </c>
      <c r="AA51" s="6"/>
      <c r="AB51" s="37">
        <v>1.3839999999999999</v>
      </c>
      <c r="AC51" s="38">
        <v>1.3859999999999999</v>
      </c>
      <c r="AD51" s="38"/>
      <c r="AE51" s="34">
        <f t="shared" si="7"/>
        <v>1.3859999999999999</v>
      </c>
      <c r="AF51" s="34">
        <f t="shared" si="8"/>
        <v>3.8990061716610284E-2</v>
      </c>
      <c r="AG51" s="35" t="str">
        <f t="shared" si="1"/>
        <v/>
      </c>
      <c r="AH51" s="36">
        <f t="shared" si="2"/>
        <v>1.0014450867052023</v>
      </c>
    </row>
    <row r="52" spans="1:34" ht="1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29">
        <f t="shared" si="3"/>
        <v>39</v>
      </c>
      <c r="Q52" s="30" t="s">
        <v>106</v>
      </c>
      <c r="R52" s="31">
        <v>46044</v>
      </c>
      <c r="S52" s="68"/>
      <c r="T52" s="39">
        <v>27.28</v>
      </c>
      <c r="U52" s="38">
        <v>24.684000000000001</v>
      </c>
      <c r="V52" s="74"/>
      <c r="W52" s="34">
        <f t="shared" si="4"/>
        <v>24.684000000000001</v>
      </c>
      <c r="X52" s="34">
        <f t="shared" si="0"/>
        <v>8.2565213473807575E-2</v>
      </c>
      <c r="Y52" s="35" t="str">
        <f t="shared" si="5"/>
        <v/>
      </c>
      <c r="Z52" s="36">
        <f t="shared" si="6"/>
        <v>0.90483870967741931</v>
      </c>
      <c r="AA52" s="6"/>
      <c r="AB52" s="37">
        <v>1.3839999999999999</v>
      </c>
      <c r="AC52" s="38">
        <v>1.3919999999999999</v>
      </c>
      <c r="AD52" s="38"/>
      <c r="AE52" s="34">
        <f t="shared" si="7"/>
        <v>1.3919999999999999</v>
      </c>
      <c r="AF52" s="34">
        <f t="shared" si="8"/>
        <v>8.6831661194936051E-3</v>
      </c>
      <c r="AG52" s="35" t="str">
        <f t="shared" si="1"/>
        <v/>
      </c>
      <c r="AH52" s="36">
        <f t="shared" si="2"/>
        <v>1.0057803468208093</v>
      </c>
    </row>
    <row r="53" spans="1:34" ht="1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29">
        <f t="shared" si="3"/>
        <v>40</v>
      </c>
      <c r="Q53" s="30" t="s">
        <v>106</v>
      </c>
      <c r="R53" s="31">
        <v>46048</v>
      </c>
      <c r="S53" s="68"/>
      <c r="T53" s="39">
        <v>27.28</v>
      </c>
      <c r="U53" s="38">
        <v>21.638999999999999</v>
      </c>
      <c r="V53" s="74"/>
      <c r="W53" s="34">
        <f t="shared" si="4"/>
        <v>21.638999999999999</v>
      </c>
      <c r="X53" s="34">
        <f t="shared" si="0"/>
        <v>0.78625982879100531</v>
      </c>
      <c r="Y53" s="35" t="str">
        <f t="shared" si="5"/>
        <v/>
      </c>
      <c r="Z53" s="36">
        <f t="shared" si="6"/>
        <v>0.79321847507331378</v>
      </c>
      <c r="AA53" s="6"/>
      <c r="AB53" s="37">
        <v>1.3839999999999999</v>
      </c>
      <c r="AC53" s="38">
        <v>1.4750000000000001</v>
      </c>
      <c r="AD53" s="38"/>
      <c r="AE53" s="34">
        <f t="shared" si="7"/>
        <v>1.4750000000000001</v>
      </c>
      <c r="AF53" s="34">
        <f t="shared" si="8"/>
        <v>0.41056222297395434</v>
      </c>
      <c r="AG53" s="35" t="str">
        <f t="shared" si="1"/>
        <v/>
      </c>
      <c r="AH53" s="36">
        <f t="shared" si="2"/>
        <v>1.0657514450867054</v>
      </c>
    </row>
    <row r="54" spans="1:34" ht="1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29">
        <f t="shared" si="3"/>
        <v>41</v>
      </c>
      <c r="Q54" s="30" t="s">
        <v>106</v>
      </c>
      <c r="R54" s="31">
        <v>46048</v>
      </c>
      <c r="S54" s="68"/>
      <c r="T54" s="39">
        <v>27.28</v>
      </c>
      <c r="U54" s="38">
        <v>25.167000000000002</v>
      </c>
      <c r="V54" s="74"/>
      <c r="W54" s="34">
        <f t="shared" si="4"/>
        <v>25.167000000000002</v>
      </c>
      <c r="X54" s="34">
        <f t="shared" si="0"/>
        <v>0.22037884086753659</v>
      </c>
      <c r="Y54" s="35" t="str">
        <f t="shared" si="5"/>
        <v/>
      </c>
      <c r="Z54" s="36">
        <f t="shared" si="6"/>
        <v>0.92254398826979478</v>
      </c>
      <c r="AA54" s="6"/>
      <c r="AB54" s="37">
        <v>1.3839999999999999</v>
      </c>
      <c r="AC54" s="38">
        <v>1.5780000000000001</v>
      </c>
      <c r="AD54" s="38"/>
      <c r="AE54" s="34">
        <f t="shared" si="7"/>
        <v>1.5780000000000001</v>
      </c>
      <c r="AF54" s="34">
        <f t="shared" si="8"/>
        <v>0.93083059739112339</v>
      </c>
      <c r="AG54" s="35" t="str">
        <f t="shared" si="1"/>
        <v/>
      </c>
      <c r="AH54" s="36">
        <f t="shared" si="2"/>
        <v>1.1401734104046244</v>
      </c>
    </row>
    <row r="55" spans="1:34" ht="1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29">
        <f t="shared" si="3"/>
        <v>42</v>
      </c>
      <c r="Q55" s="30" t="s">
        <v>106</v>
      </c>
      <c r="R55" s="31">
        <v>46065</v>
      </c>
      <c r="S55" s="68"/>
      <c r="T55" s="39">
        <v>27.28</v>
      </c>
      <c r="U55" s="38">
        <v>22.225999999999999</v>
      </c>
      <c r="V55" s="74"/>
      <c r="W55" s="34">
        <f t="shared" si="4"/>
        <v>22.225999999999999</v>
      </c>
      <c r="X55" s="34">
        <f t="shared" si="0"/>
        <v>0.61877204560235355</v>
      </c>
      <c r="Y55" s="35" t="str">
        <f t="shared" si="5"/>
        <v/>
      </c>
      <c r="Z55" s="36">
        <f t="shared" si="6"/>
        <v>0.81473607038123164</v>
      </c>
      <c r="AA55" s="6"/>
      <c r="AB55" s="37">
        <v>1.3839999999999999</v>
      </c>
      <c r="AC55" s="38">
        <v>1.633</v>
      </c>
      <c r="AD55" s="38"/>
      <c r="AE55" s="34"/>
      <c r="AF55" s="34">
        <f t="shared" si="8"/>
        <v>1.208643807031359</v>
      </c>
      <c r="AG55" s="35" t="str">
        <f t="shared" si="1"/>
        <v/>
      </c>
      <c r="AH55" s="36">
        <f t="shared" si="2"/>
        <v>1.179913294797688</v>
      </c>
    </row>
    <row r="56" spans="1:34" ht="1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29" t="str">
        <f t="shared" si="3"/>
        <v/>
      </c>
      <c r="Q56" s="30"/>
      <c r="R56" s="31"/>
      <c r="S56" s="68"/>
      <c r="T56" s="39">
        <v>27.28</v>
      </c>
      <c r="U56" s="38"/>
      <c r="V56" s="74"/>
      <c r="W56" s="34" t="str">
        <f t="shared" si="4"/>
        <v>FALSE</v>
      </c>
      <c r="X56" s="34" t="str">
        <f t="shared" si="0"/>
        <v>FALSE</v>
      </c>
      <c r="Y56" s="35">
        <f t="shared" si="5"/>
        <v>0</v>
      </c>
      <c r="Z56" s="36" t="str">
        <f t="shared" si="6"/>
        <v/>
      </c>
      <c r="AA56" s="6"/>
      <c r="AB56" s="37">
        <v>1.3839999999999999</v>
      </c>
      <c r="AC56" s="38"/>
      <c r="AD56" s="38"/>
      <c r="AE56" s="34"/>
      <c r="AF56" s="34" t="str">
        <f t="shared" si="8"/>
        <v>FALSE</v>
      </c>
      <c r="AG56" s="35">
        <f t="shared" si="1"/>
        <v>0</v>
      </c>
      <c r="AH56" s="36" t="str">
        <f t="shared" si="2"/>
        <v/>
      </c>
    </row>
    <row r="57" spans="1:34" ht="14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29" t="str">
        <f t="shared" si="3"/>
        <v/>
      </c>
      <c r="Q57" s="30"/>
      <c r="R57" s="31"/>
      <c r="S57" s="68"/>
      <c r="T57" s="39">
        <v>27.28</v>
      </c>
      <c r="U57" s="38"/>
      <c r="V57" s="74"/>
      <c r="W57" s="34" t="str">
        <f t="shared" si="4"/>
        <v>FALSE</v>
      </c>
      <c r="X57" s="34" t="str">
        <f t="shared" si="0"/>
        <v>FALSE</v>
      </c>
      <c r="Y57" s="35">
        <f t="shared" si="5"/>
        <v>0</v>
      </c>
      <c r="Z57" s="36" t="str">
        <f t="shared" si="6"/>
        <v/>
      </c>
      <c r="AA57" s="42"/>
      <c r="AB57" s="37">
        <v>1.3839999999999999</v>
      </c>
      <c r="AC57" s="38"/>
      <c r="AD57" s="38"/>
      <c r="AE57" s="34"/>
      <c r="AF57" s="34" t="str">
        <f t="shared" si="8"/>
        <v>FALSE</v>
      </c>
      <c r="AG57" s="35">
        <f t="shared" si="1"/>
        <v>0</v>
      </c>
      <c r="AH57" s="36" t="str">
        <f t="shared" si="2"/>
        <v/>
      </c>
    </row>
    <row r="58" spans="1:34" ht="1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29" t="str">
        <f t="shared" si="3"/>
        <v/>
      </c>
      <c r="Q58" s="30"/>
      <c r="R58" s="31"/>
      <c r="S58" s="68"/>
      <c r="T58" s="39">
        <v>27.28</v>
      </c>
      <c r="U58" s="38"/>
      <c r="V58" s="74"/>
      <c r="W58" s="34" t="str">
        <f t="shared" si="4"/>
        <v>FALSE</v>
      </c>
      <c r="X58" s="34" t="str">
        <f t="shared" si="0"/>
        <v>FALSE</v>
      </c>
      <c r="Y58" s="35">
        <f t="shared" si="5"/>
        <v>0</v>
      </c>
      <c r="Z58" s="36" t="str">
        <f t="shared" si="6"/>
        <v/>
      </c>
      <c r="AA58" s="6"/>
      <c r="AB58" s="37">
        <v>1.3839999999999999</v>
      </c>
      <c r="AC58" s="38"/>
      <c r="AD58" s="38"/>
      <c r="AE58" s="34"/>
      <c r="AF58" s="34" t="str">
        <f t="shared" si="8"/>
        <v>FALSE</v>
      </c>
      <c r="AG58" s="35">
        <f t="shared" si="1"/>
        <v>0</v>
      </c>
      <c r="AH58" s="36" t="str">
        <f t="shared" si="2"/>
        <v/>
      </c>
    </row>
    <row r="59" spans="1:34" ht="1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29" t="str">
        <f t="shared" si="3"/>
        <v/>
      </c>
      <c r="Q59" s="30"/>
      <c r="R59" s="31"/>
      <c r="S59" s="68"/>
      <c r="T59" s="39">
        <v>27.28</v>
      </c>
      <c r="U59" s="38"/>
      <c r="V59" s="74"/>
      <c r="W59" s="34" t="str">
        <f t="shared" si="4"/>
        <v>FALSE</v>
      </c>
      <c r="X59" s="34" t="str">
        <f t="shared" si="0"/>
        <v>FALSE</v>
      </c>
      <c r="Y59" s="35">
        <f t="shared" si="5"/>
        <v>0</v>
      </c>
      <c r="Z59" s="36" t="str">
        <f t="shared" si="6"/>
        <v/>
      </c>
      <c r="AA59" s="6"/>
      <c r="AB59" s="37">
        <v>1.3839999999999999</v>
      </c>
      <c r="AC59" s="38"/>
      <c r="AD59" s="38"/>
      <c r="AE59" s="34"/>
      <c r="AF59" s="34" t="str">
        <f t="shared" si="8"/>
        <v>FALSE</v>
      </c>
      <c r="AG59" s="35">
        <f t="shared" si="1"/>
        <v>0</v>
      </c>
      <c r="AH59" s="36" t="str">
        <f t="shared" si="2"/>
        <v/>
      </c>
    </row>
    <row r="60" spans="1:34" ht="1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29" t="str">
        <f t="shared" si="3"/>
        <v/>
      </c>
      <c r="Q60" s="30"/>
      <c r="R60" s="31"/>
      <c r="S60" s="68"/>
      <c r="T60" s="40"/>
      <c r="U60" s="38"/>
      <c r="V60" s="74"/>
      <c r="W60" s="34" t="str">
        <f t="shared" si="4"/>
        <v>FALSE</v>
      </c>
      <c r="X60" s="34" t="str">
        <f t="shared" si="0"/>
        <v>FALSE</v>
      </c>
      <c r="Y60" s="35">
        <f t="shared" si="5"/>
        <v>0</v>
      </c>
      <c r="Z60" s="36" t="str">
        <f t="shared" si="6"/>
        <v/>
      </c>
      <c r="AA60" s="6"/>
      <c r="AB60" s="41"/>
      <c r="AC60" s="38"/>
      <c r="AD60" s="38"/>
      <c r="AE60" s="34"/>
      <c r="AF60" s="34" t="str">
        <f t="shared" si="8"/>
        <v>FALSE</v>
      </c>
      <c r="AG60" s="35">
        <f t="shared" si="1"/>
        <v>0</v>
      </c>
      <c r="AH60" s="36" t="str">
        <f t="shared" si="2"/>
        <v/>
      </c>
    </row>
    <row r="61" spans="1:34" ht="1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29" t="str">
        <f t="shared" si="3"/>
        <v/>
      </c>
      <c r="Q61" s="30"/>
      <c r="R61" s="31"/>
      <c r="S61" s="68"/>
      <c r="T61" s="40"/>
      <c r="U61" s="38"/>
      <c r="V61" s="74"/>
      <c r="W61" s="34" t="str">
        <f t="shared" si="4"/>
        <v>FALSE</v>
      </c>
      <c r="X61" s="34" t="str">
        <f t="shared" si="0"/>
        <v>FALSE</v>
      </c>
      <c r="Y61" s="35">
        <f t="shared" si="5"/>
        <v>0</v>
      </c>
      <c r="Z61" s="36" t="str">
        <f t="shared" si="6"/>
        <v/>
      </c>
      <c r="AA61" s="6"/>
      <c r="AB61" s="41"/>
      <c r="AC61" s="38"/>
      <c r="AD61" s="38"/>
      <c r="AE61" s="34"/>
      <c r="AF61" s="34" t="str">
        <f t="shared" si="8"/>
        <v>FALSE</v>
      </c>
      <c r="AG61" s="35">
        <f t="shared" si="1"/>
        <v>0</v>
      </c>
      <c r="AH61" s="36" t="str">
        <f t="shared" si="2"/>
        <v/>
      </c>
    </row>
    <row r="62" spans="1:34" ht="1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29" t="str">
        <f t="shared" si="3"/>
        <v/>
      </c>
      <c r="Q62" s="30"/>
      <c r="R62" s="31"/>
      <c r="S62" s="68"/>
      <c r="T62" s="40"/>
      <c r="U62" s="38"/>
      <c r="V62" s="74"/>
      <c r="W62" s="34" t="str">
        <f t="shared" si="4"/>
        <v>FALSE</v>
      </c>
      <c r="X62" s="34" t="str">
        <f t="shared" si="0"/>
        <v>FALSE</v>
      </c>
      <c r="Y62" s="35">
        <f t="shared" si="5"/>
        <v>0</v>
      </c>
      <c r="Z62" s="36" t="str">
        <f t="shared" si="6"/>
        <v/>
      </c>
      <c r="AA62" s="6"/>
      <c r="AB62" s="41"/>
      <c r="AC62" s="38"/>
      <c r="AD62" s="38"/>
      <c r="AE62" s="34"/>
      <c r="AF62" s="34" t="str">
        <f t="shared" si="8"/>
        <v>FALSE</v>
      </c>
      <c r="AG62" s="35">
        <f t="shared" si="1"/>
        <v>0</v>
      </c>
      <c r="AH62" s="36" t="str">
        <f t="shared" si="2"/>
        <v/>
      </c>
    </row>
    <row r="63" spans="1:34" ht="1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29" t="str">
        <f t="shared" si="3"/>
        <v/>
      </c>
      <c r="Q63" s="30"/>
      <c r="R63" s="31"/>
      <c r="S63" s="68"/>
      <c r="T63" s="40"/>
      <c r="U63" s="38"/>
      <c r="V63" s="74"/>
      <c r="W63" s="34" t="str">
        <f t="shared" si="4"/>
        <v>FALSE</v>
      </c>
      <c r="X63" s="34" t="str">
        <f t="shared" si="0"/>
        <v>FALSE</v>
      </c>
      <c r="Y63" s="35">
        <f t="shared" si="5"/>
        <v>0</v>
      </c>
      <c r="Z63" s="36" t="str">
        <f t="shared" si="6"/>
        <v/>
      </c>
      <c r="AA63" s="6"/>
      <c r="AB63" s="41"/>
      <c r="AC63" s="38"/>
      <c r="AD63" s="38"/>
      <c r="AE63" s="34"/>
      <c r="AF63" s="34" t="str">
        <f t="shared" si="8"/>
        <v>FALSE</v>
      </c>
      <c r="AG63" s="35">
        <f t="shared" si="1"/>
        <v>0</v>
      </c>
      <c r="AH63" s="36" t="str">
        <f t="shared" si="2"/>
        <v/>
      </c>
    </row>
    <row r="64" spans="1:34" ht="1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29" t="str">
        <f t="shared" si="3"/>
        <v/>
      </c>
      <c r="Q64" s="30"/>
      <c r="R64" s="31"/>
      <c r="S64" s="68"/>
      <c r="T64" s="40"/>
      <c r="U64" s="38"/>
      <c r="V64" s="74"/>
      <c r="W64" s="34" t="str">
        <f t="shared" si="4"/>
        <v>FALSE</v>
      </c>
      <c r="X64" s="34" t="str">
        <f t="shared" si="0"/>
        <v>FALSE</v>
      </c>
      <c r="Y64" s="35">
        <f t="shared" si="5"/>
        <v>0</v>
      </c>
      <c r="Z64" s="36" t="str">
        <f t="shared" si="6"/>
        <v/>
      </c>
      <c r="AA64" s="6"/>
      <c r="AB64" s="41"/>
      <c r="AC64" s="38"/>
      <c r="AD64" s="38"/>
      <c r="AE64" s="34"/>
      <c r="AF64" s="34" t="str">
        <f t="shared" si="8"/>
        <v>FALSE</v>
      </c>
      <c r="AG64" s="35">
        <f t="shared" si="1"/>
        <v>0</v>
      </c>
      <c r="AH64" s="36" t="str">
        <f t="shared" si="2"/>
        <v/>
      </c>
    </row>
    <row r="65" spans="1:34" ht="1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29" t="str">
        <f t="shared" si="3"/>
        <v/>
      </c>
      <c r="Q65" s="30"/>
      <c r="R65" s="31"/>
      <c r="S65" s="68"/>
      <c r="T65" s="40"/>
      <c r="U65" s="38"/>
      <c r="V65" s="74"/>
      <c r="W65" s="34" t="str">
        <f t="shared" si="4"/>
        <v>FALSE</v>
      </c>
      <c r="X65" s="34" t="str">
        <f t="shared" si="0"/>
        <v>FALSE</v>
      </c>
      <c r="Y65" s="35">
        <f t="shared" si="5"/>
        <v>0</v>
      </c>
      <c r="Z65" s="36" t="str">
        <f t="shared" si="6"/>
        <v/>
      </c>
      <c r="AA65" s="6"/>
      <c r="AB65" s="41"/>
      <c r="AC65" s="38"/>
      <c r="AD65" s="38"/>
      <c r="AE65" s="34"/>
      <c r="AF65" s="34" t="str">
        <f t="shared" si="8"/>
        <v>FALSE</v>
      </c>
      <c r="AG65" s="35">
        <f t="shared" si="1"/>
        <v>0</v>
      </c>
      <c r="AH65" s="36" t="str">
        <f t="shared" si="2"/>
        <v/>
      </c>
    </row>
    <row r="66" spans="1:34" ht="1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29" t="str">
        <f t="shared" si="3"/>
        <v/>
      </c>
      <c r="Q66" s="30"/>
      <c r="R66" s="31"/>
      <c r="S66" s="68"/>
      <c r="T66" s="40"/>
      <c r="U66" s="38"/>
      <c r="V66" s="74"/>
      <c r="W66" s="34" t="str">
        <f t="shared" si="4"/>
        <v>FALSE</v>
      </c>
      <c r="X66" s="34" t="str">
        <f t="shared" si="0"/>
        <v>FALSE</v>
      </c>
      <c r="Y66" s="35">
        <f t="shared" si="5"/>
        <v>0</v>
      </c>
      <c r="Z66" s="36" t="str">
        <f t="shared" si="6"/>
        <v/>
      </c>
      <c r="AA66" s="6"/>
      <c r="AB66" s="41"/>
      <c r="AC66" s="38"/>
      <c r="AD66" s="38"/>
      <c r="AE66" s="34"/>
      <c r="AF66" s="34" t="str">
        <f t="shared" si="8"/>
        <v>FALSE</v>
      </c>
      <c r="AG66" s="35">
        <f t="shared" si="1"/>
        <v>0</v>
      </c>
      <c r="AH66" s="36" t="str">
        <f t="shared" si="2"/>
        <v/>
      </c>
    </row>
    <row r="67" spans="1:34" ht="1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29" t="str">
        <f t="shared" si="3"/>
        <v/>
      </c>
      <c r="Q67" s="30"/>
      <c r="R67" s="31"/>
      <c r="S67" s="68"/>
      <c r="T67" s="40"/>
      <c r="U67" s="38"/>
      <c r="V67" s="74"/>
      <c r="W67" s="34" t="str">
        <f t="shared" si="4"/>
        <v>FALSE</v>
      </c>
      <c r="X67" s="34" t="str">
        <f t="shared" si="0"/>
        <v>FALSE</v>
      </c>
      <c r="Y67" s="35">
        <f t="shared" si="5"/>
        <v>0</v>
      </c>
      <c r="Z67" s="36" t="str">
        <f t="shared" si="6"/>
        <v/>
      </c>
      <c r="AA67" s="6"/>
      <c r="AB67" s="41"/>
      <c r="AC67" s="38"/>
      <c r="AD67" s="38"/>
      <c r="AE67" s="34"/>
      <c r="AF67" s="34" t="str">
        <f t="shared" si="8"/>
        <v>FALSE</v>
      </c>
      <c r="AG67" s="35">
        <f t="shared" si="1"/>
        <v>0</v>
      </c>
      <c r="AH67" s="36" t="str">
        <f t="shared" si="2"/>
        <v/>
      </c>
    </row>
    <row r="68" spans="1:34" ht="1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29" t="str">
        <f t="shared" si="3"/>
        <v/>
      </c>
      <c r="Q68" s="30"/>
      <c r="R68" s="31"/>
      <c r="S68" s="68"/>
      <c r="T68" s="40"/>
      <c r="U68" s="38"/>
      <c r="V68" s="74"/>
      <c r="W68" s="34" t="str">
        <f t="shared" si="4"/>
        <v>FALSE</v>
      </c>
      <c r="X68" s="34" t="str">
        <f t="shared" si="0"/>
        <v>FALSE</v>
      </c>
      <c r="Y68" s="35">
        <f t="shared" si="5"/>
        <v>0</v>
      </c>
      <c r="Z68" s="36" t="str">
        <f t="shared" si="6"/>
        <v/>
      </c>
      <c r="AA68" s="6"/>
      <c r="AB68" s="41"/>
      <c r="AC68" s="38"/>
      <c r="AD68" s="38"/>
      <c r="AE68" s="34"/>
      <c r="AF68" s="34" t="str">
        <f t="shared" si="8"/>
        <v>FALSE</v>
      </c>
      <c r="AG68" s="35">
        <f t="shared" si="1"/>
        <v>0</v>
      </c>
      <c r="AH68" s="36" t="str">
        <f t="shared" si="2"/>
        <v/>
      </c>
    </row>
    <row r="69" spans="1:34" ht="1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29" t="str">
        <f t="shared" si="3"/>
        <v/>
      </c>
      <c r="Q69" s="30"/>
      <c r="R69" s="31"/>
      <c r="S69" s="68"/>
      <c r="T69" s="40"/>
      <c r="U69" s="38"/>
      <c r="V69" s="74"/>
      <c r="W69" s="34" t="str">
        <f t="shared" si="4"/>
        <v>FALSE</v>
      </c>
      <c r="X69" s="34" t="str">
        <f t="shared" si="0"/>
        <v>FALSE</v>
      </c>
      <c r="Y69" s="35">
        <f t="shared" si="5"/>
        <v>0</v>
      </c>
      <c r="Z69" s="36" t="str">
        <f t="shared" si="6"/>
        <v/>
      </c>
      <c r="AA69" s="6"/>
      <c r="AB69" s="41"/>
      <c r="AC69" s="38"/>
      <c r="AD69" s="38"/>
      <c r="AE69" s="34"/>
      <c r="AF69" s="34" t="str">
        <f t="shared" si="8"/>
        <v>FALSE</v>
      </c>
      <c r="AG69" s="35">
        <f t="shared" si="1"/>
        <v>0</v>
      </c>
      <c r="AH69" s="36" t="str">
        <f t="shared" si="2"/>
        <v/>
      </c>
    </row>
    <row r="70" spans="1:34" ht="1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29" t="str">
        <f t="shared" si="3"/>
        <v/>
      </c>
      <c r="Q70" s="30"/>
      <c r="R70" s="31"/>
      <c r="S70" s="68"/>
      <c r="T70" s="40"/>
      <c r="U70" s="38"/>
      <c r="V70" s="74"/>
      <c r="W70" s="34" t="str">
        <f t="shared" si="4"/>
        <v>FALSE</v>
      </c>
      <c r="X70" s="34" t="str">
        <f t="shared" si="0"/>
        <v>FALSE</v>
      </c>
      <c r="Y70" s="35">
        <f t="shared" si="5"/>
        <v>0</v>
      </c>
      <c r="Z70" s="36" t="str">
        <f t="shared" si="6"/>
        <v/>
      </c>
      <c r="AA70" s="6"/>
      <c r="AB70" s="41"/>
      <c r="AC70" s="38"/>
      <c r="AD70" s="38"/>
      <c r="AE70" s="34"/>
      <c r="AF70" s="34" t="str">
        <f t="shared" si="8"/>
        <v>FALSE</v>
      </c>
      <c r="AG70" s="35">
        <f t="shared" si="1"/>
        <v>0</v>
      </c>
      <c r="AH70" s="36" t="str">
        <f t="shared" si="2"/>
        <v/>
      </c>
    </row>
    <row r="71" spans="1:34" ht="1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29" t="str">
        <f t="shared" si="3"/>
        <v/>
      </c>
      <c r="Q71" s="30"/>
      <c r="R71" s="31"/>
      <c r="S71" s="68"/>
      <c r="T71" s="40"/>
      <c r="U71" s="38"/>
      <c r="V71" s="74"/>
      <c r="W71" s="34" t="str">
        <f t="shared" si="4"/>
        <v>FALSE</v>
      </c>
      <c r="X71" s="34" t="str">
        <f t="shared" si="0"/>
        <v>FALSE</v>
      </c>
      <c r="Y71" s="35">
        <f t="shared" si="5"/>
        <v>0</v>
      </c>
      <c r="Z71" s="36" t="str">
        <f t="shared" si="6"/>
        <v/>
      </c>
      <c r="AA71" s="6"/>
      <c r="AB71" s="41"/>
      <c r="AC71" s="38"/>
      <c r="AD71" s="38"/>
      <c r="AE71" s="34"/>
      <c r="AF71" s="34" t="str">
        <f t="shared" si="8"/>
        <v>FALSE</v>
      </c>
      <c r="AG71" s="35">
        <f t="shared" si="1"/>
        <v>0</v>
      </c>
      <c r="AH71" s="36" t="str">
        <f t="shared" si="2"/>
        <v/>
      </c>
    </row>
    <row r="72" spans="1:34" ht="1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29" t="str">
        <f t="shared" si="3"/>
        <v/>
      </c>
      <c r="Q72" s="30"/>
      <c r="R72" s="31"/>
      <c r="S72" s="68"/>
      <c r="T72" s="40"/>
      <c r="U72" s="38"/>
      <c r="V72" s="74"/>
      <c r="W72" s="34" t="str">
        <f t="shared" si="4"/>
        <v>FALSE</v>
      </c>
      <c r="X72" s="34" t="str">
        <f t="shared" si="0"/>
        <v>FALSE</v>
      </c>
      <c r="Y72" s="35">
        <f t="shared" si="5"/>
        <v>0</v>
      </c>
      <c r="Z72" s="36" t="str">
        <f t="shared" si="6"/>
        <v/>
      </c>
      <c r="AA72" s="6"/>
      <c r="AB72" s="41"/>
      <c r="AC72" s="38"/>
      <c r="AD72" s="38"/>
      <c r="AE72" s="34"/>
      <c r="AF72" s="34" t="str">
        <f t="shared" si="8"/>
        <v>FALSE</v>
      </c>
      <c r="AG72" s="35">
        <f t="shared" si="1"/>
        <v>0</v>
      </c>
      <c r="AH72" s="36" t="str">
        <f t="shared" si="2"/>
        <v/>
      </c>
    </row>
    <row r="73" spans="1:34" ht="1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29" t="str">
        <f t="shared" si="3"/>
        <v/>
      </c>
      <c r="Q73" s="30"/>
      <c r="R73" s="31"/>
      <c r="S73" s="68"/>
      <c r="T73" s="40"/>
      <c r="U73" s="38"/>
      <c r="V73" s="74"/>
      <c r="W73" s="34" t="str">
        <f t="shared" si="4"/>
        <v>FALSE</v>
      </c>
      <c r="X73" s="34" t="str">
        <f t="shared" si="0"/>
        <v>FALSE</v>
      </c>
      <c r="Y73" s="35">
        <f t="shared" si="5"/>
        <v>0</v>
      </c>
      <c r="Z73" s="36" t="str">
        <f t="shared" si="6"/>
        <v/>
      </c>
      <c r="AA73" s="6"/>
      <c r="AB73" s="41"/>
      <c r="AC73" s="38"/>
      <c r="AD73" s="38"/>
      <c r="AE73" s="34"/>
      <c r="AF73" s="34" t="str">
        <f t="shared" si="8"/>
        <v>FALSE</v>
      </c>
      <c r="AG73" s="35">
        <f t="shared" si="1"/>
        <v>0</v>
      </c>
      <c r="AH73" s="36" t="str">
        <f t="shared" si="2"/>
        <v/>
      </c>
    </row>
    <row r="74" spans="1:34" ht="1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29" t="str">
        <f t="shared" si="3"/>
        <v/>
      </c>
      <c r="Q74" s="30"/>
      <c r="R74" s="31"/>
      <c r="S74" s="68"/>
      <c r="T74" s="40"/>
      <c r="U74" s="38"/>
      <c r="V74" s="74"/>
      <c r="W74" s="34" t="str">
        <f t="shared" si="4"/>
        <v>FALSE</v>
      </c>
      <c r="X74" s="34" t="str">
        <f t="shared" si="0"/>
        <v>FALSE</v>
      </c>
      <c r="Y74" s="35">
        <f t="shared" si="5"/>
        <v>0</v>
      </c>
      <c r="Z74" s="36" t="str">
        <f t="shared" si="6"/>
        <v/>
      </c>
      <c r="AA74" s="6"/>
      <c r="AB74" s="41"/>
      <c r="AC74" s="38"/>
      <c r="AD74" s="38"/>
      <c r="AE74" s="34"/>
      <c r="AF74" s="34" t="str">
        <f t="shared" si="8"/>
        <v>FALSE</v>
      </c>
      <c r="AG74" s="35">
        <f t="shared" si="1"/>
        <v>0</v>
      </c>
      <c r="AH74" s="36" t="str">
        <f t="shared" si="2"/>
        <v/>
      </c>
    </row>
    <row r="75" spans="1:34" ht="1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29" t="str">
        <f t="shared" si="3"/>
        <v/>
      </c>
      <c r="Q75" s="30"/>
      <c r="R75" s="31"/>
      <c r="S75" s="68"/>
      <c r="T75" s="40"/>
      <c r="U75" s="38"/>
      <c r="V75" s="74"/>
      <c r="W75" s="34" t="str">
        <f t="shared" si="4"/>
        <v>FALSE</v>
      </c>
      <c r="X75" s="34" t="str">
        <f t="shared" si="0"/>
        <v>FALSE</v>
      </c>
      <c r="Y75" s="35">
        <f t="shared" si="5"/>
        <v>0</v>
      </c>
      <c r="Z75" s="36" t="str">
        <f t="shared" si="6"/>
        <v/>
      </c>
      <c r="AA75" s="6"/>
      <c r="AB75" s="41"/>
      <c r="AC75" s="38"/>
      <c r="AD75" s="38"/>
      <c r="AE75" s="34"/>
      <c r="AF75" s="34" t="str">
        <f t="shared" si="8"/>
        <v>FALSE</v>
      </c>
      <c r="AG75" s="35">
        <f t="shared" si="1"/>
        <v>0</v>
      </c>
      <c r="AH75" s="36" t="str">
        <f t="shared" si="2"/>
        <v/>
      </c>
    </row>
    <row r="76" spans="1:34" ht="1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29" t="str">
        <f t="shared" si="3"/>
        <v/>
      </c>
      <c r="Q76" s="30"/>
      <c r="R76" s="31"/>
      <c r="S76" s="68"/>
      <c r="T76" s="40"/>
      <c r="U76" s="38"/>
      <c r="V76" s="74"/>
      <c r="W76" s="34" t="str">
        <f t="shared" si="4"/>
        <v>FALSE</v>
      </c>
      <c r="X76" s="34" t="str">
        <f t="shared" si="0"/>
        <v>FALSE</v>
      </c>
      <c r="Y76" s="35">
        <f t="shared" si="5"/>
        <v>0</v>
      </c>
      <c r="Z76" s="36" t="str">
        <f t="shared" si="6"/>
        <v/>
      </c>
      <c r="AA76" s="6"/>
      <c r="AB76" s="41"/>
      <c r="AC76" s="38"/>
      <c r="AD76" s="38"/>
      <c r="AE76" s="34"/>
      <c r="AF76" s="34" t="str">
        <f t="shared" si="8"/>
        <v>FALSE</v>
      </c>
      <c r="AG76" s="35">
        <f t="shared" si="1"/>
        <v>0</v>
      </c>
      <c r="AH76" s="36" t="str">
        <f t="shared" si="2"/>
        <v/>
      </c>
    </row>
    <row r="77" spans="1:34" ht="1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29" t="str">
        <f t="shared" si="3"/>
        <v/>
      </c>
      <c r="Q77" s="30"/>
      <c r="R77" s="31"/>
      <c r="S77" s="68"/>
      <c r="T77" s="40"/>
      <c r="U77" s="38"/>
      <c r="V77" s="74"/>
      <c r="W77" s="34" t="str">
        <f t="shared" si="4"/>
        <v>FALSE</v>
      </c>
      <c r="X77" s="34" t="str">
        <f t="shared" si="0"/>
        <v>FALSE</v>
      </c>
      <c r="Y77" s="35">
        <f t="shared" si="5"/>
        <v>0</v>
      </c>
      <c r="Z77" s="36" t="str">
        <f t="shared" si="6"/>
        <v/>
      </c>
      <c r="AA77" s="6"/>
      <c r="AB77" s="41"/>
      <c r="AC77" s="38"/>
      <c r="AD77" s="38"/>
      <c r="AE77" s="34"/>
      <c r="AF77" s="34" t="str">
        <f t="shared" si="8"/>
        <v>FALSE</v>
      </c>
      <c r="AG77" s="35">
        <f t="shared" si="1"/>
        <v>0</v>
      </c>
      <c r="AH77" s="36" t="str">
        <f t="shared" si="2"/>
        <v/>
      </c>
    </row>
    <row r="78" spans="1:34" ht="1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29" t="str">
        <f t="shared" si="3"/>
        <v/>
      </c>
      <c r="Q78" s="30"/>
      <c r="R78" s="31"/>
      <c r="S78" s="68"/>
      <c r="T78" s="40"/>
      <c r="U78" s="38"/>
      <c r="V78" s="74"/>
      <c r="W78" s="34" t="str">
        <f t="shared" si="4"/>
        <v>FALSE</v>
      </c>
      <c r="X78" s="34" t="str">
        <f t="shared" ref="X78:X120" si="9">IF(U78="","FALSE",ABS((U78-AVERAGE($U$14:$U$120))/_xlfn.STDEV.S($U$14:$U$104)))</f>
        <v>FALSE</v>
      </c>
      <c r="Y78" s="35">
        <f t="shared" si="5"/>
        <v>0</v>
      </c>
      <c r="Z78" s="36" t="str">
        <f t="shared" si="6"/>
        <v/>
      </c>
      <c r="AA78" s="6"/>
      <c r="AB78" s="41"/>
      <c r="AC78" s="38"/>
      <c r="AD78" s="38"/>
      <c r="AE78" s="34"/>
      <c r="AF78" s="34" t="str">
        <f t="shared" si="8"/>
        <v>FALSE</v>
      </c>
      <c r="AG78" s="35">
        <f t="shared" ref="AG78:AG120" si="10">IF(OR(AC78&gt;$AG$11,AC78&lt;$AF$11),AC78,"")</f>
        <v>0</v>
      </c>
      <c r="AH78" s="36" t="str">
        <f t="shared" ref="AH78:AH120" si="11">IF(AC78="","",AC78/AB78)</f>
        <v/>
      </c>
    </row>
    <row r="79" spans="1:34" ht="1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29" t="str">
        <f t="shared" ref="P79:P120" si="12">IF(R79&lt;&gt;"",P78+1,"")</f>
        <v/>
      </c>
      <c r="Q79" s="30"/>
      <c r="R79" s="31"/>
      <c r="S79" s="68"/>
      <c r="T79" s="40"/>
      <c r="U79" s="38"/>
      <c r="V79" s="74"/>
      <c r="W79" s="34" t="str">
        <f t="shared" ref="W79:W120" si="13">IF(X79&gt;3,"FALSE",U79)</f>
        <v>FALSE</v>
      </c>
      <c r="X79" s="34" t="str">
        <f t="shared" si="9"/>
        <v>FALSE</v>
      </c>
      <c r="Y79" s="35">
        <f t="shared" ref="Y79:Y120" si="14">IF(OR(U79&gt;$Y$11,U79&lt;$X$11),U79,"")</f>
        <v>0</v>
      </c>
      <c r="Z79" s="36" t="str">
        <f t="shared" ref="Z79:Z120" si="15">IF(U79="","",U79/T79)</f>
        <v/>
      </c>
      <c r="AA79" s="6"/>
      <c r="AB79" s="41"/>
      <c r="AC79" s="38"/>
      <c r="AD79" s="38"/>
      <c r="AE79" s="34"/>
      <c r="AF79" s="34" t="str">
        <f t="shared" ref="AF79:AF120" si="16">IF(AC79="","FALSE",ABS((AC79-AVERAGE($AC$14:$AC$120))/_xlfn.STDEV.S($AC$14:$AC$104)))</f>
        <v>FALSE</v>
      </c>
      <c r="AG79" s="35">
        <f t="shared" si="10"/>
        <v>0</v>
      </c>
      <c r="AH79" s="36" t="str">
        <f t="shared" si="11"/>
        <v/>
      </c>
    </row>
    <row r="80" spans="1:34" ht="1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29" t="str">
        <f t="shared" si="12"/>
        <v/>
      </c>
      <c r="Q80" s="30"/>
      <c r="R80" s="31"/>
      <c r="S80" s="68"/>
      <c r="T80" s="40"/>
      <c r="U80" s="38"/>
      <c r="V80" s="74"/>
      <c r="W80" s="34" t="str">
        <f t="shared" si="13"/>
        <v>FALSE</v>
      </c>
      <c r="X80" s="34" t="str">
        <f t="shared" si="9"/>
        <v>FALSE</v>
      </c>
      <c r="Y80" s="35">
        <f t="shared" si="14"/>
        <v>0</v>
      </c>
      <c r="Z80" s="36" t="str">
        <f t="shared" si="15"/>
        <v/>
      </c>
      <c r="AA80" s="6"/>
      <c r="AB80" s="41"/>
      <c r="AC80" s="38"/>
      <c r="AD80" s="38"/>
      <c r="AE80" s="34"/>
      <c r="AF80" s="34" t="str">
        <f t="shared" si="16"/>
        <v>FALSE</v>
      </c>
      <c r="AG80" s="35">
        <f t="shared" si="10"/>
        <v>0</v>
      </c>
      <c r="AH80" s="36" t="str">
        <f t="shared" si="11"/>
        <v/>
      </c>
    </row>
    <row r="81" spans="1:34" ht="1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29" t="str">
        <f t="shared" si="12"/>
        <v/>
      </c>
      <c r="Q81" s="30"/>
      <c r="R81" s="31"/>
      <c r="S81" s="68"/>
      <c r="T81" s="40"/>
      <c r="U81" s="38"/>
      <c r="V81" s="74"/>
      <c r="W81" s="34" t="str">
        <f t="shared" si="13"/>
        <v>FALSE</v>
      </c>
      <c r="X81" s="34" t="str">
        <f t="shared" si="9"/>
        <v>FALSE</v>
      </c>
      <c r="Y81" s="35">
        <f t="shared" si="14"/>
        <v>0</v>
      </c>
      <c r="Z81" s="36" t="str">
        <f t="shared" si="15"/>
        <v/>
      </c>
      <c r="AA81" s="6"/>
      <c r="AB81" s="41"/>
      <c r="AC81" s="38"/>
      <c r="AD81" s="38"/>
      <c r="AE81" s="34"/>
      <c r="AF81" s="34" t="str">
        <f t="shared" si="16"/>
        <v>FALSE</v>
      </c>
      <c r="AG81" s="35">
        <f t="shared" si="10"/>
        <v>0</v>
      </c>
      <c r="AH81" s="36" t="str">
        <f t="shared" si="11"/>
        <v/>
      </c>
    </row>
    <row r="82" spans="1:34" ht="1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29" t="str">
        <f t="shared" si="12"/>
        <v/>
      </c>
      <c r="Q82" s="30"/>
      <c r="R82" s="31"/>
      <c r="S82" s="68"/>
      <c r="T82" s="40"/>
      <c r="U82" s="38"/>
      <c r="V82" s="74"/>
      <c r="W82" s="34" t="str">
        <f t="shared" si="13"/>
        <v>FALSE</v>
      </c>
      <c r="X82" s="34" t="str">
        <f t="shared" si="9"/>
        <v>FALSE</v>
      </c>
      <c r="Y82" s="35">
        <f t="shared" si="14"/>
        <v>0</v>
      </c>
      <c r="Z82" s="36" t="str">
        <f t="shared" si="15"/>
        <v/>
      </c>
      <c r="AA82" s="6"/>
      <c r="AB82" s="41"/>
      <c r="AC82" s="38"/>
      <c r="AD82" s="38"/>
      <c r="AE82" s="34"/>
      <c r="AF82" s="34" t="str">
        <f t="shared" si="16"/>
        <v>FALSE</v>
      </c>
      <c r="AG82" s="35">
        <f t="shared" si="10"/>
        <v>0</v>
      </c>
      <c r="AH82" s="36" t="str">
        <f t="shared" si="11"/>
        <v/>
      </c>
    </row>
    <row r="83" spans="1:34" ht="1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29" t="str">
        <f t="shared" si="12"/>
        <v/>
      </c>
      <c r="Q83" s="30"/>
      <c r="R83" s="31"/>
      <c r="S83" s="68"/>
      <c r="T83" s="40"/>
      <c r="U83" s="38"/>
      <c r="V83" s="74"/>
      <c r="W83" s="34" t="str">
        <f t="shared" si="13"/>
        <v>FALSE</v>
      </c>
      <c r="X83" s="34" t="str">
        <f t="shared" si="9"/>
        <v>FALSE</v>
      </c>
      <c r="Y83" s="35">
        <f t="shared" si="14"/>
        <v>0</v>
      </c>
      <c r="Z83" s="36" t="str">
        <f t="shared" si="15"/>
        <v/>
      </c>
      <c r="AA83" s="6"/>
      <c r="AB83" s="41"/>
      <c r="AC83" s="38"/>
      <c r="AD83" s="38"/>
      <c r="AE83" s="34"/>
      <c r="AF83" s="34" t="str">
        <f t="shared" si="16"/>
        <v>FALSE</v>
      </c>
      <c r="AG83" s="35">
        <f t="shared" si="10"/>
        <v>0</v>
      </c>
      <c r="AH83" s="36" t="str">
        <f t="shared" si="11"/>
        <v/>
      </c>
    </row>
    <row r="84" spans="1:34" ht="1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29" t="str">
        <f t="shared" si="12"/>
        <v/>
      </c>
      <c r="Q84" s="30"/>
      <c r="R84" s="31"/>
      <c r="S84" s="68"/>
      <c r="T84" s="40"/>
      <c r="U84" s="38"/>
      <c r="V84" s="74"/>
      <c r="W84" s="34" t="str">
        <f t="shared" si="13"/>
        <v>FALSE</v>
      </c>
      <c r="X84" s="34" t="str">
        <f t="shared" si="9"/>
        <v>FALSE</v>
      </c>
      <c r="Y84" s="35">
        <f t="shared" si="14"/>
        <v>0</v>
      </c>
      <c r="Z84" s="36" t="str">
        <f t="shared" si="15"/>
        <v/>
      </c>
      <c r="AA84" s="6"/>
      <c r="AB84" s="41"/>
      <c r="AC84" s="38"/>
      <c r="AD84" s="38"/>
      <c r="AE84" s="34"/>
      <c r="AF84" s="34" t="str">
        <f t="shared" si="16"/>
        <v>FALSE</v>
      </c>
      <c r="AG84" s="35">
        <f t="shared" si="10"/>
        <v>0</v>
      </c>
      <c r="AH84" s="36" t="str">
        <f t="shared" si="11"/>
        <v/>
      </c>
    </row>
    <row r="85" spans="1:34" ht="1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29" t="str">
        <f t="shared" si="12"/>
        <v/>
      </c>
      <c r="Q85" s="30"/>
      <c r="R85" s="31"/>
      <c r="S85" s="68"/>
      <c r="T85" s="40"/>
      <c r="U85" s="38"/>
      <c r="V85" s="74"/>
      <c r="W85" s="34" t="str">
        <f t="shared" si="13"/>
        <v>FALSE</v>
      </c>
      <c r="X85" s="34" t="str">
        <f t="shared" si="9"/>
        <v>FALSE</v>
      </c>
      <c r="Y85" s="35">
        <f t="shared" si="14"/>
        <v>0</v>
      </c>
      <c r="Z85" s="36" t="str">
        <f t="shared" si="15"/>
        <v/>
      </c>
      <c r="AA85" s="6"/>
      <c r="AB85" s="41"/>
      <c r="AC85" s="38"/>
      <c r="AD85" s="38"/>
      <c r="AE85" s="34"/>
      <c r="AF85" s="34" t="str">
        <f t="shared" si="16"/>
        <v>FALSE</v>
      </c>
      <c r="AG85" s="35">
        <f t="shared" si="10"/>
        <v>0</v>
      </c>
      <c r="AH85" s="36" t="str">
        <f t="shared" si="11"/>
        <v/>
      </c>
    </row>
    <row r="86" spans="1:34" ht="1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29" t="str">
        <f t="shared" si="12"/>
        <v/>
      </c>
      <c r="Q86" s="30"/>
      <c r="R86" s="31"/>
      <c r="S86" s="68"/>
      <c r="T86" s="40"/>
      <c r="U86" s="38"/>
      <c r="V86" s="74"/>
      <c r="W86" s="34" t="str">
        <f t="shared" si="13"/>
        <v>FALSE</v>
      </c>
      <c r="X86" s="34" t="str">
        <f t="shared" si="9"/>
        <v>FALSE</v>
      </c>
      <c r="Y86" s="35">
        <f t="shared" si="14"/>
        <v>0</v>
      </c>
      <c r="Z86" s="36" t="str">
        <f t="shared" si="15"/>
        <v/>
      </c>
      <c r="AA86" s="6"/>
      <c r="AB86" s="41"/>
      <c r="AC86" s="38"/>
      <c r="AD86" s="38"/>
      <c r="AE86" s="34"/>
      <c r="AF86" s="34" t="str">
        <f t="shared" si="16"/>
        <v>FALSE</v>
      </c>
      <c r="AG86" s="35">
        <f t="shared" si="10"/>
        <v>0</v>
      </c>
      <c r="AH86" s="36" t="str">
        <f t="shared" si="11"/>
        <v/>
      </c>
    </row>
    <row r="87" spans="1:34" ht="1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29" t="str">
        <f t="shared" si="12"/>
        <v/>
      </c>
      <c r="Q87" s="30"/>
      <c r="R87" s="31"/>
      <c r="S87" s="68"/>
      <c r="T87" s="40"/>
      <c r="U87" s="38"/>
      <c r="V87" s="74"/>
      <c r="W87" s="34" t="str">
        <f t="shared" si="13"/>
        <v>FALSE</v>
      </c>
      <c r="X87" s="34" t="str">
        <f t="shared" si="9"/>
        <v>FALSE</v>
      </c>
      <c r="Y87" s="35">
        <f t="shared" si="14"/>
        <v>0</v>
      </c>
      <c r="Z87" s="36" t="str">
        <f t="shared" si="15"/>
        <v/>
      </c>
      <c r="AA87" s="6"/>
      <c r="AB87" s="41"/>
      <c r="AC87" s="38"/>
      <c r="AD87" s="38"/>
      <c r="AE87" s="34"/>
      <c r="AF87" s="34" t="str">
        <f t="shared" si="16"/>
        <v>FALSE</v>
      </c>
      <c r="AG87" s="35">
        <f t="shared" si="10"/>
        <v>0</v>
      </c>
      <c r="AH87" s="36" t="str">
        <f t="shared" si="11"/>
        <v/>
      </c>
    </row>
    <row r="88" spans="1:34" ht="1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29" t="str">
        <f t="shared" si="12"/>
        <v/>
      </c>
      <c r="Q88" s="30"/>
      <c r="R88" s="31"/>
      <c r="S88" s="68"/>
      <c r="T88" s="40"/>
      <c r="U88" s="38"/>
      <c r="V88" s="74"/>
      <c r="W88" s="34" t="str">
        <f t="shared" si="13"/>
        <v>FALSE</v>
      </c>
      <c r="X88" s="34" t="str">
        <f t="shared" si="9"/>
        <v>FALSE</v>
      </c>
      <c r="Y88" s="35">
        <f t="shared" si="14"/>
        <v>0</v>
      </c>
      <c r="Z88" s="36" t="str">
        <f t="shared" si="15"/>
        <v/>
      </c>
      <c r="AA88" s="6"/>
      <c r="AB88" s="41"/>
      <c r="AC88" s="38"/>
      <c r="AD88" s="38"/>
      <c r="AE88" s="34"/>
      <c r="AF88" s="34" t="str">
        <f t="shared" si="16"/>
        <v>FALSE</v>
      </c>
      <c r="AG88" s="35">
        <f t="shared" si="10"/>
        <v>0</v>
      </c>
      <c r="AH88" s="36" t="str">
        <f t="shared" si="11"/>
        <v/>
      </c>
    </row>
    <row r="89" spans="1:34" ht="1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29" t="str">
        <f t="shared" si="12"/>
        <v/>
      </c>
      <c r="Q89" s="30"/>
      <c r="R89" s="31"/>
      <c r="S89" s="68"/>
      <c r="T89" s="40"/>
      <c r="U89" s="38"/>
      <c r="V89" s="74"/>
      <c r="W89" s="34" t="str">
        <f t="shared" si="13"/>
        <v>FALSE</v>
      </c>
      <c r="X89" s="34" t="str">
        <f t="shared" si="9"/>
        <v>FALSE</v>
      </c>
      <c r="Y89" s="35">
        <f t="shared" si="14"/>
        <v>0</v>
      </c>
      <c r="Z89" s="36" t="str">
        <f t="shared" si="15"/>
        <v/>
      </c>
      <c r="AA89" s="6"/>
      <c r="AB89" s="41"/>
      <c r="AC89" s="38"/>
      <c r="AD89" s="38"/>
      <c r="AE89" s="34"/>
      <c r="AF89" s="34" t="str">
        <f t="shared" si="16"/>
        <v>FALSE</v>
      </c>
      <c r="AG89" s="35">
        <f t="shared" si="10"/>
        <v>0</v>
      </c>
      <c r="AH89" s="36" t="str">
        <f t="shared" si="11"/>
        <v/>
      </c>
    </row>
    <row r="90" spans="1:34" ht="1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29" t="str">
        <f t="shared" si="12"/>
        <v/>
      </c>
      <c r="Q90" s="30"/>
      <c r="R90" s="31"/>
      <c r="S90" s="68"/>
      <c r="T90" s="40"/>
      <c r="U90" s="38"/>
      <c r="V90" s="74"/>
      <c r="W90" s="34" t="str">
        <f t="shared" si="13"/>
        <v>FALSE</v>
      </c>
      <c r="X90" s="34" t="str">
        <f t="shared" si="9"/>
        <v>FALSE</v>
      </c>
      <c r="Y90" s="35">
        <f t="shared" si="14"/>
        <v>0</v>
      </c>
      <c r="Z90" s="36" t="str">
        <f t="shared" si="15"/>
        <v/>
      </c>
      <c r="AA90" s="6"/>
      <c r="AB90" s="41"/>
      <c r="AC90" s="38"/>
      <c r="AD90" s="38"/>
      <c r="AE90" s="34"/>
      <c r="AF90" s="34" t="str">
        <f t="shared" si="16"/>
        <v>FALSE</v>
      </c>
      <c r="AG90" s="35">
        <f t="shared" si="10"/>
        <v>0</v>
      </c>
      <c r="AH90" s="36" t="str">
        <f t="shared" si="11"/>
        <v/>
      </c>
    </row>
    <row r="91" spans="1:34" ht="1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29" t="str">
        <f t="shared" si="12"/>
        <v/>
      </c>
      <c r="Q91" s="30"/>
      <c r="R91" s="31"/>
      <c r="S91" s="68"/>
      <c r="T91" s="40"/>
      <c r="U91" s="38"/>
      <c r="V91" s="74"/>
      <c r="W91" s="34" t="str">
        <f t="shared" si="13"/>
        <v>FALSE</v>
      </c>
      <c r="X91" s="34" t="str">
        <f t="shared" si="9"/>
        <v>FALSE</v>
      </c>
      <c r="Y91" s="35">
        <f t="shared" si="14"/>
        <v>0</v>
      </c>
      <c r="Z91" s="36" t="str">
        <f t="shared" si="15"/>
        <v/>
      </c>
      <c r="AA91" s="6"/>
      <c r="AB91" s="41"/>
      <c r="AC91" s="38"/>
      <c r="AD91" s="38"/>
      <c r="AE91" s="34"/>
      <c r="AF91" s="34" t="str">
        <f t="shared" si="16"/>
        <v>FALSE</v>
      </c>
      <c r="AG91" s="35">
        <f t="shared" si="10"/>
        <v>0</v>
      </c>
      <c r="AH91" s="36" t="str">
        <f t="shared" si="11"/>
        <v/>
      </c>
    </row>
    <row r="92" spans="1:34" ht="1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29" t="str">
        <f t="shared" si="12"/>
        <v/>
      </c>
      <c r="Q92" s="30"/>
      <c r="R92" s="31"/>
      <c r="S92" s="68"/>
      <c r="T92" s="40"/>
      <c r="U92" s="38"/>
      <c r="V92" s="74"/>
      <c r="W92" s="34" t="str">
        <f t="shared" si="13"/>
        <v>FALSE</v>
      </c>
      <c r="X92" s="34" t="str">
        <f t="shared" si="9"/>
        <v>FALSE</v>
      </c>
      <c r="Y92" s="35">
        <f t="shared" si="14"/>
        <v>0</v>
      </c>
      <c r="Z92" s="36" t="str">
        <f t="shared" si="15"/>
        <v/>
      </c>
      <c r="AA92" s="6"/>
      <c r="AB92" s="41"/>
      <c r="AC92" s="38"/>
      <c r="AD92" s="38"/>
      <c r="AE92" s="34"/>
      <c r="AF92" s="34" t="str">
        <f t="shared" si="16"/>
        <v>FALSE</v>
      </c>
      <c r="AG92" s="35">
        <f t="shared" si="10"/>
        <v>0</v>
      </c>
      <c r="AH92" s="36" t="str">
        <f t="shared" si="11"/>
        <v/>
      </c>
    </row>
    <row r="93" spans="1:34" ht="1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29" t="str">
        <f t="shared" si="12"/>
        <v/>
      </c>
      <c r="Q93" s="30"/>
      <c r="R93" s="31"/>
      <c r="S93" s="68"/>
      <c r="T93" s="40"/>
      <c r="U93" s="38"/>
      <c r="V93" s="74"/>
      <c r="W93" s="34" t="str">
        <f t="shared" si="13"/>
        <v>FALSE</v>
      </c>
      <c r="X93" s="34" t="str">
        <f t="shared" si="9"/>
        <v>FALSE</v>
      </c>
      <c r="Y93" s="35">
        <f t="shared" si="14"/>
        <v>0</v>
      </c>
      <c r="Z93" s="36" t="str">
        <f t="shared" si="15"/>
        <v/>
      </c>
      <c r="AA93" s="6"/>
      <c r="AB93" s="41"/>
      <c r="AC93" s="38"/>
      <c r="AD93" s="38"/>
      <c r="AE93" s="34"/>
      <c r="AF93" s="34" t="str">
        <f t="shared" si="16"/>
        <v>FALSE</v>
      </c>
      <c r="AG93" s="35">
        <f t="shared" si="10"/>
        <v>0</v>
      </c>
      <c r="AH93" s="36" t="str">
        <f t="shared" si="11"/>
        <v/>
      </c>
    </row>
    <row r="94" spans="1:34" ht="1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29" t="str">
        <f t="shared" si="12"/>
        <v/>
      </c>
      <c r="Q94" s="30"/>
      <c r="R94" s="31"/>
      <c r="S94" s="68"/>
      <c r="T94" s="40"/>
      <c r="U94" s="38"/>
      <c r="V94" s="74"/>
      <c r="W94" s="34" t="str">
        <f t="shared" si="13"/>
        <v>FALSE</v>
      </c>
      <c r="X94" s="34" t="str">
        <f t="shared" si="9"/>
        <v>FALSE</v>
      </c>
      <c r="Y94" s="35">
        <f t="shared" si="14"/>
        <v>0</v>
      </c>
      <c r="Z94" s="36" t="str">
        <f t="shared" si="15"/>
        <v/>
      </c>
      <c r="AA94" s="6"/>
      <c r="AB94" s="41"/>
      <c r="AC94" s="38"/>
      <c r="AD94" s="38"/>
      <c r="AE94" s="34"/>
      <c r="AF94" s="34" t="str">
        <f t="shared" si="16"/>
        <v>FALSE</v>
      </c>
      <c r="AG94" s="35">
        <f t="shared" si="10"/>
        <v>0</v>
      </c>
      <c r="AH94" s="36" t="str">
        <f t="shared" si="11"/>
        <v/>
      </c>
    </row>
    <row r="95" spans="1:34" ht="1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29" t="str">
        <f t="shared" si="12"/>
        <v/>
      </c>
      <c r="Q95" s="30"/>
      <c r="R95" s="31"/>
      <c r="S95" s="68"/>
      <c r="T95" s="40"/>
      <c r="U95" s="38"/>
      <c r="V95" s="74"/>
      <c r="W95" s="34" t="str">
        <f t="shared" si="13"/>
        <v>FALSE</v>
      </c>
      <c r="X95" s="34" t="str">
        <f t="shared" si="9"/>
        <v>FALSE</v>
      </c>
      <c r="Y95" s="35">
        <f t="shared" si="14"/>
        <v>0</v>
      </c>
      <c r="Z95" s="36" t="str">
        <f t="shared" si="15"/>
        <v/>
      </c>
      <c r="AA95" s="6"/>
      <c r="AB95" s="41"/>
      <c r="AC95" s="38"/>
      <c r="AD95" s="38"/>
      <c r="AE95" s="34"/>
      <c r="AF95" s="34" t="str">
        <f t="shared" si="16"/>
        <v>FALSE</v>
      </c>
      <c r="AG95" s="35">
        <f t="shared" si="10"/>
        <v>0</v>
      </c>
      <c r="AH95" s="36" t="str">
        <f t="shared" si="11"/>
        <v/>
      </c>
    </row>
    <row r="96" spans="1:34" ht="1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29" t="str">
        <f t="shared" si="12"/>
        <v/>
      </c>
      <c r="Q96" s="30"/>
      <c r="R96" s="31"/>
      <c r="S96" s="68"/>
      <c r="T96" s="40"/>
      <c r="U96" s="38"/>
      <c r="V96" s="74"/>
      <c r="W96" s="34" t="str">
        <f t="shared" si="13"/>
        <v>FALSE</v>
      </c>
      <c r="X96" s="34" t="str">
        <f t="shared" si="9"/>
        <v>FALSE</v>
      </c>
      <c r="Y96" s="35">
        <f t="shared" si="14"/>
        <v>0</v>
      </c>
      <c r="Z96" s="36" t="str">
        <f t="shared" si="15"/>
        <v/>
      </c>
      <c r="AA96" s="6"/>
      <c r="AB96" s="41"/>
      <c r="AC96" s="38"/>
      <c r="AD96" s="38"/>
      <c r="AE96" s="34"/>
      <c r="AF96" s="34" t="str">
        <f t="shared" si="16"/>
        <v>FALSE</v>
      </c>
      <c r="AG96" s="35">
        <f t="shared" si="10"/>
        <v>0</v>
      </c>
      <c r="AH96" s="36" t="str">
        <f t="shared" si="11"/>
        <v/>
      </c>
    </row>
    <row r="97" spans="1:34" ht="1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29" t="str">
        <f t="shared" si="12"/>
        <v/>
      </c>
      <c r="Q97" s="30"/>
      <c r="R97" s="31"/>
      <c r="S97" s="68"/>
      <c r="T97" s="40"/>
      <c r="U97" s="38"/>
      <c r="V97" s="74"/>
      <c r="W97" s="34" t="str">
        <f t="shared" si="13"/>
        <v>FALSE</v>
      </c>
      <c r="X97" s="34" t="str">
        <f t="shared" si="9"/>
        <v>FALSE</v>
      </c>
      <c r="Y97" s="35">
        <f t="shared" si="14"/>
        <v>0</v>
      </c>
      <c r="Z97" s="36" t="str">
        <f t="shared" si="15"/>
        <v/>
      </c>
      <c r="AA97" s="6"/>
      <c r="AB97" s="41"/>
      <c r="AC97" s="38"/>
      <c r="AD97" s="38"/>
      <c r="AE97" s="34"/>
      <c r="AF97" s="34" t="str">
        <f t="shared" si="16"/>
        <v>FALSE</v>
      </c>
      <c r="AG97" s="35">
        <f t="shared" si="10"/>
        <v>0</v>
      </c>
      <c r="AH97" s="36" t="str">
        <f t="shared" si="11"/>
        <v/>
      </c>
    </row>
    <row r="98" spans="1:34" ht="1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29" t="str">
        <f t="shared" si="12"/>
        <v/>
      </c>
      <c r="Q98" s="30"/>
      <c r="R98" s="31"/>
      <c r="S98" s="68"/>
      <c r="T98" s="40"/>
      <c r="U98" s="38"/>
      <c r="V98" s="74"/>
      <c r="W98" s="34" t="str">
        <f t="shared" si="13"/>
        <v>FALSE</v>
      </c>
      <c r="X98" s="34" t="str">
        <f t="shared" si="9"/>
        <v>FALSE</v>
      </c>
      <c r="Y98" s="35">
        <f t="shared" si="14"/>
        <v>0</v>
      </c>
      <c r="Z98" s="36" t="str">
        <f t="shared" si="15"/>
        <v/>
      </c>
      <c r="AA98" s="6"/>
      <c r="AB98" s="41"/>
      <c r="AC98" s="38"/>
      <c r="AD98" s="38"/>
      <c r="AE98" s="34"/>
      <c r="AF98" s="34" t="str">
        <f t="shared" si="16"/>
        <v>FALSE</v>
      </c>
      <c r="AG98" s="35">
        <f t="shared" si="10"/>
        <v>0</v>
      </c>
      <c r="AH98" s="36" t="str">
        <f t="shared" si="11"/>
        <v/>
      </c>
    </row>
    <row r="99" spans="1:34" ht="1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29" t="str">
        <f t="shared" si="12"/>
        <v/>
      </c>
      <c r="Q99" s="30"/>
      <c r="R99" s="31"/>
      <c r="S99" s="68"/>
      <c r="T99" s="40"/>
      <c r="U99" s="38"/>
      <c r="V99" s="74"/>
      <c r="W99" s="34" t="str">
        <f t="shared" si="13"/>
        <v>FALSE</v>
      </c>
      <c r="X99" s="34" t="str">
        <f t="shared" si="9"/>
        <v>FALSE</v>
      </c>
      <c r="Y99" s="35">
        <f t="shared" si="14"/>
        <v>0</v>
      </c>
      <c r="Z99" s="36" t="str">
        <f t="shared" si="15"/>
        <v/>
      </c>
      <c r="AA99" s="6"/>
      <c r="AB99" s="41"/>
      <c r="AC99" s="38"/>
      <c r="AD99" s="38"/>
      <c r="AE99" s="34"/>
      <c r="AF99" s="34" t="str">
        <f t="shared" si="16"/>
        <v>FALSE</v>
      </c>
      <c r="AG99" s="35">
        <f t="shared" si="10"/>
        <v>0</v>
      </c>
      <c r="AH99" s="36" t="str">
        <f t="shared" si="11"/>
        <v/>
      </c>
    </row>
    <row r="100" spans="1:34" ht="1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29" t="str">
        <f t="shared" si="12"/>
        <v/>
      </c>
      <c r="Q100" s="30"/>
      <c r="R100" s="31"/>
      <c r="S100" s="68"/>
      <c r="T100" s="40"/>
      <c r="U100" s="38"/>
      <c r="V100" s="74"/>
      <c r="W100" s="34" t="str">
        <f t="shared" si="13"/>
        <v>FALSE</v>
      </c>
      <c r="X100" s="34" t="str">
        <f t="shared" si="9"/>
        <v>FALSE</v>
      </c>
      <c r="Y100" s="35">
        <f t="shared" si="14"/>
        <v>0</v>
      </c>
      <c r="Z100" s="36" t="str">
        <f t="shared" si="15"/>
        <v/>
      </c>
      <c r="AA100" s="6"/>
      <c r="AB100" s="41"/>
      <c r="AC100" s="38"/>
      <c r="AD100" s="38"/>
      <c r="AE100" s="34"/>
      <c r="AF100" s="34" t="str">
        <f t="shared" si="16"/>
        <v>FALSE</v>
      </c>
      <c r="AG100" s="35">
        <f t="shared" si="10"/>
        <v>0</v>
      </c>
      <c r="AH100" s="36" t="str">
        <f t="shared" si="11"/>
        <v/>
      </c>
    </row>
    <row r="101" spans="1:34" ht="1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29" t="str">
        <f t="shared" si="12"/>
        <v/>
      </c>
      <c r="Q101" s="30"/>
      <c r="R101" s="31"/>
      <c r="S101" s="68"/>
      <c r="T101" s="40"/>
      <c r="U101" s="38"/>
      <c r="V101" s="74"/>
      <c r="W101" s="34" t="str">
        <f t="shared" si="13"/>
        <v>FALSE</v>
      </c>
      <c r="X101" s="34" t="str">
        <f t="shared" si="9"/>
        <v>FALSE</v>
      </c>
      <c r="Y101" s="35">
        <f t="shared" si="14"/>
        <v>0</v>
      </c>
      <c r="Z101" s="36" t="str">
        <f t="shared" si="15"/>
        <v/>
      </c>
      <c r="AA101" s="6"/>
      <c r="AB101" s="41"/>
      <c r="AC101" s="38"/>
      <c r="AD101" s="38"/>
      <c r="AE101" s="34"/>
      <c r="AF101" s="34" t="str">
        <f t="shared" si="16"/>
        <v>FALSE</v>
      </c>
      <c r="AG101" s="35">
        <f t="shared" si="10"/>
        <v>0</v>
      </c>
      <c r="AH101" s="36" t="str">
        <f t="shared" si="11"/>
        <v/>
      </c>
    </row>
    <row r="102" spans="1:34" ht="1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29" t="str">
        <f t="shared" si="12"/>
        <v/>
      </c>
      <c r="Q102" s="30"/>
      <c r="R102" s="31"/>
      <c r="S102" s="68"/>
      <c r="T102" s="40"/>
      <c r="U102" s="38"/>
      <c r="V102" s="74"/>
      <c r="W102" s="34" t="str">
        <f t="shared" si="13"/>
        <v>FALSE</v>
      </c>
      <c r="X102" s="34" t="str">
        <f t="shared" si="9"/>
        <v>FALSE</v>
      </c>
      <c r="Y102" s="35">
        <f t="shared" si="14"/>
        <v>0</v>
      </c>
      <c r="Z102" s="36" t="str">
        <f t="shared" si="15"/>
        <v/>
      </c>
      <c r="AA102" s="6"/>
      <c r="AB102" s="41"/>
      <c r="AC102" s="38"/>
      <c r="AD102" s="38"/>
      <c r="AE102" s="34"/>
      <c r="AF102" s="34" t="str">
        <f t="shared" si="16"/>
        <v>FALSE</v>
      </c>
      <c r="AG102" s="35">
        <f t="shared" si="10"/>
        <v>0</v>
      </c>
      <c r="AH102" s="36" t="str">
        <f t="shared" si="11"/>
        <v/>
      </c>
    </row>
    <row r="103" spans="1:34" ht="1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29" t="str">
        <f t="shared" si="12"/>
        <v/>
      </c>
      <c r="Q103" s="30"/>
      <c r="R103" s="31"/>
      <c r="S103" s="68"/>
      <c r="T103" s="40"/>
      <c r="U103" s="38"/>
      <c r="V103" s="74"/>
      <c r="W103" s="34" t="str">
        <f t="shared" si="13"/>
        <v>FALSE</v>
      </c>
      <c r="X103" s="34" t="str">
        <f t="shared" si="9"/>
        <v>FALSE</v>
      </c>
      <c r="Y103" s="35">
        <f t="shared" si="14"/>
        <v>0</v>
      </c>
      <c r="Z103" s="36" t="str">
        <f t="shared" si="15"/>
        <v/>
      </c>
      <c r="AA103" s="6"/>
      <c r="AB103" s="41"/>
      <c r="AC103" s="38"/>
      <c r="AD103" s="38"/>
      <c r="AE103" s="34"/>
      <c r="AF103" s="34" t="str">
        <f t="shared" si="16"/>
        <v>FALSE</v>
      </c>
      <c r="AG103" s="35">
        <f t="shared" si="10"/>
        <v>0</v>
      </c>
      <c r="AH103" s="36" t="str">
        <f t="shared" si="11"/>
        <v/>
      </c>
    </row>
    <row r="104" spans="1:34" ht="1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29" t="str">
        <f t="shared" si="12"/>
        <v/>
      </c>
      <c r="Q104" s="30"/>
      <c r="R104" s="31"/>
      <c r="S104" s="68"/>
      <c r="T104" s="40"/>
      <c r="U104" s="38"/>
      <c r="V104" s="74"/>
      <c r="W104" s="34" t="str">
        <f t="shared" si="13"/>
        <v>FALSE</v>
      </c>
      <c r="X104" s="34" t="str">
        <f t="shared" si="9"/>
        <v>FALSE</v>
      </c>
      <c r="Y104" s="35">
        <f t="shared" si="14"/>
        <v>0</v>
      </c>
      <c r="Z104" s="36" t="str">
        <f t="shared" si="15"/>
        <v/>
      </c>
      <c r="AA104" s="6"/>
      <c r="AB104" s="41"/>
      <c r="AC104" s="38"/>
      <c r="AD104" s="38"/>
      <c r="AE104" s="34"/>
      <c r="AF104" s="34" t="str">
        <f t="shared" si="16"/>
        <v>FALSE</v>
      </c>
      <c r="AG104" s="35">
        <f t="shared" si="10"/>
        <v>0</v>
      </c>
      <c r="AH104" s="36" t="str">
        <f t="shared" si="11"/>
        <v/>
      </c>
    </row>
    <row r="105" spans="1:34" ht="1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29" t="str">
        <f t="shared" si="12"/>
        <v/>
      </c>
      <c r="Q105" s="30"/>
      <c r="R105" s="31"/>
      <c r="S105" s="68"/>
      <c r="T105" s="40"/>
      <c r="U105" s="38"/>
      <c r="V105" s="74"/>
      <c r="W105" s="34" t="str">
        <f t="shared" si="13"/>
        <v>FALSE</v>
      </c>
      <c r="X105" s="34" t="str">
        <f t="shared" si="9"/>
        <v>FALSE</v>
      </c>
      <c r="Y105" s="35">
        <f t="shared" si="14"/>
        <v>0</v>
      </c>
      <c r="Z105" s="36" t="str">
        <f t="shared" si="15"/>
        <v/>
      </c>
      <c r="AA105" s="6"/>
      <c r="AB105" s="41"/>
      <c r="AC105" s="38"/>
      <c r="AD105" s="38"/>
      <c r="AE105" s="34"/>
      <c r="AF105" s="34" t="str">
        <f t="shared" si="16"/>
        <v>FALSE</v>
      </c>
      <c r="AG105" s="35">
        <f t="shared" si="10"/>
        <v>0</v>
      </c>
      <c r="AH105" s="36" t="str">
        <f t="shared" si="11"/>
        <v/>
      </c>
    </row>
    <row r="106" spans="1:34" ht="1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29" t="str">
        <f t="shared" si="12"/>
        <v/>
      </c>
      <c r="Q106" s="30"/>
      <c r="R106" s="31"/>
      <c r="S106" s="68"/>
      <c r="T106" s="40"/>
      <c r="U106" s="38"/>
      <c r="V106" s="74"/>
      <c r="W106" s="34" t="str">
        <f t="shared" si="13"/>
        <v>FALSE</v>
      </c>
      <c r="X106" s="34" t="str">
        <f t="shared" si="9"/>
        <v>FALSE</v>
      </c>
      <c r="Y106" s="35">
        <f t="shared" si="14"/>
        <v>0</v>
      </c>
      <c r="Z106" s="36" t="str">
        <f t="shared" si="15"/>
        <v/>
      </c>
      <c r="AA106" s="6"/>
      <c r="AB106" s="41"/>
      <c r="AC106" s="38"/>
      <c r="AD106" s="38"/>
      <c r="AE106" s="34"/>
      <c r="AF106" s="34" t="str">
        <f t="shared" si="16"/>
        <v>FALSE</v>
      </c>
      <c r="AG106" s="35">
        <f t="shared" si="10"/>
        <v>0</v>
      </c>
      <c r="AH106" s="36" t="str">
        <f t="shared" si="11"/>
        <v/>
      </c>
    </row>
    <row r="107" spans="1:34" ht="1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29" t="str">
        <f t="shared" si="12"/>
        <v/>
      </c>
      <c r="Q107" s="30"/>
      <c r="R107" s="31"/>
      <c r="S107" s="68"/>
      <c r="T107" s="40"/>
      <c r="U107" s="38"/>
      <c r="V107" s="74"/>
      <c r="W107" s="34" t="str">
        <f t="shared" si="13"/>
        <v>FALSE</v>
      </c>
      <c r="X107" s="34" t="str">
        <f t="shared" si="9"/>
        <v>FALSE</v>
      </c>
      <c r="Y107" s="35">
        <f t="shared" si="14"/>
        <v>0</v>
      </c>
      <c r="Z107" s="36" t="str">
        <f t="shared" si="15"/>
        <v/>
      </c>
      <c r="AA107" s="6"/>
      <c r="AB107" s="41"/>
      <c r="AC107" s="38"/>
      <c r="AD107" s="38"/>
      <c r="AE107" s="34"/>
      <c r="AF107" s="34" t="str">
        <f t="shared" si="16"/>
        <v>FALSE</v>
      </c>
      <c r="AG107" s="35">
        <f t="shared" si="10"/>
        <v>0</v>
      </c>
      <c r="AH107" s="36" t="str">
        <f t="shared" si="11"/>
        <v/>
      </c>
    </row>
    <row r="108" spans="1:34" ht="1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29" t="str">
        <f t="shared" si="12"/>
        <v/>
      </c>
      <c r="Q108" s="30"/>
      <c r="R108" s="31"/>
      <c r="S108" s="68"/>
      <c r="T108" s="40"/>
      <c r="U108" s="38"/>
      <c r="V108" s="74"/>
      <c r="W108" s="34" t="str">
        <f t="shared" si="13"/>
        <v>FALSE</v>
      </c>
      <c r="X108" s="34" t="str">
        <f t="shared" si="9"/>
        <v>FALSE</v>
      </c>
      <c r="Y108" s="35">
        <f t="shared" si="14"/>
        <v>0</v>
      </c>
      <c r="Z108" s="36" t="str">
        <f t="shared" si="15"/>
        <v/>
      </c>
      <c r="AA108" s="6"/>
      <c r="AB108" s="41"/>
      <c r="AC108" s="38"/>
      <c r="AD108" s="38"/>
      <c r="AE108" s="34"/>
      <c r="AF108" s="34" t="str">
        <f t="shared" si="16"/>
        <v>FALSE</v>
      </c>
      <c r="AG108" s="35">
        <f t="shared" si="10"/>
        <v>0</v>
      </c>
      <c r="AH108" s="36" t="str">
        <f t="shared" si="11"/>
        <v/>
      </c>
    </row>
    <row r="109" spans="1:34" ht="1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29" t="str">
        <f t="shared" si="12"/>
        <v/>
      </c>
      <c r="Q109" s="30"/>
      <c r="R109" s="31"/>
      <c r="S109" s="68"/>
      <c r="T109" s="40"/>
      <c r="U109" s="38"/>
      <c r="V109" s="74"/>
      <c r="W109" s="34" t="str">
        <f t="shared" si="13"/>
        <v>FALSE</v>
      </c>
      <c r="X109" s="34" t="str">
        <f t="shared" si="9"/>
        <v>FALSE</v>
      </c>
      <c r="Y109" s="35">
        <f t="shared" si="14"/>
        <v>0</v>
      </c>
      <c r="Z109" s="36" t="str">
        <f t="shared" si="15"/>
        <v/>
      </c>
      <c r="AA109" s="6"/>
      <c r="AB109" s="41"/>
      <c r="AC109" s="38"/>
      <c r="AD109" s="38"/>
      <c r="AE109" s="34"/>
      <c r="AF109" s="34" t="str">
        <f t="shared" si="16"/>
        <v>FALSE</v>
      </c>
      <c r="AG109" s="35">
        <f t="shared" si="10"/>
        <v>0</v>
      </c>
      <c r="AH109" s="36" t="str">
        <f t="shared" si="11"/>
        <v/>
      </c>
    </row>
    <row r="110" spans="1:34" ht="1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29" t="str">
        <f t="shared" si="12"/>
        <v/>
      </c>
      <c r="Q110" s="30"/>
      <c r="R110" s="31"/>
      <c r="S110" s="68"/>
      <c r="T110" s="40"/>
      <c r="U110" s="38"/>
      <c r="V110" s="74"/>
      <c r="W110" s="34" t="str">
        <f t="shared" si="13"/>
        <v>FALSE</v>
      </c>
      <c r="X110" s="34" t="str">
        <f t="shared" si="9"/>
        <v>FALSE</v>
      </c>
      <c r="Y110" s="35">
        <f t="shared" si="14"/>
        <v>0</v>
      </c>
      <c r="Z110" s="36" t="str">
        <f t="shared" si="15"/>
        <v/>
      </c>
      <c r="AA110" s="6"/>
      <c r="AB110" s="41"/>
      <c r="AC110" s="38"/>
      <c r="AD110" s="38"/>
      <c r="AE110" s="34"/>
      <c r="AF110" s="34" t="str">
        <f t="shared" si="16"/>
        <v>FALSE</v>
      </c>
      <c r="AG110" s="35">
        <f t="shared" si="10"/>
        <v>0</v>
      </c>
      <c r="AH110" s="36" t="str">
        <f t="shared" si="11"/>
        <v/>
      </c>
    </row>
    <row r="111" spans="1:34" ht="1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29" t="str">
        <f t="shared" si="12"/>
        <v/>
      </c>
      <c r="Q111" s="30"/>
      <c r="R111" s="31"/>
      <c r="S111" s="68"/>
      <c r="T111" s="40"/>
      <c r="U111" s="38"/>
      <c r="V111" s="74"/>
      <c r="W111" s="34" t="str">
        <f t="shared" si="13"/>
        <v>FALSE</v>
      </c>
      <c r="X111" s="34" t="str">
        <f t="shared" si="9"/>
        <v>FALSE</v>
      </c>
      <c r="Y111" s="35">
        <f t="shared" si="14"/>
        <v>0</v>
      </c>
      <c r="Z111" s="36" t="str">
        <f t="shared" si="15"/>
        <v/>
      </c>
      <c r="AA111" s="6"/>
      <c r="AB111" s="41"/>
      <c r="AC111" s="38"/>
      <c r="AD111" s="38"/>
      <c r="AE111" s="34"/>
      <c r="AF111" s="34" t="str">
        <f t="shared" si="16"/>
        <v>FALSE</v>
      </c>
      <c r="AG111" s="35">
        <f t="shared" si="10"/>
        <v>0</v>
      </c>
      <c r="AH111" s="36" t="str">
        <f t="shared" si="11"/>
        <v/>
      </c>
    </row>
    <row r="112" spans="1:34" ht="1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29" t="str">
        <f t="shared" si="12"/>
        <v/>
      </c>
      <c r="Q112" s="30"/>
      <c r="R112" s="31"/>
      <c r="S112" s="68"/>
      <c r="T112" s="40"/>
      <c r="U112" s="38"/>
      <c r="V112" s="74"/>
      <c r="W112" s="34" t="str">
        <f t="shared" si="13"/>
        <v>FALSE</v>
      </c>
      <c r="X112" s="34" t="str">
        <f t="shared" si="9"/>
        <v>FALSE</v>
      </c>
      <c r="Y112" s="35">
        <f t="shared" si="14"/>
        <v>0</v>
      </c>
      <c r="Z112" s="36" t="str">
        <f t="shared" si="15"/>
        <v/>
      </c>
      <c r="AA112" s="6"/>
      <c r="AB112" s="41"/>
      <c r="AC112" s="38"/>
      <c r="AD112" s="38"/>
      <c r="AE112" s="34"/>
      <c r="AF112" s="34" t="str">
        <f t="shared" si="16"/>
        <v>FALSE</v>
      </c>
      <c r="AG112" s="35">
        <f t="shared" si="10"/>
        <v>0</v>
      </c>
      <c r="AH112" s="36" t="str">
        <f t="shared" si="11"/>
        <v/>
      </c>
    </row>
    <row r="113" spans="1:34" ht="1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29" t="str">
        <f t="shared" si="12"/>
        <v/>
      </c>
      <c r="Q113" s="30"/>
      <c r="R113" s="31"/>
      <c r="S113" s="68"/>
      <c r="T113" s="40"/>
      <c r="U113" s="38"/>
      <c r="V113" s="74"/>
      <c r="W113" s="34" t="str">
        <f t="shared" si="13"/>
        <v>FALSE</v>
      </c>
      <c r="X113" s="34" t="str">
        <f t="shared" si="9"/>
        <v>FALSE</v>
      </c>
      <c r="Y113" s="35">
        <f t="shared" si="14"/>
        <v>0</v>
      </c>
      <c r="Z113" s="36" t="str">
        <f t="shared" si="15"/>
        <v/>
      </c>
      <c r="AA113" s="6"/>
      <c r="AB113" s="41"/>
      <c r="AC113" s="38"/>
      <c r="AD113" s="38"/>
      <c r="AE113" s="34"/>
      <c r="AF113" s="34" t="str">
        <f t="shared" si="16"/>
        <v>FALSE</v>
      </c>
      <c r="AG113" s="35">
        <f t="shared" si="10"/>
        <v>0</v>
      </c>
      <c r="AH113" s="36" t="str">
        <f t="shared" si="11"/>
        <v/>
      </c>
    </row>
    <row r="114" spans="1:34" ht="1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29" t="str">
        <f t="shared" si="12"/>
        <v/>
      </c>
      <c r="Q114" s="30"/>
      <c r="R114" s="31"/>
      <c r="S114" s="68"/>
      <c r="T114" s="40"/>
      <c r="U114" s="38"/>
      <c r="V114" s="74"/>
      <c r="W114" s="34" t="str">
        <f t="shared" si="13"/>
        <v>FALSE</v>
      </c>
      <c r="X114" s="34" t="str">
        <f t="shared" si="9"/>
        <v>FALSE</v>
      </c>
      <c r="Y114" s="35">
        <f t="shared" si="14"/>
        <v>0</v>
      </c>
      <c r="Z114" s="36" t="str">
        <f t="shared" si="15"/>
        <v/>
      </c>
      <c r="AA114" s="6"/>
      <c r="AB114" s="41"/>
      <c r="AC114" s="38"/>
      <c r="AD114" s="38"/>
      <c r="AE114" s="34"/>
      <c r="AF114" s="34" t="str">
        <f t="shared" si="16"/>
        <v>FALSE</v>
      </c>
      <c r="AG114" s="35">
        <f t="shared" si="10"/>
        <v>0</v>
      </c>
      <c r="AH114" s="36" t="str">
        <f t="shared" si="11"/>
        <v/>
      </c>
    </row>
    <row r="115" spans="1:34" ht="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29" t="str">
        <f t="shared" si="12"/>
        <v/>
      </c>
      <c r="Q115" s="30"/>
      <c r="R115" s="31"/>
      <c r="S115" s="68"/>
      <c r="T115" s="40"/>
      <c r="U115" s="38"/>
      <c r="V115" s="74"/>
      <c r="W115" s="34" t="str">
        <f t="shared" si="13"/>
        <v>FALSE</v>
      </c>
      <c r="X115" s="34" t="str">
        <f t="shared" si="9"/>
        <v>FALSE</v>
      </c>
      <c r="Y115" s="35">
        <f t="shared" si="14"/>
        <v>0</v>
      </c>
      <c r="Z115" s="36" t="str">
        <f t="shared" si="15"/>
        <v/>
      </c>
      <c r="AA115" s="6"/>
      <c r="AB115" s="41"/>
      <c r="AC115" s="38"/>
      <c r="AD115" s="38"/>
      <c r="AE115" s="34"/>
      <c r="AF115" s="34" t="str">
        <f t="shared" si="16"/>
        <v>FALSE</v>
      </c>
      <c r="AG115" s="35">
        <f t="shared" si="10"/>
        <v>0</v>
      </c>
      <c r="AH115" s="36" t="str">
        <f t="shared" si="11"/>
        <v/>
      </c>
    </row>
    <row r="116" spans="1:34" ht="1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29" t="str">
        <f t="shared" si="12"/>
        <v/>
      </c>
      <c r="Q116" s="30"/>
      <c r="R116" s="31"/>
      <c r="S116" s="68"/>
      <c r="T116" s="40"/>
      <c r="U116" s="38"/>
      <c r="V116" s="74"/>
      <c r="W116" s="34" t="str">
        <f t="shared" si="13"/>
        <v>FALSE</v>
      </c>
      <c r="X116" s="34" t="str">
        <f t="shared" si="9"/>
        <v>FALSE</v>
      </c>
      <c r="Y116" s="35">
        <f t="shared" si="14"/>
        <v>0</v>
      </c>
      <c r="Z116" s="36" t="str">
        <f t="shared" si="15"/>
        <v/>
      </c>
      <c r="AA116" s="6"/>
      <c r="AB116" s="41"/>
      <c r="AC116" s="38"/>
      <c r="AD116" s="38"/>
      <c r="AE116" s="34"/>
      <c r="AF116" s="34" t="str">
        <f t="shared" si="16"/>
        <v>FALSE</v>
      </c>
      <c r="AG116" s="35">
        <f t="shared" si="10"/>
        <v>0</v>
      </c>
      <c r="AH116" s="36" t="str">
        <f t="shared" si="11"/>
        <v/>
      </c>
    </row>
    <row r="117" spans="1:34" ht="1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29" t="str">
        <f t="shared" si="12"/>
        <v/>
      </c>
      <c r="Q117" s="30"/>
      <c r="R117" s="31"/>
      <c r="S117" s="68"/>
      <c r="T117" s="40"/>
      <c r="U117" s="38"/>
      <c r="V117" s="74"/>
      <c r="W117" s="34" t="str">
        <f t="shared" si="13"/>
        <v>FALSE</v>
      </c>
      <c r="X117" s="34" t="str">
        <f t="shared" si="9"/>
        <v>FALSE</v>
      </c>
      <c r="Y117" s="35">
        <f t="shared" si="14"/>
        <v>0</v>
      </c>
      <c r="Z117" s="36" t="str">
        <f t="shared" si="15"/>
        <v/>
      </c>
      <c r="AA117" s="6"/>
      <c r="AB117" s="41"/>
      <c r="AC117" s="38"/>
      <c r="AD117" s="38"/>
      <c r="AE117" s="34"/>
      <c r="AF117" s="34" t="str">
        <f t="shared" si="16"/>
        <v>FALSE</v>
      </c>
      <c r="AG117" s="35">
        <f t="shared" si="10"/>
        <v>0</v>
      </c>
      <c r="AH117" s="36" t="str">
        <f t="shared" si="11"/>
        <v/>
      </c>
    </row>
    <row r="118" spans="1:34" ht="1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29" t="str">
        <f t="shared" si="12"/>
        <v/>
      </c>
      <c r="Q118" s="30"/>
      <c r="R118" s="31"/>
      <c r="S118" s="68"/>
      <c r="T118" s="40"/>
      <c r="U118" s="38"/>
      <c r="V118" s="74"/>
      <c r="W118" s="34" t="str">
        <f t="shared" si="13"/>
        <v>FALSE</v>
      </c>
      <c r="X118" s="34" t="str">
        <f t="shared" si="9"/>
        <v>FALSE</v>
      </c>
      <c r="Y118" s="35">
        <f t="shared" si="14"/>
        <v>0</v>
      </c>
      <c r="Z118" s="36" t="str">
        <f t="shared" si="15"/>
        <v/>
      </c>
      <c r="AA118" s="6"/>
      <c r="AB118" s="41"/>
      <c r="AC118" s="38"/>
      <c r="AD118" s="38"/>
      <c r="AE118" s="34"/>
      <c r="AF118" s="34" t="str">
        <f t="shared" si="16"/>
        <v>FALSE</v>
      </c>
      <c r="AG118" s="35">
        <f t="shared" si="10"/>
        <v>0</v>
      </c>
      <c r="AH118" s="36" t="str">
        <f t="shared" si="11"/>
        <v/>
      </c>
    </row>
    <row r="119" spans="1:34" ht="1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29" t="str">
        <f t="shared" si="12"/>
        <v/>
      </c>
      <c r="Q119" s="30"/>
      <c r="R119" s="31"/>
      <c r="S119" s="68"/>
      <c r="T119" s="40"/>
      <c r="U119" s="38"/>
      <c r="V119" s="74"/>
      <c r="W119" s="34" t="str">
        <f t="shared" si="13"/>
        <v>FALSE</v>
      </c>
      <c r="X119" s="34" t="str">
        <f t="shared" si="9"/>
        <v>FALSE</v>
      </c>
      <c r="Y119" s="35">
        <f t="shared" si="14"/>
        <v>0</v>
      </c>
      <c r="Z119" s="36" t="str">
        <f t="shared" si="15"/>
        <v/>
      </c>
      <c r="AA119" s="6"/>
      <c r="AB119" s="41"/>
      <c r="AC119" s="38"/>
      <c r="AD119" s="38"/>
      <c r="AE119" s="34"/>
      <c r="AF119" s="34" t="str">
        <f t="shared" si="16"/>
        <v>FALSE</v>
      </c>
      <c r="AG119" s="35">
        <f t="shared" si="10"/>
        <v>0</v>
      </c>
      <c r="AH119" s="36" t="str">
        <f t="shared" si="11"/>
        <v/>
      </c>
    </row>
    <row r="120" spans="1:34" ht="1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29" t="str">
        <f t="shared" si="12"/>
        <v/>
      </c>
      <c r="Q120" s="30"/>
      <c r="R120" s="31"/>
      <c r="S120" s="68"/>
      <c r="T120" s="40"/>
      <c r="U120" s="38"/>
      <c r="V120" s="74"/>
      <c r="W120" s="34" t="str">
        <f t="shared" si="13"/>
        <v>FALSE</v>
      </c>
      <c r="X120" s="34" t="str">
        <f t="shared" si="9"/>
        <v>FALSE</v>
      </c>
      <c r="Y120" s="35">
        <f t="shared" si="14"/>
        <v>0</v>
      </c>
      <c r="Z120" s="36" t="str">
        <f t="shared" si="15"/>
        <v/>
      </c>
      <c r="AA120" s="6"/>
      <c r="AB120" s="41"/>
      <c r="AC120" s="38"/>
      <c r="AD120" s="38"/>
      <c r="AE120" s="34"/>
      <c r="AF120" s="34" t="str">
        <f t="shared" si="16"/>
        <v>FALSE</v>
      </c>
      <c r="AG120" s="35">
        <f t="shared" si="10"/>
        <v>0</v>
      </c>
      <c r="AH120" s="36" t="str">
        <f t="shared" si="11"/>
        <v/>
      </c>
    </row>
  </sheetData>
  <mergeCells count="11">
    <mergeCell ref="P6:U6"/>
    <mergeCell ref="X6:AA6"/>
    <mergeCell ref="Q8:Z8"/>
    <mergeCell ref="AB8:AH8"/>
    <mergeCell ref="D1:L2"/>
    <mergeCell ref="X2:AA2"/>
    <mergeCell ref="AC2:AG2"/>
    <mergeCell ref="P3:R3"/>
    <mergeCell ref="T3:U3"/>
    <mergeCell ref="X3:AA3"/>
    <mergeCell ref="AC3:AG3"/>
  </mergeCells>
  <conditionalFormatting sqref="U14:U120">
    <cfRule type="containsBlanks" dxfId="299" priority="1">
      <formula>LEN(TRIM(U14))=0</formula>
    </cfRule>
    <cfRule type="expression" dxfId="298" priority="2">
      <formula>AND(X14&gt;=2,X14&lt;3)</formula>
    </cfRule>
    <cfRule type="expression" dxfId="297" priority="3">
      <formula>X14&gt;3</formula>
    </cfRule>
  </conditionalFormatting>
  <conditionalFormatting sqref="W14:W120">
    <cfRule type="expression" dxfId="296" priority="15">
      <formula>X14="FALSE"</formula>
    </cfRule>
  </conditionalFormatting>
  <conditionalFormatting sqref="X14:X120">
    <cfRule type="expression" dxfId="295" priority="14">
      <formula>X14="FALSE"</formula>
    </cfRule>
    <cfRule type="expression" dxfId="294" priority="16">
      <formula>AND(X14&gt;2,X14&lt;3)</formula>
    </cfRule>
  </conditionalFormatting>
  <conditionalFormatting sqref="X14:Y50 X51:X120">
    <cfRule type="expression" dxfId="293" priority="20">
      <formula>X14&gt;=3</formula>
    </cfRule>
  </conditionalFormatting>
  <conditionalFormatting sqref="Y14:Y50">
    <cfRule type="expression" dxfId="292" priority="19">
      <formula>AND(X14&gt;=2,X14&lt;3)</formula>
    </cfRule>
  </conditionalFormatting>
  <conditionalFormatting sqref="Z14:Z120">
    <cfRule type="cellIs" dxfId="291" priority="17" operator="notBetween">
      <formula>0.8</formula>
      <formula>1.15</formula>
    </cfRule>
  </conditionalFormatting>
  <conditionalFormatting sqref="AC14:AC120">
    <cfRule type="containsBlanks" dxfId="290" priority="4">
      <formula>LEN(TRIM(AC14))=0</formula>
    </cfRule>
    <cfRule type="expression" dxfId="289" priority="5">
      <formula>AND(AF14&gt;=2,AF14&lt;3)</formula>
    </cfRule>
    <cfRule type="expression" dxfId="288" priority="6">
      <formula>AF14&gt;3</formula>
    </cfRule>
  </conditionalFormatting>
  <conditionalFormatting sqref="AE14:AE120">
    <cfRule type="expression" dxfId="287" priority="13">
      <formula>AF14="FALSE"</formula>
    </cfRule>
  </conditionalFormatting>
  <conditionalFormatting sqref="AF14:AF120">
    <cfRule type="expression" dxfId="286" priority="10">
      <formula>AF14="FALSE"</formula>
    </cfRule>
    <cfRule type="expression" dxfId="285" priority="11">
      <formula>AND(AF14&gt;2,AF14&lt;3)</formula>
    </cfRule>
    <cfRule type="expression" dxfId="284" priority="12">
      <formula>AF14&gt;=3</formula>
    </cfRule>
  </conditionalFormatting>
  <conditionalFormatting sqref="AG14:AG120">
    <cfRule type="expression" dxfId="283" priority="7">
      <formula>AF14=0</formula>
    </cfRule>
    <cfRule type="expression" dxfId="282" priority="8">
      <formula>AND(AF14&gt;=2,AF14&lt;3)</formula>
    </cfRule>
    <cfRule type="expression" dxfId="281" priority="9">
      <formula>AG14&gt;=3</formula>
    </cfRule>
  </conditionalFormatting>
  <conditionalFormatting sqref="AH14:AH120">
    <cfRule type="cellIs" dxfId="280" priority="18" operator="notBetween">
      <formula>0.8</formula>
      <formula>1.15</formula>
    </cfRule>
  </conditionalFormatting>
  <pageMargins left="0.4" right="0.4" top="0.4" bottom="0.4" header="0" footer="0"/>
  <pageSetup scale="10" fitToHeight="0" orientation="landscape" horizontalDpi="4294967292" verticalDpi="4294967292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B261A-D0C7-4B7B-A99C-B6AD0BCCB5D2}">
  <sheetPr>
    <tabColor rgb="FFFFFFFF"/>
    <pageSetUpPr fitToPage="1"/>
  </sheetPr>
  <dimension ref="A1:AH120"/>
  <sheetViews>
    <sheetView showGridLines="0" topLeftCell="E68" zoomScale="70" zoomScaleNormal="70" workbookViewId="0">
      <selection activeCell="Q55" sqref="Q55:R55"/>
    </sheetView>
  </sheetViews>
  <sheetFormatPr defaultColWidth="11" defaultRowHeight="13.5" customHeight="1"/>
  <cols>
    <col min="1" max="2" width="3.125" style="12" customWidth="1"/>
    <col min="3" max="8" width="11" style="12"/>
    <col min="9" max="9" width="9" style="12" customWidth="1"/>
    <col min="10" max="13" width="11" style="12"/>
    <col min="14" max="15" width="4" style="12" customWidth="1"/>
    <col min="16" max="16" width="6.125" style="43" customWidth="1"/>
    <col min="17" max="17" width="13" style="12" customWidth="1"/>
    <col min="18" max="18" width="12.875" style="44" customWidth="1"/>
    <col min="19" max="19" width="3" style="44" customWidth="1"/>
    <col min="20" max="20" width="12" style="45" customWidth="1"/>
    <col min="21" max="21" width="14.875" style="8" customWidth="1"/>
    <col min="22" max="22" width="2.375" style="12" customWidth="1"/>
    <col min="23" max="23" width="12.875" style="6" customWidth="1"/>
    <col min="24" max="24" width="11.5" style="6" customWidth="1"/>
    <col min="25" max="25" width="13" style="12" customWidth="1"/>
    <col min="26" max="26" width="11.625" style="12" customWidth="1"/>
    <col min="27" max="27" width="9.125" style="12" customWidth="1"/>
    <col min="28" max="28" width="13.375" style="8" customWidth="1"/>
    <col min="29" max="29" width="13.75" style="12" customWidth="1"/>
    <col min="30" max="30" width="2" style="12" customWidth="1"/>
    <col min="31" max="31" width="12.75" style="12" customWidth="1"/>
    <col min="32" max="32" width="12.375" style="12" customWidth="1"/>
    <col min="33" max="33" width="13.125" style="12" customWidth="1"/>
    <col min="34" max="34" width="15.25" style="12" customWidth="1"/>
    <col min="35" max="16384" width="11" style="12"/>
  </cols>
  <sheetData>
    <row r="1" spans="1:34" s="7" customFormat="1" ht="31.5" customHeight="1">
      <c r="A1" s="1"/>
      <c r="B1" s="1"/>
      <c r="C1" s="1"/>
      <c r="D1" s="162" t="s">
        <v>14</v>
      </c>
      <c r="E1" s="162"/>
      <c r="F1" s="162"/>
      <c r="G1" s="162"/>
      <c r="H1" s="162"/>
      <c r="I1" s="162"/>
      <c r="J1" s="162"/>
      <c r="K1" s="162"/>
      <c r="L1" s="162"/>
      <c r="M1" s="1"/>
      <c r="N1" s="1"/>
      <c r="O1" s="1"/>
      <c r="P1" s="2"/>
      <c r="Q1" s="3" t="s">
        <v>74</v>
      </c>
      <c r="R1" s="4"/>
      <c r="S1" s="4"/>
      <c r="T1" s="4"/>
      <c r="U1" s="5"/>
      <c r="V1" s="6"/>
      <c r="W1" s="6"/>
      <c r="X1" s="6"/>
      <c r="Y1" s="5"/>
      <c r="Z1" s="5"/>
      <c r="AA1" s="5"/>
      <c r="AB1" s="5"/>
      <c r="AC1" s="5"/>
      <c r="AD1" s="5"/>
      <c r="AE1" s="5"/>
      <c r="AF1" s="5"/>
      <c r="AG1" s="5"/>
      <c r="AH1"/>
    </row>
    <row r="2" spans="1:34" ht="15.75" customHeight="1">
      <c r="A2" s="8"/>
      <c r="B2" s="8"/>
      <c r="C2" s="8"/>
      <c r="D2" s="162"/>
      <c r="E2" s="162"/>
      <c r="F2" s="162"/>
      <c r="G2" s="162"/>
      <c r="H2" s="162"/>
      <c r="I2" s="162"/>
      <c r="J2" s="162"/>
      <c r="K2" s="162"/>
      <c r="L2" s="162"/>
      <c r="M2" s="8"/>
      <c r="N2" s="8"/>
      <c r="O2" s="8"/>
      <c r="P2" s="9"/>
      <c r="Q2" s="10" t="s">
        <v>75</v>
      </c>
      <c r="R2" s="11"/>
      <c r="S2" s="11"/>
      <c r="T2" s="10" t="s">
        <v>76</v>
      </c>
      <c r="X2" s="163" t="s">
        <v>77</v>
      </c>
      <c r="Y2" s="163"/>
      <c r="Z2" s="163"/>
      <c r="AA2" s="163"/>
      <c r="AC2" s="163" t="s">
        <v>78</v>
      </c>
      <c r="AD2" s="163"/>
      <c r="AE2" s="163"/>
      <c r="AF2" s="163"/>
      <c r="AG2" s="163"/>
      <c r="AH2"/>
    </row>
    <row r="3" spans="1:34" ht="26.2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164">
        <f>MIN(R14:R16)</f>
        <v>45677</v>
      </c>
      <c r="Q3" s="165"/>
      <c r="R3" s="166"/>
      <c r="S3" s="65"/>
      <c r="T3" s="167">
        <f>MAX(R14:R116)</f>
        <v>46065</v>
      </c>
      <c r="U3" s="168"/>
      <c r="X3" s="164" t="s">
        <v>79</v>
      </c>
      <c r="Y3" s="165"/>
      <c r="Z3" s="165"/>
      <c r="AA3" s="168"/>
      <c r="AC3" s="169" t="s">
        <v>80</v>
      </c>
      <c r="AD3" s="170"/>
      <c r="AE3" s="170"/>
      <c r="AF3" s="170"/>
      <c r="AG3" s="171"/>
      <c r="AH3"/>
    </row>
    <row r="4" spans="1:34" ht="15.7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13"/>
      <c r="Q4" s="14"/>
      <c r="R4" s="15">
        <f>MIN(P14:P120)</f>
        <v>1</v>
      </c>
      <c r="S4" s="15"/>
      <c r="T4" s="16">
        <f>MAX(P14:P120)</f>
        <v>42</v>
      </c>
      <c r="U4" s="14"/>
      <c r="V4" s="6"/>
      <c r="X4" s="14"/>
      <c r="Y4" s="14"/>
      <c r="Z4" s="14"/>
      <c r="AA4" s="14"/>
      <c r="AB4"/>
      <c r="AC4" s="14"/>
      <c r="AD4" s="14"/>
      <c r="AE4" s="14"/>
      <c r="AF4" s="14"/>
      <c r="AH4" s="8"/>
    </row>
    <row r="5" spans="1:34" ht="20.2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17"/>
      <c r="Q5" s="17" t="s">
        <v>81</v>
      </c>
      <c r="R5" s="11"/>
      <c r="S5" s="11"/>
      <c r="T5" s="18"/>
      <c r="U5" s="17"/>
      <c r="V5" s="6"/>
      <c r="X5" s="17" t="s">
        <v>82</v>
      </c>
      <c r="Y5" s="17"/>
      <c r="Z5" s="17"/>
      <c r="AA5" s="14"/>
      <c r="AB5"/>
      <c r="AC5" s="10"/>
      <c r="AD5" s="10"/>
    </row>
    <row r="6" spans="1:34" ht="25.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158" t="s">
        <v>83</v>
      </c>
      <c r="Q6" s="158"/>
      <c r="R6" s="158"/>
      <c r="S6" s="158"/>
      <c r="T6" s="158"/>
      <c r="U6" s="158"/>
      <c r="V6" s="6"/>
      <c r="X6" s="159"/>
      <c r="Y6" s="159"/>
      <c r="Z6" s="159"/>
      <c r="AA6" s="159"/>
      <c r="AB6"/>
      <c r="AC6" s="6"/>
      <c r="AD6" s="6"/>
    </row>
    <row r="7" spans="1:34" ht="23.2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19"/>
      <c r="Q7" s="20" t="s">
        <v>84</v>
      </c>
      <c r="R7" s="21"/>
      <c r="S7" s="21"/>
      <c r="T7" s="22"/>
      <c r="V7" s="8"/>
      <c r="Y7" s="8"/>
      <c r="Z7" s="8"/>
      <c r="AA7" s="8"/>
      <c r="AC7" s="8"/>
      <c r="AD7" s="8"/>
      <c r="AE7" s="8"/>
      <c r="AF7" s="8"/>
      <c r="AG7" s="8"/>
      <c r="AH7" s="8"/>
    </row>
    <row r="8" spans="1:34" ht="31.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19"/>
      <c r="Q8" s="160" t="s">
        <v>85</v>
      </c>
      <c r="R8" s="160"/>
      <c r="S8" s="160"/>
      <c r="T8" s="160"/>
      <c r="U8" s="160"/>
      <c r="V8" s="160"/>
      <c r="W8" s="160"/>
      <c r="X8" s="160"/>
      <c r="Y8" s="160"/>
      <c r="Z8" s="160"/>
      <c r="AA8" s="6"/>
      <c r="AB8" s="161" t="s">
        <v>86</v>
      </c>
      <c r="AC8" s="161"/>
      <c r="AD8" s="161"/>
      <c r="AE8" s="161"/>
      <c r="AF8" s="161"/>
      <c r="AG8" s="161"/>
      <c r="AH8" s="161"/>
    </row>
    <row r="9" spans="1:34" customFormat="1" ht="11.25" customHeight="1"/>
    <row r="10" spans="1:34" s="52" customFormat="1" ht="27.75" customHeight="1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Q10" s="73" t="s">
        <v>87</v>
      </c>
      <c r="R10" s="73" t="s">
        <v>88</v>
      </c>
      <c r="S10" s="66"/>
      <c r="T10" s="49" t="s">
        <v>89</v>
      </c>
      <c r="U10" s="46" t="s">
        <v>90</v>
      </c>
      <c r="V10" s="50"/>
      <c r="W10" s="47" t="s">
        <v>91</v>
      </c>
      <c r="X10" s="61" t="s">
        <v>92</v>
      </c>
      <c r="Y10" s="61" t="s">
        <v>93</v>
      </c>
      <c r="Z10" s="48" t="s">
        <v>94</v>
      </c>
      <c r="AA10" s="53"/>
      <c r="AB10" s="49" t="s">
        <v>95</v>
      </c>
      <c r="AC10" s="46" t="s">
        <v>90</v>
      </c>
      <c r="AE10" s="47" t="s">
        <v>91</v>
      </c>
      <c r="AF10" s="61" t="s">
        <v>92</v>
      </c>
      <c r="AG10" s="61" t="s">
        <v>93</v>
      </c>
      <c r="AH10" s="48" t="s">
        <v>94</v>
      </c>
    </row>
    <row r="11" spans="1:34" s="55" customFormat="1" ht="27.75" customHeight="1" thickBot="1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Q11" s="64">
        <f>IF(U11="","",1.15)</f>
        <v>1.1499999999999999</v>
      </c>
      <c r="R11" s="64">
        <f>IF(U11="","",0.8)</f>
        <v>0.8</v>
      </c>
      <c r="S11" s="67"/>
      <c r="T11" s="62">
        <f>_xlfn.STDEV.P($U$14:$U$120)/$U$11</f>
        <v>0.14208926417697706</v>
      </c>
      <c r="U11" s="63">
        <f>AVERAGE($W$14:$W$120)</f>
        <v>9.4370452380952372</v>
      </c>
      <c r="V11" s="56"/>
      <c r="W11" s="60">
        <f>$U$11-(3*_xlfn.STDEV.S($W$14:$W$120))</f>
        <v>5.3655749137696276</v>
      </c>
      <c r="X11" s="59">
        <f>$U$11-(2*_xlfn.STDEV.S($W$14:$W$120))</f>
        <v>6.7227316885448305</v>
      </c>
      <c r="Y11" s="59">
        <f>$U$11+(2*_xlfn.STDEV.S($W$14:$W$120))</f>
        <v>12.151358787645645</v>
      </c>
      <c r="Z11" s="58">
        <f>$U$11+(3*_xlfn.STDEV.S($W$14:$W$120))</f>
        <v>13.508515562420847</v>
      </c>
      <c r="AA11" s="57"/>
      <c r="AB11" s="62">
        <f>_xlfn.STDEV.P($AC$14:$AC$120)/$AC$11</f>
        <v>0.14438955337782339</v>
      </c>
      <c r="AC11" s="63">
        <f>AVERAGE($AC$14:$AC$120)</f>
        <v>0.94707619047619063</v>
      </c>
      <c r="AE11" s="60">
        <f>$AC$11-(3*_xlfn.STDEV.S($AE$14:$AE$120))</f>
        <v>0.59866264939353908</v>
      </c>
      <c r="AF11" s="59">
        <f>$AC$11-(2*_xlfn.STDEV.S($AE$14:$AE$120))</f>
        <v>0.71480049642108956</v>
      </c>
      <c r="AG11" s="59">
        <f>$AC$11+(2*_xlfn.STDEV.S($AE$14:$AE$120))</f>
        <v>1.1793518845312916</v>
      </c>
      <c r="AH11" s="58">
        <f>$AC$11+(3*_xlfn.STDEV.S($AE$14:$AE$120))</f>
        <v>1.2954897315588423</v>
      </c>
    </row>
    <row r="12" spans="1:34" ht="11.2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19"/>
      <c r="Q12" s="20"/>
      <c r="R12" s="21"/>
      <c r="S12" s="21"/>
      <c r="T12" s="22"/>
      <c r="V12" s="8"/>
      <c r="Y12" s="8"/>
      <c r="Z12" s="8"/>
      <c r="AA12" s="6"/>
      <c r="AC12" s="8"/>
      <c r="AD12" s="8"/>
      <c r="AE12" s="8"/>
      <c r="AF12" s="8"/>
      <c r="AG12" s="8"/>
      <c r="AH12" s="8"/>
    </row>
    <row r="13" spans="1:34" ht="4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70" t="s">
        <v>96</v>
      </c>
      <c r="Q13" s="71" t="s">
        <v>97</v>
      </c>
      <c r="R13" s="71" t="s">
        <v>98</v>
      </c>
      <c r="S13" s="69"/>
      <c r="T13" s="72" t="s">
        <v>99</v>
      </c>
      <c r="U13" s="71" t="s">
        <v>100</v>
      </c>
      <c r="V13" s="69"/>
      <c r="W13" s="75" t="s">
        <v>101</v>
      </c>
      <c r="X13" s="75" t="s">
        <v>102</v>
      </c>
      <c r="Y13" s="76" t="s">
        <v>103</v>
      </c>
      <c r="Z13" s="77" t="s">
        <v>104</v>
      </c>
      <c r="AA13" s="6"/>
      <c r="AB13" s="26" t="s">
        <v>99</v>
      </c>
      <c r="AC13" s="27" t="s">
        <v>100</v>
      </c>
      <c r="AD13" s="28"/>
      <c r="AE13" s="23" t="s">
        <v>101</v>
      </c>
      <c r="AF13" s="23" t="s">
        <v>102</v>
      </c>
      <c r="AG13" s="24" t="s">
        <v>105</v>
      </c>
      <c r="AH13" s="25" t="s">
        <v>104</v>
      </c>
    </row>
    <row r="14" spans="1:34" ht="1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29">
        <v>1</v>
      </c>
      <c r="Q14" s="30" t="s">
        <v>106</v>
      </c>
      <c r="R14" s="31">
        <v>45677</v>
      </c>
      <c r="S14" s="68"/>
      <c r="T14" s="32">
        <v>9.74</v>
      </c>
      <c r="U14" s="38">
        <v>10.006</v>
      </c>
      <c r="V14" s="74"/>
      <c r="W14" s="34">
        <f>IF(X14&gt;3,"FALSE",U14)</f>
        <v>10.006</v>
      </c>
      <c r="X14" s="34">
        <f t="shared" ref="X14:X77" si="0">IF(U14="","FALSE",ABS((U14-AVERAGE($U$14:$U$120))/_xlfn.STDEV.S($U$14:$U$104)))</f>
        <v>0.41922552536275959</v>
      </c>
      <c r="Y14" s="35" t="str">
        <f>IF(OR(U14&gt;$Y$11,U14&lt;$X$11),U14,"")</f>
        <v/>
      </c>
      <c r="Z14" s="36">
        <f>IF(U14="","",U14/T14)</f>
        <v>1.0273100616016426</v>
      </c>
      <c r="AA14" s="6"/>
      <c r="AB14" s="37">
        <v>0.91100000000000003</v>
      </c>
      <c r="AC14" s="38">
        <v>1.01</v>
      </c>
      <c r="AD14" s="38"/>
      <c r="AE14" s="34">
        <f>IF(AF14&gt;3,"FALSE",AC14)</f>
        <v>1.01</v>
      </c>
      <c r="AF14" s="34">
        <f>IF(AC14="","FALSE",ABS((AC14-AVERAGE($AC$14:$AC$120))/_xlfn.STDEV.S($AC$14:$AC$104)))</f>
        <v>0.45463367314983449</v>
      </c>
      <c r="AG14" s="35" t="str">
        <f t="shared" ref="AG14:AG77" si="1">IF(OR(AC14&gt;$AG$11,AC14&lt;$AF$11),AC14,"")</f>
        <v/>
      </c>
      <c r="AH14" s="36">
        <f t="shared" ref="AH14:AH77" si="2">IF(AC14="","",AC14/AB14)</f>
        <v>1.1086717892425906</v>
      </c>
    </row>
    <row r="15" spans="1:34" ht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29">
        <f t="shared" ref="P15:P78" si="3">IF(R15&lt;&gt;"",P14+1,"")</f>
        <v>2</v>
      </c>
      <c r="Q15" s="30" t="s">
        <v>106</v>
      </c>
      <c r="R15" s="31">
        <v>45677</v>
      </c>
      <c r="S15" s="68"/>
      <c r="T15" s="32">
        <v>9.74</v>
      </c>
      <c r="U15" s="38">
        <v>10.16</v>
      </c>
      <c r="V15" s="74"/>
      <c r="W15" s="34">
        <f t="shared" ref="W15:W78" si="4">IF(X15&gt;3,"FALSE",U15)</f>
        <v>10.16</v>
      </c>
      <c r="X15" s="34">
        <f t="shared" si="0"/>
        <v>0.53269804590152203</v>
      </c>
      <c r="Y15" s="35" t="str">
        <f t="shared" ref="Y15:Y78" si="5">IF(OR(U15&gt;$Y$11,U15&lt;$X$11),U15,"")</f>
        <v/>
      </c>
      <c r="Z15" s="36">
        <f t="shared" ref="Z15:Z78" si="6">IF(U15="","",U15/T15)</f>
        <v>1.0431211498973305</v>
      </c>
      <c r="AA15" s="6"/>
      <c r="AB15" s="37">
        <v>0.91100000000000003</v>
      </c>
      <c r="AC15" s="38">
        <v>1.169</v>
      </c>
      <c r="AD15" s="38"/>
      <c r="AE15" s="34">
        <f t="shared" ref="AE15:AE56" si="7">IF(AF15&gt;3,"FALSE",AC15)</f>
        <v>1.169</v>
      </c>
      <c r="AF15" s="34">
        <f t="shared" ref="AF15:AF78" si="8">IF(AC15="","FALSE",ABS((AC15-AVERAGE($AC$14:$AC$120))/_xlfn.STDEV.S($AC$14:$AC$104)))</f>
        <v>1.6034317923017196</v>
      </c>
      <c r="AG15" s="35" t="str">
        <f t="shared" si="1"/>
        <v/>
      </c>
      <c r="AH15" s="36">
        <f t="shared" si="2"/>
        <v>1.283205268935236</v>
      </c>
    </row>
    <row r="16" spans="1:34" ht="1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29">
        <f t="shared" si="3"/>
        <v>3</v>
      </c>
      <c r="Q16" s="30" t="s">
        <v>106</v>
      </c>
      <c r="R16" s="31">
        <v>45677</v>
      </c>
      <c r="S16" s="68"/>
      <c r="T16" s="32">
        <v>9.74</v>
      </c>
      <c r="U16" s="38">
        <v>8.6890000000000001</v>
      </c>
      <c r="V16" s="74"/>
      <c r="W16" s="34">
        <f t="shared" si="4"/>
        <v>8.6890000000000001</v>
      </c>
      <c r="X16" s="34">
        <f t="shared" si="0"/>
        <v>0.55118557560834625</v>
      </c>
      <c r="Y16" s="35" t="str">
        <f t="shared" si="5"/>
        <v/>
      </c>
      <c r="Z16" s="36">
        <f t="shared" si="6"/>
        <v>0.89209445585215608</v>
      </c>
      <c r="AA16" s="6"/>
      <c r="AB16" s="37">
        <v>0.91100000000000003</v>
      </c>
      <c r="AC16" s="38">
        <v>1.028</v>
      </c>
      <c r="AD16" s="38"/>
      <c r="AE16" s="34">
        <f t="shared" si="7"/>
        <v>1.028</v>
      </c>
      <c r="AF16" s="34">
        <f t="shared" si="8"/>
        <v>0.58468629041231213</v>
      </c>
      <c r="AG16" s="35" t="str">
        <f t="shared" si="1"/>
        <v/>
      </c>
      <c r="AH16" s="36">
        <f t="shared" si="2"/>
        <v>1.1284302963776069</v>
      </c>
    </row>
    <row r="17" spans="1:34" ht="1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29">
        <f t="shared" si="3"/>
        <v>4</v>
      </c>
      <c r="Q17" s="30" t="s">
        <v>106</v>
      </c>
      <c r="R17" s="31">
        <v>45677</v>
      </c>
      <c r="S17" s="68"/>
      <c r="T17" s="32">
        <v>9.74</v>
      </c>
      <c r="U17" s="38">
        <v>10.324</v>
      </c>
      <c r="V17" s="74"/>
      <c r="W17" s="34">
        <f t="shared" si="4"/>
        <v>10.324</v>
      </c>
      <c r="X17" s="34">
        <f t="shared" si="0"/>
        <v>0.65353891192981439</v>
      </c>
      <c r="Y17" s="35" t="str">
        <f t="shared" si="5"/>
        <v/>
      </c>
      <c r="Z17" s="36">
        <f t="shared" si="6"/>
        <v>1.059958932238193</v>
      </c>
      <c r="AA17" s="6"/>
      <c r="AB17" s="37">
        <v>0.91100000000000003</v>
      </c>
      <c r="AC17" s="38">
        <v>1.0589999999999999</v>
      </c>
      <c r="AD17" s="38"/>
      <c r="AE17" s="34">
        <f t="shared" si="7"/>
        <v>1.0589999999999999</v>
      </c>
      <c r="AF17" s="34">
        <f t="shared" si="8"/>
        <v>0.80866579791991178</v>
      </c>
      <c r="AG17" s="35" t="str">
        <f t="shared" si="1"/>
        <v/>
      </c>
      <c r="AH17" s="36">
        <f t="shared" si="2"/>
        <v>1.1624588364434687</v>
      </c>
    </row>
    <row r="18" spans="1:34" ht="1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29">
        <f t="shared" si="3"/>
        <v>5</v>
      </c>
      <c r="Q18" s="30" t="s">
        <v>106</v>
      </c>
      <c r="R18" s="31">
        <v>45677</v>
      </c>
      <c r="S18" s="68"/>
      <c r="T18" s="32">
        <v>9.74</v>
      </c>
      <c r="U18" s="38">
        <v>9.2910000000000004</v>
      </c>
      <c r="V18" s="74"/>
      <c r="W18" s="34">
        <f t="shared" si="4"/>
        <v>9.2910000000000004</v>
      </c>
      <c r="X18" s="34">
        <f t="shared" si="0"/>
        <v>0.10761117713863785</v>
      </c>
      <c r="Y18" s="35" t="str">
        <f t="shared" si="5"/>
        <v/>
      </c>
      <c r="Z18" s="36">
        <f t="shared" si="6"/>
        <v>0.95390143737166322</v>
      </c>
      <c r="AA18" s="6"/>
      <c r="AB18" s="37">
        <v>0.91100000000000003</v>
      </c>
      <c r="AC18" s="38">
        <v>0.81100000000000005</v>
      </c>
      <c r="AD18" s="38"/>
      <c r="AE18" s="34">
        <f t="shared" si="7"/>
        <v>0.81100000000000005</v>
      </c>
      <c r="AF18" s="34">
        <f t="shared" si="8"/>
        <v>0.9831702621408891</v>
      </c>
      <c r="AG18" s="35" t="str">
        <f t="shared" si="1"/>
        <v/>
      </c>
      <c r="AH18" s="36">
        <f t="shared" si="2"/>
        <v>0.8902305159165752</v>
      </c>
    </row>
    <row r="19" spans="1:34" ht="1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29">
        <f t="shared" si="3"/>
        <v>6</v>
      </c>
      <c r="Q19" s="30" t="s">
        <v>106</v>
      </c>
      <c r="R19" s="31">
        <v>45678</v>
      </c>
      <c r="S19" s="68"/>
      <c r="T19" s="32">
        <v>9.74</v>
      </c>
      <c r="U19" s="38">
        <v>6.9139999999999997</v>
      </c>
      <c r="V19" s="74"/>
      <c r="W19" s="34">
        <f t="shared" si="4"/>
        <v>6.9139999999999997</v>
      </c>
      <c r="X19" s="34">
        <f t="shared" si="0"/>
        <v>1.8590668999999278</v>
      </c>
      <c r="Y19" s="35" t="str">
        <f t="shared" si="5"/>
        <v/>
      </c>
      <c r="Z19" s="36">
        <f t="shared" si="6"/>
        <v>0.70985626283367553</v>
      </c>
      <c r="AA19" s="6"/>
      <c r="AB19" s="37">
        <v>0.91100000000000003</v>
      </c>
      <c r="AC19" s="38">
        <v>0.78100000000000003</v>
      </c>
      <c r="AD19" s="38"/>
      <c r="AE19" s="34">
        <f t="shared" si="7"/>
        <v>0.78100000000000003</v>
      </c>
      <c r="AF19" s="34">
        <f t="shared" si="8"/>
        <v>1.1999246242450186</v>
      </c>
      <c r="AG19" s="35" t="str">
        <f t="shared" si="1"/>
        <v/>
      </c>
      <c r="AH19" s="36">
        <f t="shared" si="2"/>
        <v>0.85729967069154778</v>
      </c>
    </row>
    <row r="20" spans="1:34" ht="1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29">
        <f t="shared" si="3"/>
        <v>7</v>
      </c>
      <c r="Q20" s="30" t="s">
        <v>106</v>
      </c>
      <c r="R20" s="31">
        <v>45678</v>
      </c>
      <c r="S20" s="68"/>
      <c r="T20" s="32">
        <v>9.74</v>
      </c>
      <c r="U20" s="38">
        <v>8.6820000000000004</v>
      </c>
      <c r="V20" s="74"/>
      <c r="W20" s="34">
        <f t="shared" si="4"/>
        <v>8.6820000000000004</v>
      </c>
      <c r="X20" s="34">
        <f t="shared" si="0"/>
        <v>0.55634341745101701</v>
      </c>
      <c r="Y20" s="35" t="str">
        <f t="shared" si="5"/>
        <v/>
      </c>
      <c r="Z20" s="36">
        <f t="shared" si="6"/>
        <v>0.89137577002053392</v>
      </c>
      <c r="AA20" s="6"/>
      <c r="AB20" s="37">
        <v>0.91100000000000003</v>
      </c>
      <c r="AC20" s="38">
        <v>0.83399999999999996</v>
      </c>
      <c r="AD20" s="38"/>
      <c r="AE20" s="34">
        <f t="shared" si="7"/>
        <v>0.83399999999999996</v>
      </c>
      <c r="AF20" s="34">
        <f t="shared" si="8"/>
        <v>0.8169919178610574</v>
      </c>
      <c r="AG20" s="35" t="str">
        <f t="shared" si="1"/>
        <v/>
      </c>
      <c r="AH20" s="36">
        <f t="shared" si="2"/>
        <v>0.91547749725576277</v>
      </c>
    </row>
    <row r="21" spans="1:34" ht="1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29">
        <f t="shared" si="3"/>
        <v>8</v>
      </c>
      <c r="Q21" s="30" t="s">
        <v>106</v>
      </c>
      <c r="R21" s="31">
        <v>45678</v>
      </c>
      <c r="S21" s="68"/>
      <c r="T21" s="32">
        <v>9.74</v>
      </c>
      <c r="U21" s="38">
        <v>8.7449999999999992</v>
      </c>
      <c r="V21" s="74"/>
      <c r="W21" s="34">
        <f t="shared" si="4"/>
        <v>8.7449999999999992</v>
      </c>
      <c r="X21" s="34">
        <f t="shared" si="0"/>
        <v>0.50992284086697859</v>
      </c>
      <c r="Y21" s="35" t="str">
        <f t="shared" si="5"/>
        <v/>
      </c>
      <c r="Z21" s="36">
        <f t="shared" si="6"/>
        <v>0.89784394250513333</v>
      </c>
      <c r="AA21" s="6"/>
      <c r="AB21" s="37">
        <v>0.91100000000000003</v>
      </c>
      <c r="AC21" s="38">
        <v>0.80300000000000005</v>
      </c>
      <c r="AD21" s="38"/>
      <c r="AE21" s="34">
        <f t="shared" si="7"/>
        <v>0.80300000000000005</v>
      </c>
      <c r="AF21" s="34">
        <f t="shared" si="8"/>
        <v>1.0409714253686571</v>
      </c>
      <c r="AG21" s="35" t="str">
        <f t="shared" si="1"/>
        <v/>
      </c>
      <c r="AH21" s="36">
        <f t="shared" si="2"/>
        <v>0.88144895718990124</v>
      </c>
    </row>
    <row r="22" spans="1:34" ht="1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29">
        <f t="shared" si="3"/>
        <v>9</v>
      </c>
      <c r="Q22" s="30" t="s">
        <v>106</v>
      </c>
      <c r="R22" s="31">
        <v>45678</v>
      </c>
      <c r="S22" s="68"/>
      <c r="T22" s="32">
        <v>9.74</v>
      </c>
      <c r="U22" s="38">
        <v>8.1790000000000003</v>
      </c>
      <c r="V22" s="74"/>
      <c r="W22" s="34">
        <f t="shared" si="4"/>
        <v>8.1790000000000003</v>
      </c>
      <c r="X22" s="34">
        <f t="shared" si="0"/>
        <v>0.9269711955743779</v>
      </c>
      <c r="Y22" s="35" t="str">
        <f t="shared" si="5"/>
        <v/>
      </c>
      <c r="Z22" s="36">
        <f t="shared" si="6"/>
        <v>0.83973305954825461</v>
      </c>
      <c r="AA22" s="6"/>
      <c r="AB22" s="37">
        <v>0.91100000000000003</v>
      </c>
      <c r="AC22" s="38">
        <v>1.0109999999999999</v>
      </c>
      <c r="AD22" s="38"/>
      <c r="AE22" s="34">
        <f t="shared" si="7"/>
        <v>1.0109999999999999</v>
      </c>
      <c r="AF22" s="34">
        <f t="shared" si="8"/>
        <v>0.46185881855330468</v>
      </c>
      <c r="AG22" s="35" t="str">
        <f t="shared" si="1"/>
        <v/>
      </c>
      <c r="AH22" s="36">
        <f t="shared" si="2"/>
        <v>1.1097694840834247</v>
      </c>
    </row>
    <row r="23" spans="1:34" ht="1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29">
        <f t="shared" si="3"/>
        <v>10</v>
      </c>
      <c r="Q23" s="30" t="s">
        <v>106</v>
      </c>
      <c r="R23" s="31">
        <v>45678</v>
      </c>
      <c r="S23" s="68"/>
      <c r="T23" s="32">
        <v>9.74</v>
      </c>
      <c r="U23" s="38">
        <v>10.351000000000001</v>
      </c>
      <c r="V23" s="74"/>
      <c r="W23" s="34">
        <f t="shared" si="4"/>
        <v>10.351000000000001</v>
      </c>
      <c r="X23" s="34">
        <f t="shared" si="0"/>
        <v>0.67343344475154632</v>
      </c>
      <c r="Y23" s="35" t="str">
        <f t="shared" si="5"/>
        <v/>
      </c>
      <c r="Z23" s="36">
        <f t="shared" si="6"/>
        <v>1.0627310061601642</v>
      </c>
      <c r="AA23" s="6"/>
      <c r="AB23" s="37">
        <v>0.91100000000000003</v>
      </c>
      <c r="AC23" s="38">
        <v>0.71799999999999997</v>
      </c>
      <c r="AD23" s="38"/>
      <c r="AE23" s="34">
        <f t="shared" si="7"/>
        <v>0.71799999999999997</v>
      </c>
      <c r="AF23" s="34">
        <f t="shared" si="8"/>
        <v>1.6551087846636903</v>
      </c>
      <c r="AG23" s="35" t="str">
        <f t="shared" si="1"/>
        <v/>
      </c>
      <c r="AH23" s="36">
        <f t="shared" si="2"/>
        <v>0.78814489571899005</v>
      </c>
    </row>
    <row r="24" spans="1:34" ht="1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29">
        <f t="shared" si="3"/>
        <v>11</v>
      </c>
      <c r="Q24" s="30" t="s">
        <v>106</v>
      </c>
      <c r="R24" s="31">
        <v>45679</v>
      </c>
      <c r="S24" s="68"/>
      <c r="T24" s="32">
        <v>9.74</v>
      </c>
      <c r="U24" s="38">
        <v>12.670999999999999</v>
      </c>
      <c r="V24" s="74"/>
      <c r="W24" s="34">
        <f t="shared" si="4"/>
        <v>12.670999999999999</v>
      </c>
      <c r="X24" s="34">
        <f t="shared" si="0"/>
        <v>2.3828895983225133</v>
      </c>
      <c r="Y24" s="35">
        <f t="shared" si="5"/>
        <v>12.670999999999999</v>
      </c>
      <c r="Z24" s="36">
        <f t="shared" si="6"/>
        <v>1.300924024640657</v>
      </c>
      <c r="AA24" s="6"/>
      <c r="AB24" s="37">
        <v>0.91100000000000003</v>
      </c>
      <c r="AC24" s="38">
        <v>1.103</v>
      </c>
      <c r="AD24" s="38"/>
      <c r="AE24" s="34">
        <f t="shared" si="7"/>
        <v>1.103</v>
      </c>
      <c r="AF24" s="34">
        <f t="shared" si="8"/>
        <v>1.1265721956726349</v>
      </c>
      <c r="AG24" s="35" t="str">
        <f t="shared" si="1"/>
        <v/>
      </c>
      <c r="AH24" s="36">
        <f t="shared" si="2"/>
        <v>1.2107574094401756</v>
      </c>
    </row>
    <row r="25" spans="1:34" ht="1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29">
        <f t="shared" si="3"/>
        <v>12</v>
      </c>
      <c r="Q25" s="30" t="s">
        <v>106</v>
      </c>
      <c r="R25" s="31">
        <v>45679</v>
      </c>
      <c r="S25" s="68"/>
      <c r="T25" s="32">
        <v>9.74</v>
      </c>
      <c r="U25" s="38">
        <v>8.9359999999999999</v>
      </c>
      <c r="V25" s="74"/>
      <c r="W25" s="34">
        <f t="shared" si="4"/>
        <v>8.9359999999999999</v>
      </c>
      <c r="X25" s="34">
        <f t="shared" si="0"/>
        <v>0.36918744201695441</v>
      </c>
      <c r="Y25" s="35" t="str">
        <f t="shared" si="5"/>
        <v/>
      </c>
      <c r="Z25" s="36">
        <f t="shared" si="6"/>
        <v>0.91745379876796707</v>
      </c>
      <c r="AA25" s="6"/>
      <c r="AB25" s="37">
        <v>0.91100000000000003</v>
      </c>
      <c r="AC25" s="38">
        <v>0.88400000000000001</v>
      </c>
      <c r="AD25" s="38"/>
      <c r="AE25" s="34">
        <f t="shared" si="7"/>
        <v>0.88400000000000001</v>
      </c>
      <c r="AF25" s="34">
        <f t="shared" si="8"/>
        <v>0.45573464768750832</v>
      </c>
      <c r="AG25" s="35" t="str">
        <f t="shared" si="1"/>
        <v/>
      </c>
      <c r="AH25" s="36">
        <f t="shared" si="2"/>
        <v>0.97036223929747523</v>
      </c>
    </row>
    <row r="26" spans="1:34" ht="1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29">
        <f t="shared" si="3"/>
        <v>13</v>
      </c>
      <c r="Q26" s="30" t="s">
        <v>106</v>
      </c>
      <c r="R26" s="31">
        <v>45679</v>
      </c>
      <c r="S26" s="68"/>
      <c r="T26" s="32">
        <v>9.74</v>
      </c>
      <c r="U26" s="38">
        <v>9.5649999999999995</v>
      </c>
      <c r="V26" s="74"/>
      <c r="W26" s="34">
        <f t="shared" si="4"/>
        <v>9.5649999999999995</v>
      </c>
      <c r="X26" s="34">
        <f t="shared" si="0"/>
        <v>9.4281489274484487E-2</v>
      </c>
      <c r="Y26" s="35" t="str">
        <f t="shared" si="5"/>
        <v/>
      </c>
      <c r="Z26" s="36">
        <f t="shared" si="6"/>
        <v>0.98203285420944553</v>
      </c>
      <c r="AA26" s="6"/>
      <c r="AB26" s="37">
        <v>0.91100000000000003</v>
      </c>
      <c r="AC26" s="38">
        <v>1.0449999999999999</v>
      </c>
      <c r="AD26" s="38"/>
      <c r="AE26" s="34">
        <f t="shared" si="7"/>
        <v>1.0449999999999999</v>
      </c>
      <c r="AF26" s="34">
        <f t="shared" si="8"/>
        <v>0.70751376227131801</v>
      </c>
      <c r="AG26" s="35" t="str">
        <f t="shared" si="1"/>
        <v/>
      </c>
      <c r="AH26" s="36">
        <f t="shared" si="2"/>
        <v>1.1470911086717892</v>
      </c>
    </row>
    <row r="27" spans="1:34" ht="1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29">
        <f t="shared" si="3"/>
        <v>14</v>
      </c>
      <c r="Q27" s="30" t="s">
        <v>106</v>
      </c>
      <c r="R27" s="31">
        <v>45679</v>
      </c>
      <c r="S27" s="68"/>
      <c r="T27" s="32">
        <v>9.74</v>
      </c>
      <c r="U27" s="38">
        <v>10.772</v>
      </c>
      <c r="V27" s="74"/>
      <c r="W27" s="34">
        <f t="shared" si="4"/>
        <v>10.772</v>
      </c>
      <c r="X27" s="34">
        <f t="shared" si="0"/>
        <v>0.98364078986076031</v>
      </c>
      <c r="Y27" s="35" t="str">
        <f t="shared" si="5"/>
        <v/>
      </c>
      <c r="Z27" s="36">
        <f t="shared" si="6"/>
        <v>1.1059548254620124</v>
      </c>
      <c r="AA27" s="6"/>
      <c r="AB27" s="37">
        <v>0.91100000000000003</v>
      </c>
      <c r="AC27" s="38">
        <v>0.92800000000000005</v>
      </c>
      <c r="AD27" s="38"/>
      <c r="AE27" s="34">
        <f t="shared" si="7"/>
        <v>0.92800000000000005</v>
      </c>
      <c r="AF27" s="34">
        <f t="shared" si="8"/>
        <v>0.13782824993478515</v>
      </c>
      <c r="AG27" s="35" t="str">
        <f t="shared" si="1"/>
        <v/>
      </c>
      <c r="AH27" s="36">
        <f t="shared" si="2"/>
        <v>1.0186608122941823</v>
      </c>
    </row>
    <row r="28" spans="1:34" ht="1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29">
        <f t="shared" si="3"/>
        <v>15</v>
      </c>
      <c r="Q28" s="30" t="s">
        <v>106</v>
      </c>
      <c r="R28" s="31">
        <v>45679</v>
      </c>
      <c r="S28" s="68"/>
      <c r="T28" s="32">
        <v>9.74</v>
      </c>
      <c r="U28" s="38">
        <v>9.6829999999999998</v>
      </c>
      <c r="V28" s="74"/>
      <c r="W28" s="34">
        <f t="shared" si="4"/>
        <v>9.6829999999999998</v>
      </c>
      <c r="X28" s="34">
        <f t="shared" si="0"/>
        <v>0.18122796605093916</v>
      </c>
      <c r="Y28" s="35" t="str">
        <f t="shared" si="5"/>
        <v/>
      </c>
      <c r="Z28" s="36">
        <f t="shared" si="6"/>
        <v>0.99414784394250511</v>
      </c>
      <c r="AA28" s="6"/>
      <c r="AB28" s="37">
        <v>0.91100000000000003</v>
      </c>
      <c r="AC28" s="38">
        <v>0.86099999999999999</v>
      </c>
      <c r="AD28" s="38"/>
      <c r="AE28" s="34">
        <f t="shared" si="7"/>
        <v>0.86099999999999999</v>
      </c>
      <c r="AF28" s="34">
        <f t="shared" si="8"/>
        <v>0.62191299196734084</v>
      </c>
      <c r="AG28" s="35" t="str">
        <f t="shared" si="1"/>
        <v/>
      </c>
      <c r="AH28" s="36">
        <f t="shared" si="2"/>
        <v>0.94511525795828755</v>
      </c>
    </row>
    <row r="29" spans="1:34" ht="1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 t="s">
        <v>107</v>
      </c>
      <c r="O29" s="8"/>
      <c r="P29" s="29">
        <f t="shared" si="3"/>
        <v>16</v>
      </c>
      <c r="Q29" s="30" t="s">
        <v>106</v>
      </c>
      <c r="R29" s="31">
        <v>45681</v>
      </c>
      <c r="S29" s="68"/>
      <c r="T29" s="32">
        <v>9.74</v>
      </c>
      <c r="U29" s="38">
        <v>9.75</v>
      </c>
      <c r="V29" s="74"/>
      <c r="W29" s="34">
        <f t="shared" si="4"/>
        <v>9.75</v>
      </c>
      <c r="X29" s="34">
        <f t="shared" si="0"/>
        <v>0.23059588083079052</v>
      </c>
      <c r="Y29" s="35" t="str">
        <f t="shared" si="5"/>
        <v/>
      </c>
      <c r="Z29" s="36">
        <f t="shared" si="6"/>
        <v>1.0010266940451744</v>
      </c>
      <c r="AA29" s="6"/>
      <c r="AB29" s="37">
        <v>0.91100000000000003</v>
      </c>
      <c r="AC29" s="38">
        <v>0.95799999999999996</v>
      </c>
      <c r="AD29" s="38"/>
      <c r="AE29" s="34">
        <f t="shared" si="7"/>
        <v>0.95799999999999996</v>
      </c>
      <c r="AF29" s="34">
        <f t="shared" si="8"/>
        <v>7.8926112169343476E-2</v>
      </c>
      <c r="AG29" s="35" t="str">
        <f t="shared" si="1"/>
        <v/>
      </c>
      <c r="AH29" s="36">
        <f t="shared" si="2"/>
        <v>1.0515916575192097</v>
      </c>
    </row>
    <row r="30" spans="1:34" ht="1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29">
        <f t="shared" si="3"/>
        <v>17</v>
      </c>
      <c r="Q30" s="30" t="s">
        <v>106</v>
      </c>
      <c r="R30" s="31">
        <v>45681</v>
      </c>
      <c r="S30" s="68"/>
      <c r="T30" s="32">
        <v>9.74</v>
      </c>
      <c r="U30" s="38">
        <v>9.1999999999999993</v>
      </c>
      <c r="V30" s="74"/>
      <c r="W30" s="34">
        <f t="shared" si="4"/>
        <v>9.1999999999999993</v>
      </c>
      <c r="X30" s="34">
        <f t="shared" si="0"/>
        <v>0.17466312109336196</v>
      </c>
      <c r="Y30" s="35" t="str">
        <f t="shared" si="5"/>
        <v/>
      </c>
      <c r="Z30" s="36">
        <f t="shared" si="6"/>
        <v>0.94455852156057485</v>
      </c>
      <c r="AA30" s="6"/>
      <c r="AB30" s="37">
        <v>0.91100000000000003</v>
      </c>
      <c r="AC30" s="38">
        <v>0.93</v>
      </c>
      <c r="AD30" s="38"/>
      <c r="AE30" s="34">
        <f t="shared" si="7"/>
        <v>0.93</v>
      </c>
      <c r="AF30" s="34">
        <f t="shared" si="8"/>
        <v>0.12337795912784319</v>
      </c>
      <c r="AG30" s="35" t="str">
        <f t="shared" si="1"/>
        <v/>
      </c>
      <c r="AH30" s="36">
        <f t="shared" si="2"/>
        <v>1.0208562019758507</v>
      </c>
    </row>
    <row r="31" spans="1:34" ht="1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29">
        <f t="shared" si="3"/>
        <v>18</v>
      </c>
      <c r="Q31" s="30" t="s">
        <v>106</v>
      </c>
      <c r="R31" s="31">
        <v>45681</v>
      </c>
      <c r="S31" s="68"/>
      <c r="T31" s="32">
        <v>9.74</v>
      </c>
      <c r="U31" s="38">
        <v>13.263</v>
      </c>
      <c r="V31" s="74"/>
      <c r="W31" s="34">
        <f t="shared" si="4"/>
        <v>13.263</v>
      </c>
      <c r="X31" s="34">
        <f t="shared" si="0"/>
        <v>2.8190956513026921</v>
      </c>
      <c r="Y31" s="35">
        <f t="shared" si="5"/>
        <v>13.263</v>
      </c>
      <c r="Z31" s="36">
        <f t="shared" si="6"/>
        <v>1.3617043121149897</v>
      </c>
      <c r="AA31" s="6"/>
      <c r="AB31" s="37">
        <v>0.91100000000000003</v>
      </c>
      <c r="AC31" s="38">
        <v>0.95299999999999996</v>
      </c>
      <c r="AD31" s="38"/>
      <c r="AE31" s="34">
        <f t="shared" si="7"/>
        <v>0.95299999999999996</v>
      </c>
      <c r="AF31" s="34">
        <f t="shared" si="8"/>
        <v>4.2800385151988571E-2</v>
      </c>
      <c r="AG31" s="35" t="str">
        <f t="shared" si="1"/>
        <v/>
      </c>
      <c r="AH31" s="36">
        <f t="shared" si="2"/>
        <v>1.0461031833150383</v>
      </c>
    </row>
    <row r="32" spans="1:34" ht="1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29">
        <f t="shared" si="3"/>
        <v>19</v>
      </c>
      <c r="Q32" s="30" t="s">
        <v>106</v>
      </c>
      <c r="R32" s="31">
        <v>45681</v>
      </c>
      <c r="S32" s="68"/>
      <c r="T32" s="32">
        <v>9.74</v>
      </c>
      <c r="U32" s="38">
        <v>9.75</v>
      </c>
      <c r="V32" s="74"/>
      <c r="W32" s="34">
        <f t="shared" si="4"/>
        <v>9.75</v>
      </c>
      <c r="X32" s="34">
        <f t="shared" si="0"/>
        <v>0.23059588083079052</v>
      </c>
      <c r="Y32" s="35" t="str">
        <f t="shared" si="5"/>
        <v/>
      </c>
      <c r="Z32" s="36">
        <f t="shared" si="6"/>
        <v>1.0010266940451744</v>
      </c>
      <c r="AA32" s="6"/>
      <c r="AB32" s="37">
        <v>0.91100000000000003</v>
      </c>
      <c r="AC32" s="38">
        <v>0.86299999999999999</v>
      </c>
      <c r="AD32" s="38"/>
      <c r="AE32" s="34">
        <f t="shared" si="7"/>
        <v>0.86299999999999999</v>
      </c>
      <c r="AF32" s="34">
        <f t="shared" si="8"/>
        <v>0.60746270116039891</v>
      </c>
      <c r="AG32" s="35" t="str">
        <f t="shared" si="1"/>
        <v/>
      </c>
      <c r="AH32" s="36">
        <f t="shared" si="2"/>
        <v>0.94731064763995609</v>
      </c>
    </row>
    <row r="33" spans="1:34" ht="1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29">
        <f t="shared" si="3"/>
        <v>20</v>
      </c>
      <c r="Q33" s="30" t="s">
        <v>106</v>
      </c>
      <c r="R33" s="31">
        <v>45681</v>
      </c>
      <c r="S33" s="68"/>
      <c r="T33" s="32">
        <v>9.74</v>
      </c>
      <c r="U33" s="38">
        <v>10.103</v>
      </c>
      <c r="V33" s="74"/>
      <c r="W33" s="34">
        <f t="shared" si="4"/>
        <v>10.103</v>
      </c>
      <c r="X33" s="34">
        <f t="shared" si="0"/>
        <v>0.49069847661120058</v>
      </c>
      <c r="Y33" s="35" t="str">
        <f t="shared" si="5"/>
        <v/>
      </c>
      <c r="Z33" s="36">
        <f t="shared" si="6"/>
        <v>1.0372689938398356</v>
      </c>
      <c r="AA33" s="6"/>
      <c r="AB33" s="37">
        <v>0.91100000000000003</v>
      </c>
      <c r="AC33" s="38">
        <v>1.4370000000000001</v>
      </c>
      <c r="AD33" s="38"/>
      <c r="AE33" s="34" t="str">
        <f t="shared" si="7"/>
        <v>FALSE</v>
      </c>
      <c r="AF33" s="34">
        <f t="shared" si="8"/>
        <v>3.5397707604319408</v>
      </c>
      <c r="AG33" s="35">
        <f t="shared" si="1"/>
        <v>1.4370000000000001</v>
      </c>
      <c r="AH33" s="36">
        <f t="shared" si="2"/>
        <v>1.5773874862788144</v>
      </c>
    </row>
    <row r="34" spans="1:34" ht="1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29">
        <f t="shared" si="3"/>
        <v>21</v>
      </c>
      <c r="Q34" s="30" t="s">
        <v>108</v>
      </c>
      <c r="R34" s="31">
        <v>45743</v>
      </c>
      <c r="S34" s="68"/>
      <c r="T34" s="39">
        <v>9.2899999999999991</v>
      </c>
      <c r="U34" s="38">
        <v>10.802</v>
      </c>
      <c r="V34" s="74"/>
      <c r="W34" s="34">
        <f t="shared" si="4"/>
        <v>10.802</v>
      </c>
      <c r="X34" s="34">
        <f t="shared" si="0"/>
        <v>1.0057458263293499</v>
      </c>
      <c r="Y34" s="35" t="str">
        <f t="shared" si="5"/>
        <v/>
      </c>
      <c r="Z34" s="36">
        <f t="shared" si="6"/>
        <v>1.1627556512378903</v>
      </c>
      <c r="AA34" s="6"/>
      <c r="AB34" s="37">
        <v>0.92900000000000005</v>
      </c>
      <c r="AC34" s="38">
        <v>1</v>
      </c>
      <c r="AD34" s="38"/>
      <c r="AE34" s="34">
        <f t="shared" si="7"/>
        <v>1</v>
      </c>
      <c r="AF34" s="34">
        <f t="shared" si="8"/>
        <v>0.38238221911512466</v>
      </c>
      <c r="AG34" s="35" t="str">
        <f t="shared" si="1"/>
        <v/>
      </c>
      <c r="AH34" s="36">
        <f t="shared" si="2"/>
        <v>1.0764262648008611</v>
      </c>
    </row>
    <row r="35" spans="1:34" ht="1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29">
        <f t="shared" si="3"/>
        <v>22</v>
      </c>
      <c r="Q35" s="30" t="s">
        <v>108</v>
      </c>
      <c r="R35" s="31">
        <v>45743</v>
      </c>
      <c r="S35" s="68"/>
      <c r="T35" s="39">
        <v>9.2899999999999991</v>
      </c>
      <c r="U35" s="38">
        <v>10.388</v>
      </c>
      <c r="V35" s="74"/>
      <c r="W35" s="34">
        <f t="shared" si="4"/>
        <v>10.388</v>
      </c>
      <c r="X35" s="34">
        <f t="shared" si="0"/>
        <v>0.70069632306280671</v>
      </c>
      <c r="Y35" s="35" t="str">
        <f t="shared" si="5"/>
        <v/>
      </c>
      <c r="Z35" s="36">
        <f t="shared" si="6"/>
        <v>1.1181916038751347</v>
      </c>
      <c r="AA35" s="6"/>
      <c r="AB35" s="37">
        <v>0.92900000000000005</v>
      </c>
      <c r="AC35" s="38">
        <v>1.113</v>
      </c>
      <c r="AD35" s="38"/>
      <c r="AE35" s="34">
        <f t="shared" si="7"/>
        <v>1.113</v>
      </c>
      <c r="AF35" s="34">
        <f t="shared" si="8"/>
        <v>1.1988236497073448</v>
      </c>
      <c r="AG35" s="35" t="str">
        <f t="shared" si="1"/>
        <v/>
      </c>
      <c r="AH35" s="36">
        <f t="shared" si="2"/>
        <v>1.1980624327233584</v>
      </c>
    </row>
    <row r="36" spans="1:34" ht="1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29">
        <f t="shared" si="3"/>
        <v>23</v>
      </c>
      <c r="Q36" s="30" t="s">
        <v>108</v>
      </c>
      <c r="R36" s="31">
        <v>45772</v>
      </c>
      <c r="S36" s="68"/>
      <c r="T36" s="39">
        <v>9.2899999999999991</v>
      </c>
      <c r="U36" s="38">
        <v>8</v>
      </c>
      <c r="V36" s="74"/>
      <c r="W36" s="34">
        <f t="shared" si="4"/>
        <v>8</v>
      </c>
      <c r="X36" s="34">
        <f t="shared" si="0"/>
        <v>1.0588645798369658</v>
      </c>
      <c r="Y36" s="35" t="str">
        <f t="shared" si="5"/>
        <v/>
      </c>
      <c r="Z36" s="36">
        <f t="shared" si="6"/>
        <v>0.86114101184068903</v>
      </c>
      <c r="AA36" s="6"/>
      <c r="AB36" s="37">
        <v>0.92900000000000005</v>
      </c>
      <c r="AC36" s="38">
        <v>0.83699999999999997</v>
      </c>
      <c r="AD36" s="38"/>
      <c r="AE36" s="34">
        <f t="shared" si="7"/>
        <v>0.83699999999999997</v>
      </c>
      <c r="AF36" s="34">
        <f t="shared" si="8"/>
        <v>0.79531648165064439</v>
      </c>
      <c r="AG36" s="35" t="str">
        <f t="shared" si="1"/>
        <v/>
      </c>
      <c r="AH36" s="36">
        <f t="shared" si="2"/>
        <v>0.90096878363832067</v>
      </c>
    </row>
    <row r="37" spans="1:34" ht="1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29">
        <f t="shared" si="3"/>
        <v>24</v>
      </c>
      <c r="Q37" s="30" t="s">
        <v>108</v>
      </c>
      <c r="R37" s="31">
        <v>45772</v>
      </c>
      <c r="S37" s="68"/>
      <c r="T37" s="39">
        <v>9.2899999999999991</v>
      </c>
      <c r="U37" s="38">
        <v>6.4809999999999999</v>
      </c>
      <c r="V37" s="74"/>
      <c r="W37" s="34">
        <f t="shared" si="4"/>
        <v>6.4809999999999999</v>
      </c>
      <c r="X37" s="34">
        <f t="shared" si="0"/>
        <v>2.1781162596965782</v>
      </c>
      <c r="Y37" s="35">
        <f t="shared" si="5"/>
        <v>6.4809999999999999</v>
      </c>
      <c r="Z37" s="36">
        <f t="shared" si="6"/>
        <v>0.69763186221743811</v>
      </c>
      <c r="AA37" s="6"/>
      <c r="AB37" s="37">
        <v>0.92900000000000005</v>
      </c>
      <c r="AC37" s="38">
        <v>0.98099999999999998</v>
      </c>
      <c r="AD37" s="38"/>
      <c r="AE37" s="34">
        <f t="shared" si="7"/>
        <v>0.98099999999999998</v>
      </c>
      <c r="AF37" s="34">
        <f t="shared" si="8"/>
        <v>0.24510445644917603</v>
      </c>
      <c r="AG37" s="35" t="str">
        <f t="shared" si="1"/>
        <v/>
      </c>
      <c r="AH37" s="36">
        <f t="shared" si="2"/>
        <v>1.0559741657696446</v>
      </c>
    </row>
    <row r="38" spans="1:34" ht="1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29">
        <f t="shared" si="3"/>
        <v>25</v>
      </c>
      <c r="Q38" s="30" t="s">
        <v>108</v>
      </c>
      <c r="R38" s="31">
        <v>45785</v>
      </c>
      <c r="S38" s="68"/>
      <c r="T38" s="39">
        <v>9.2899999999999991</v>
      </c>
      <c r="U38" s="38">
        <v>8.7253000000000007</v>
      </c>
      <c r="V38" s="74"/>
      <c r="W38" s="34">
        <f t="shared" si="4"/>
        <v>8.7253000000000007</v>
      </c>
      <c r="X38" s="34">
        <f t="shared" si="0"/>
        <v>0.52443848148135175</v>
      </c>
      <c r="Y38" s="35" t="str">
        <f t="shared" si="5"/>
        <v/>
      </c>
      <c r="Z38" s="36">
        <f t="shared" si="6"/>
        <v>0.93921420882669548</v>
      </c>
      <c r="AA38" s="6"/>
      <c r="AB38" s="37">
        <v>0.92900000000000005</v>
      </c>
      <c r="AC38" s="38">
        <v>1.0442</v>
      </c>
      <c r="AD38" s="38"/>
      <c r="AE38" s="34">
        <f t="shared" si="7"/>
        <v>1.0442</v>
      </c>
      <c r="AF38" s="34">
        <f t="shared" si="8"/>
        <v>0.70173364594854182</v>
      </c>
      <c r="AG38" s="35" t="str">
        <f t="shared" si="1"/>
        <v/>
      </c>
      <c r="AH38" s="36">
        <f t="shared" si="2"/>
        <v>1.1240043057050593</v>
      </c>
    </row>
    <row r="39" spans="1:34" ht="1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29">
        <f t="shared" si="3"/>
        <v>26</v>
      </c>
      <c r="Q39" s="30" t="s">
        <v>108</v>
      </c>
      <c r="R39" s="31">
        <v>45785</v>
      </c>
      <c r="S39" s="68"/>
      <c r="T39" s="39">
        <v>9.2899999999999991</v>
      </c>
      <c r="U39" s="38">
        <v>8.5915999999999997</v>
      </c>
      <c r="V39" s="74"/>
      <c r="W39" s="34">
        <f t="shared" si="4"/>
        <v>8.5915999999999997</v>
      </c>
      <c r="X39" s="34">
        <f t="shared" si="0"/>
        <v>0.62295326067636903</v>
      </c>
      <c r="Y39" s="35" t="str">
        <f t="shared" si="5"/>
        <v/>
      </c>
      <c r="Z39" s="36">
        <f t="shared" si="6"/>
        <v>0.92482238966630792</v>
      </c>
      <c r="AA39" s="6"/>
      <c r="AB39" s="37">
        <v>0.92900000000000005</v>
      </c>
      <c r="AC39" s="38">
        <v>0.91100000000000003</v>
      </c>
      <c r="AD39" s="38"/>
      <c r="AE39" s="34">
        <f t="shared" si="7"/>
        <v>0.91100000000000003</v>
      </c>
      <c r="AF39" s="34">
        <f t="shared" si="8"/>
        <v>0.26065572179379182</v>
      </c>
      <c r="AG39" s="35" t="str">
        <f t="shared" si="1"/>
        <v/>
      </c>
      <c r="AH39" s="36">
        <f t="shared" si="2"/>
        <v>0.9806243272335845</v>
      </c>
    </row>
    <row r="40" spans="1:34" ht="1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29">
        <f t="shared" si="3"/>
        <v>27</v>
      </c>
      <c r="Q40" s="30" t="s">
        <v>109</v>
      </c>
      <c r="R40" s="31">
        <v>45793</v>
      </c>
      <c r="S40" s="68"/>
      <c r="T40" s="39">
        <v>9.2899999999999991</v>
      </c>
      <c r="U40" s="38">
        <v>8.0259999999999998</v>
      </c>
      <c r="V40" s="74"/>
      <c r="W40" s="34">
        <f t="shared" si="4"/>
        <v>8.0259999999999998</v>
      </c>
      <c r="X40" s="34">
        <f t="shared" si="0"/>
        <v>1.0397068815641877</v>
      </c>
      <c r="Y40" s="35" t="str">
        <f t="shared" si="5"/>
        <v/>
      </c>
      <c r="Z40" s="36">
        <f t="shared" si="6"/>
        <v>0.8639397201291712</v>
      </c>
      <c r="AA40" s="6"/>
      <c r="AB40" s="37">
        <v>0.92900000000000005</v>
      </c>
      <c r="AC40" s="38">
        <v>0.89500000000000002</v>
      </c>
      <c r="AD40" s="38"/>
      <c r="AE40" s="34">
        <f t="shared" si="7"/>
        <v>0.89500000000000002</v>
      </c>
      <c r="AF40" s="34">
        <f t="shared" si="8"/>
        <v>0.37625804824932751</v>
      </c>
      <c r="AG40" s="35" t="str">
        <f t="shared" si="1"/>
        <v/>
      </c>
      <c r="AH40" s="36">
        <f t="shared" si="2"/>
        <v>0.96340150699677074</v>
      </c>
    </row>
    <row r="41" spans="1:34" ht="1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29">
        <f t="shared" si="3"/>
        <v>28</v>
      </c>
      <c r="Q41" s="30" t="s">
        <v>109</v>
      </c>
      <c r="R41" s="31">
        <v>45793</v>
      </c>
      <c r="S41" s="68"/>
      <c r="T41" s="39">
        <v>9.2899999999999991</v>
      </c>
      <c r="U41" s="38">
        <v>9.7040000000000006</v>
      </c>
      <c r="V41" s="74"/>
      <c r="W41" s="34">
        <f t="shared" si="4"/>
        <v>9.7040000000000006</v>
      </c>
      <c r="X41" s="34">
        <f t="shared" si="0"/>
        <v>0.19670149157895281</v>
      </c>
      <c r="Y41" s="35" t="str">
        <f t="shared" si="5"/>
        <v/>
      </c>
      <c r="Z41" s="36">
        <f t="shared" si="6"/>
        <v>1.0445640473627558</v>
      </c>
      <c r="AA41" s="6"/>
      <c r="AB41" s="37">
        <v>0.92900000000000005</v>
      </c>
      <c r="AC41" s="38">
        <v>0.86099999999999999</v>
      </c>
      <c r="AD41" s="38"/>
      <c r="AE41" s="34">
        <f t="shared" si="7"/>
        <v>0.86099999999999999</v>
      </c>
      <c r="AF41" s="34">
        <f t="shared" si="8"/>
        <v>0.62191299196734084</v>
      </c>
      <c r="AG41" s="35" t="str">
        <f t="shared" si="1"/>
        <v/>
      </c>
      <c r="AH41" s="36">
        <f t="shared" si="2"/>
        <v>0.92680301399354137</v>
      </c>
    </row>
    <row r="42" spans="1:34" ht="1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29">
        <f t="shared" si="3"/>
        <v>29</v>
      </c>
      <c r="Q42" s="30" t="s">
        <v>108</v>
      </c>
      <c r="R42" s="31">
        <v>45804</v>
      </c>
      <c r="S42" s="68"/>
      <c r="T42" s="39">
        <v>9.2899999999999991</v>
      </c>
      <c r="U42" s="38">
        <v>8.0109999999999992</v>
      </c>
      <c r="V42" s="74"/>
      <c r="W42" s="34">
        <f t="shared" si="4"/>
        <v>8.0109999999999992</v>
      </c>
      <c r="X42" s="34">
        <f t="shared" si="0"/>
        <v>1.0507593997984832</v>
      </c>
      <c r="Y42" s="35" t="str">
        <f t="shared" si="5"/>
        <v/>
      </c>
      <c r="Z42" s="36">
        <f t="shared" si="6"/>
        <v>0.8623250807319699</v>
      </c>
      <c r="AA42" s="6"/>
      <c r="AB42" s="37">
        <v>0.92900000000000005</v>
      </c>
      <c r="AC42" s="38">
        <v>1.0189999999999999</v>
      </c>
      <c r="AD42" s="38"/>
      <c r="AE42" s="34">
        <f t="shared" si="7"/>
        <v>1.0189999999999999</v>
      </c>
      <c r="AF42" s="34">
        <f t="shared" si="8"/>
        <v>0.51965998178107253</v>
      </c>
      <c r="AG42" s="35" t="str">
        <f t="shared" si="1"/>
        <v/>
      </c>
      <c r="AH42" s="36">
        <f t="shared" si="2"/>
        <v>1.0968783638320774</v>
      </c>
    </row>
    <row r="43" spans="1:34" ht="1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29">
        <f t="shared" si="3"/>
        <v>30</v>
      </c>
      <c r="Q43" s="30" t="s">
        <v>108</v>
      </c>
      <c r="R43" s="31">
        <v>45804</v>
      </c>
      <c r="S43" s="68"/>
      <c r="T43" s="39">
        <v>9.2899999999999991</v>
      </c>
      <c r="U43" s="38">
        <v>8.14</v>
      </c>
      <c r="V43" s="74"/>
      <c r="W43" s="34">
        <f t="shared" si="4"/>
        <v>8.14</v>
      </c>
      <c r="X43" s="34">
        <f t="shared" si="0"/>
        <v>0.95570774298354477</v>
      </c>
      <c r="Y43" s="35" t="str">
        <f t="shared" si="5"/>
        <v/>
      </c>
      <c r="Z43" s="36">
        <f t="shared" si="6"/>
        <v>0.87621097954790106</v>
      </c>
      <c r="AA43" s="6"/>
      <c r="AB43" s="37">
        <v>0.92900000000000005</v>
      </c>
      <c r="AC43" s="38">
        <v>0.92800000000000005</v>
      </c>
      <c r="AD43" s="38"/>
      <c r="AE43" s="34">
        <f t="shared" si="7"/>
        <v>0.92800000000000005</v>
      </c>
      <c r="AF43" s="34">
        <f t="shared" si="8"/>
        <v>0.13782824993478515</v>
      </c>
      <c r="AG43" s="35" t="str">
        <f t="shared" si="1"/>
        <v/>
      </c>
      <c r="AH43" s="36">
        <f t="shared" si="2"/>
        <v>0.99892357373519913</v>
      </c>
    </row>
    <row r="44" spans="1:34" ht="1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29">
        <f t="shared" si="3"/>
        <v>31</v>
      </c>
      <c r="Q44" s="30" t="s">
        <v>108</v>
      </c>
      <c r="R44" s="31">
        <v>45825</v>
      </c>
      <c r="S44" s="68"/>
      <c r="T44" s="39">
        <v>9.2899999999999991</v>
      </c>
      <c r="U44" s="38">
        <v>8.1029999999999998</v>
      </c>
      <c r="V44" s="74"/>
      <c r="W44" s="34">
        <f t="shared" si="4"/>
        <v>8.1029999999999998</v>
      </c>
      <c r="X44" s="34">
        <f t="shared" si="0"/>
        <v>0.9829706212948065</v>
      </c>
      <c r="Y44" s="35" t="str">
        <f t="shared" si="5"/>
        <v/>
      </c>
      <c r="Z44" s="36">
        <f t="shared" si="6"/>
        <v>0.87222820236813781</v>
      </c>
      <c r="AA44" s="6"/>
      <c r="AB44" s="37">
        <v>0.92900000000000005</v>
      </c>
      <c r="AC44" s="38">
        <v>0.86099999999999999</v>
      </c>
      <c r="AD44" s="38"/>
      <c r="AE44" s="34">
        <f t="shared" si="7"/>
        <v>0.86099999999999999</v>
      </c>
      <c r="AF44" s="34">
        <f t="shared" si="8"/>
        <v>0.62191299196734084</v>
      </c>
      <c r="AG44" s="35" t="str">
        <f t="shared" si="1"/>
        <v/>
      </c>
      <c r="AH44" s="36">
        <f t="shared" si="2"/>
        <v>0.92680301399354137</v>
      </c>
    </row>
    <row r="45" spans="1:34" ht="1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29">
        <f t="shared" si="3"/>
        <v>32</v>
      </c>
      <c r="Q45" s="30" t="s">
        <v>108</v>
      </c>
      <c r="R45" s="31">
        <v>45825</v>
      </c>
      <c r="S45" s="68"/>
      <c r="T45" s="39">
        <v>9.2899999999999991</v>
      </c>
      <c r="U45" s="38">
        <v>8.0120000000000005</v>
      </c>
      <c r="V45" s="74"/>
      <c r="W45" s="34">
        <f t="shared" si="4"/>
        <v>8.0120000000000005</v>
      </c>
      <c r="X45" s="34">
        <f t="shared" si="0"/>
        <v>1.0500225652495294</v>
      </c>
      <c r="Y45" s="35" t="str">
        <f t="shared" si="5"/>
        <v/>
      </c>
      <c r="Z45" s="36">
        <f t="shared" si="6"/>
        <v>0.86243272335845012</v>
      </c>
      <c r="AA45" s="6"/>
      <c r="AB45" s="37">
        <v>0.92900000000000005</v>
      </c>
      <c r="AC45" s="38">
        <v>0.77500000000000002</v>
      </c>
      <c r="AD45" s="38"/>
      <c r="AE45" s="34">
        <f t="shared" si="7"/>
        <v>0.77500000000000002</v>
      </c>
      <c r="AF45" s="34">
        <f t="shared" si="8"/>
        <v>1.2432754966658444</v>
      </c>
      <c r="AG45" s="35" t="str">
        <f t="shared" si="1"/>
        <v/>
      </c>
      <c r="AH45" s="36">
        <f t="shared" si="2"/>
        <v>0.83423035522066735</v>
      </c>
    </row>
    <row r="46" spans="1:34" ht="1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29">
        <f t="shared" si="3"/>
        <v>33</v>
      </c>
      <c r="Q46" s="30" t="s">
        <v>108</v>
      </c>
      <c r="R46" s="31">
        <v>45825</v>
      </c>
      <c r="S46" s="68"/>
      <c r="T46" s="39">
        <v>9.2899999999999991</v>
      </c>
      <c r="U46" s="38">
        <v>7.8410000000000002</v>
      </c>
      <c r="V46" s="74"/>
      <c r="W46" s="34">
        <f t="shared" si="4"/>
        <v>7.8410000000000002</v>
      </c>
      <c r="X46" s="34">
        <f t="shared" si="0"/>
        <v>1.1760212731204931</v>
      </c>
      <c r="Y46" s="35" t="str">
        <f t="shared" si="5"/>
        <v/>
      </c>
      <c r="Z46" s="36">
        <f t="shared" si="6"/>
        <v>0.84402583423035527</v>
      </c>
      <c r="AA46" s="6"/>
      <c r="AB46" s="37">
        <v>0.92900000000000005</v>
      </c>
      <c r="AC46" s="38">
        <v>0.81100000000000005</v>
      </c>
      <c r="AD46" s="38"/>
      <c r="AE46" s="34">
        <f t="shared" si="7"/>
        <v>0.81100000000000005</v>
      </c>
      <c r="AF46" s="34">
        <f t="shared" si="8"/>
        <v>0.9831702621408891</v>
      </c>
      <c r="AG46" s="35" t="str">
        <f t="shared" si="1"/>
        <v/>
      </c>
      <c r="AH46" s="36">
        <f t="shared" si="2"/>
        <v>0.87298170075349835</v>
      </c>
    </row>
    <row r="47" spans="1:34" ht="1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29">
        <f t="shared" si="3"/>
        <v>34</v>
      </c>
      <c r="Q47" s="30" t="s">
        <v>108</v>
      </c>
      <c r="R47" s="31">
        <v>45825</v>
      </c>
      <c r="S47" s="68"/>
      <c r="T47" s="39">
        <v>9.2899999999999991</v>
      </c>
      <c r="U47" s="38">
        <v>10.765000000000001</v>
      </c>
      <c r="V47" s="74"/>
      <c r="W47" s="34">
        <f t="shared" si="4"/>
        <v>10.765000000000001</v>
      </c>
      <c r="X47" s="34">
        <f t="shared" si="0"/>
        <v>0.97848294801808955</v>
      </c>
      <c r="Y47" s="35" t="str">
        <f t="shared" si="5"/>
        <v/>
      </c>
      <c r="Z47" s="36">
        <f t="shared" si="6"/>
        <v>1.1587728740581271</v>
      </c>
      <c r="AA47" s="6"/>
      <c r="AB47" s="37">
        <v>0.92900000000000005</v>
      </c>
      <c r="AC47" s="38">
        <v>0.83699999999999997</v>
      </c>
      <c r="AD47" s="38"/>
      <c r="AE47" s="34">
        <f t="shared" si="7"/>
        <v>0.83699999999999997</v>
      </c>
      <c r="AF47" s="34">
        <f t="shared" si="8"/>
        <v>0.79531648165064439</v>
      </c>
      <c r="AG47" s="35" t="str">
        <f t="shared" si="1"/>
        <v/>
      </c>
      <c r="AH47" s="36">
        <f t="shared" si="2"/>
        <v>0.90096878363832067</v>
      </c>
    </row>
    <row r="48" spans="1:34" ht="1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29">
        <f t="shared" si="3"/>
        <v>35</v>
      </c>
      <c r="Q48" s="30" t="s">
        <v>106</v>
      </c>
      <c r="R48" s="31">
        <v>45860</v>
      </c>
      <c r="S48" s="68"/>
      <c r="T48" s="39">
        <v>9.2899999999999991</v>
      </c>
      <c r="U48" s="38">
        <v>9.109</v>
      </c>
      <c r="V48" s="74"/>
      <c r="W48" s="34">
        <f t="shared" si="4"/>
        <v>9.109</v>
      </c>
      <c r="X48" s="34">
        <f t="shared" si="0"/>
        <v>0.24171506504808479</v>
      </c>
      <c r="Y48" s="35" t="str">
        <f t="shared" si="5"/>
        <v/>
      </c>
      <c r="Z48" s="36">
        <f t="shared" si="6"/>
        <v>0.98051668460710451</v>
      </c>
      <c r="AA48" s="6"/>
      <c r="AB48" s="37">
        <v>0.92900000000000005</v>
      </c>
      <c r="AC48" s="38">
        <v>1.0309999999999999</v>
      </c>
      <c r="AD48" s="38"/>
      <c r="AE48" s="34">
        <f t="shared" si="7"/>
        <v>1.0309999999999999</v>
      </c>
      <c r="AF48" s="34">
        <f t="shared" si="8"/>
        <v>0.60636172662272425</v>
      </c>
      <c r="AG48" s="35" t="str">
        <f t="shared" si="1"/>
        <v/>
      </c>
      <c r="AH48" s="36">
        <f t="shared" si="2"/>
        <v>1.1097954790096878</v>
      </c>
    </row>
    <row r="49" spans="1:34" ht="1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29">
        <f t="shared" si="3"/>
        <v>36</v>
      </c>
      <c r="Q49" s="30" t="s">
        <v>106</v>
      </c>
      <c r="R49" s="31">
        <v>45860</v>
      </c>
      <c r="S49" s="68"/>
      <c r="T49" s="39">
        <v>9.2899999999999991</v>
      </c>
      <c r="U49" s="38">
        <v>10.529</v>
      </c>
      <c r="V49" s="74"/>
      <c r="W49" s="34">
        <f t="shared" si="4"/>
        <v>10.529</v>
      </c>
      <c r="X49" s="34">
        <f t="shared" si="0"/>
        <v>0.8045899944651802</v>
      </c>
      <c r="Y49" s="35" t="str">
        <f t="shared" si="5"/>
        <v/>
      </c>
      <c r="Z49" s="36">
        <f t="shared" si="6"/>
        <v>1.1333692142088267</v>
      </c>
      <c r="AA49" s="6"/>
      <c r="AB49" s="37">
        <v>0.92900000000000005</v>
      </c>
      <c r="AC49" s="38">
        <v>1.109</v>
      </c>
      <c r="AD49" s="38"/>
      <c r="AE49" s="34">
        <f t="shared" si="7"/>
        <v>1.109</v>
      </c>
      <c r="AF49" s="34">
        <f t="shared" si="8"/>
        <v>1.1699230680934607</v>
      </c>
      <c r="AG49" s="35" t="str">
        <f t="shared" si="1"/>
        <v/>
      </c>
      <c r="AH49" s="36">
        <f t="shared" si="2"/>
        <v>1.193756727664155</v>
      </c>
    </row>
    <row r="50" spans="1:34" ht="1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29">
        <f t="shared" si="3"/>
        <v>37</v>
      </c>
      <c r="Q50" s="30" t="s">
        <v>106</v>
      </c>
      <c r="R50" s="31">
        <v>45912</v>
      </c>
      <c r="S50" s="68"/>
      <c r="T50" s="39">
        <v>9.2899999999999991</v>
      </c>
      <c r="U50" s="38">
        <v>9.51</v>
      </c>
      <c r="V50" s="74"/>
      <c r="W50" s="34">
        <f t="shared" si="4"/>
        <v>9.51</v>
      </c>
      <c r="X50" s="34">
        <f t="shared" si="0"/>
        <v>5.3755589082069503E-2</v>
      </c>
      <c r="Y50" s="35" t="str">
        <f t="shared" si="5"/>
        <v/>
      </c>
      <c r="Z50" s="36">
        <f t="shared" si="6"/>
        <v>1.0236813778256191</v>
      </c>
      <c r="AA50" s="6"/>
      <c r="AB50" s="37">
        <v>0.92900000000000005</v>
      </c>
      <c r="AC50" s="38">
        <v>1.1990000000000001</v>
      </c>
      <c r="AD50" s="38"/>
      <c r="AE50" s="34">
        <f t="shared" si="7"/>
        <v>1.1990000000000001</v>
      </c>
      <c r="AF50" s="34">
        <f t="shared" si="8"/>
        <v>1.8201861544058491</v>
      </c>
      <c r="AG50" s="35">
        <f t="shared" si="1"/>
        <v>1.1990000000000001</v>
      </c>
      <c r="AH50" s="36">
        <f t="shared" si="2"/>
        <v>1.2906350914962326</v>
      </c>
    </row>
    <row r="51" spans="1:34" ht="1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29">
        <f t="shared" si="3"/>
        <v>38</v>
      </c>
      <c r="Q51" s="30" t="s">
        <v>106</v>
      </c>
      <c r="R51" s="31">
        <v>46044</v>
      </c>
      <c r="S51" s="68"/>
      <c r="T51" s="39">
        <v>9.2899999999999991</v>
      </c>
      <c r="U51" s="38">
        <v>8.782</v>
      </c>
      <c r="V51" s="74"/>
      <c r="W51" s="34">
        <f t="shared" si="4"/>
        <v>8.782</v>
      </c>
      <c r="X51" s="34">
        <f t="shared" si="0"/>
        <v>0.48265996255571691</v>
      </c>
      <c r="Y51" s="35" t="str">
        <f t="shared" si="5"/>
        <v/>
      </c>
      <c r="Z51" s="36">
        <f t="shared" si="6"/>
        <v>0.94531754574811633</v>
      </c>
      <c r="AA51" s="6"/>
      <c r="AB51" s="37">
        <v>0.92900000000000005</v>
      </c>
      <c r="AC51" s="38">
        <v>0.79800000000000004</v>
      </c>
      <c r="AD51" s="38"/>
      <c r="AE51" s="34">
        <f t="shared" si="7"/>
        <v>0.79800000000000004</v>
      </c>
      <c r="AF51" s="34">
        <f t="shared" si="8"/>
        <v>1.0770971523860118</v>
      </c>
      <c r="AG51" s="35" t="str">
        <f t="shared" si="1"/>
        <v/>
      </c>
      <c r="AH51" s="36">
        <f t="shared" si="2"/>
        <v>0.85898815931108718</v>
      </c>
    </row>
    <row r="52" spans="1:34" ht="1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29">
        <f t="shared" si="3"/>
        <v>39</v>
      </c>
      <c r="Q52" s="30" t="s">
        <v>106</v>
      </c>
      <c r="R52" s="31">
        <v>46044</v>
      </c>
      <c r="S52" s="68"/>
      <c r="T52" s="39">
        <v>9.2899999999999991</v>
      </c>
      <c r="U52" s="38">
        <v>10.297000000000001</v>
      </c>
      <c r="V52" s="74"/>
      <c r="W52" s="34">
        <f t="shared" si="4"/>
        <v>10.297000000000001</v>
      </c>
      <c r="X52" s="34">
        <f t="shared" si="0"/>
        <v>0.63364437910808391</v>
      </c>
      <c r="Y52" s="35" t="str">
        <f t="shared" si="5"/>
        <v/>
      </c>
      <c r="Z52" s="36">
        <f t="shared" si="6"/>
        <v>1.1083961248654468</v>
      </c>
      <c r="AA52" s="6"/>
      <c r="AB52" s="37">
        <v>0.92900000000000005</v>
      </c>
      <c r="AC52" s="38">
        <v>0.80900000000000005</v>
      </c>
      <c r="AD52" s="38"/>
      <c r="AE52" s="34">
        <f t="shared" si="7"/>
        <v>0.80900000000000005</v>
      </c>
      <c r="AF52" s="34">
        <f t="shared" si="8"/>
        <v>0.99762055294783103</v>
      </c>
      <c r="AG52" s="35" t="str">
        <f t="shared" si="1"/>
        <v/>
      </c>
      <c r="AH52" s="36">
        <f t="shared" si="2"/>
        <v>0.87082884822389672</v>
      </c>
    </row>
    <row r="53" spans="1:34" ht="1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29">
        <f t="shared" si="3"/>
        <v>40</v>
      </c>
      <c r="Q53" s="30" t="s">
        <v>106</v>
      </c>
      <c r="R53" s="31">
        <v>46048</v>
      </c>
      <c r="S53" s="68"/>
      <c r="T53" s="39">
        <v>9.2899999999999991</v>
      </c>
      <c r="U53" s="38">
        <v>11.052</v>
      </c>
      <c r="V53" s="74"/>
      <c r="W53" s="34">
        <f t="shared" si="4"/>
        <v>11.052</v>
      </c>
      <c r="X53" s="34">
        <f t="shared" si="0"/>
        <v>1.1899544635676009</v>
      </c>
      <c r="Y53" s="35" t="str">
        <f t="shared" si="5"/>
        <v/>
      </c>
      <c r="Z53" s="36">
        <f t="shared" si="6"/>
        <v>1.1896663078579117</v>
      </c>
      <c r="AA53" s="6"/>
      <c r="AB53" s="37">
        <v>0.92900000000000005</v>
      </c>
      <c r="AC53" s="38">
        <v>0.91700000000000004</v>
      </c>
      <c r="AD53" s="38"/>
      <c r="AE53" s="34">
        <f t="shared" si="7"/>
        <v>0.91700000000000004</v>
      </c>
      <c r="AF53" s="34">
        <f t="shared" si="8"/>
        <v>0.21730484937296593</v>
      </c>
      <c r="AG53" s="35" t="str">
        <f t="shared" si="1"/>
        <v/>
      </c>
      <c r="AH53" s="36">
        <f t="shared" si="2"/>
        <v>0.98708288482238971</v>
      </c>
    </row>
    <row r="54" spans="1:34" ht="1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29">
        <f t="shared" si="3"/>
        <v>41</v>
      </c>
      <c r="Q54" s="30" t="s">
        <v>106</v>
      </c>
      <c r="R54" s="31">
        <v>46048</v>
      </c>
      <c r="S54" s="68"/>
      <c r="T54" s="39">
        <v>9.2899999999999991</v>
      </c>
      <c r="U54" s="38">
        <v>10.75</v>
      </c>
      <c r="V54" s="74"/>
      <c r="W54" s="34">
        <f t="shared" si="4"/>
        <v>10.75</v>
      </c>
      <c r="X54" s="34">
        <f t="shared" si="0"/>
        <v>0.96743042978379412</v>
      </c>
      <c r="Y54" s="35" t="str">
        <f t="shared" si="5"/>
        <v/>
      </c>
      <c r="Z54" s="36">
        <f t="shared" si="6"/>
        <v>1.1571582346609259</v>
      </c>
      <c r="AA54" s="6"/>
      <c r="AB54" s="37">
        <v>0.92900000000000005</v>
      </c>
      <c r="AC54" s="38">
        <v>0.871</v>
      </c>
      <c r="AD54" s="38"/>
      <c r="AE54" s="34">
        <f t="shared" si="7"/>
        <v>0.871</v>
      </c>
      <c r="AF54" s="34">
        <f t="shared" si="8"/>
        <v>0.54966153793263106</v>
      </c>
      <c r="AG54" s="35" t="str">
        <f t="shared" si="1"/>
        <v/>
      </c>
      <c r="AH54" s="36">
        <f t="shared" si="2"/>
        <v>0.93756727664155004</v>
      </c>
    </row>
    <row r="55" spans="1:34" ht="1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29">
        <f t="shared" si="3"/>
        <v>42</v>
      </c>
      <c r="Q55" s="30" t="s">
        <v>106</v>
      </c>
      <c r="R55" s="31">
        <v>46065</v>
      </c>
      <c r="S55" s="68"/>
      <c r="T55" s="39">
        <v>9.2899999999999991</v>
      </c>
      <c r="U55" s="38">
        <v>9.7029999999999994</v>
      </c>
      <c r="V55" s="74"/>
      <c r="W55" s="34">
        <f t="shared" si="4"/>
        <v>9.7029999999999994</v>
      </c>
      <c r="X55" s="34">
        <f t="shared" si="0"/>
        <v>0.19596465702999891</v>
      </c>
      <c r="Y55" s="35" t="str">
        <f t="shared" si="5"/>
        <v/>
      </c>
      <c r="Z55" s="36">
        <f t="shared" si="6"/>
        <v>1.0444564047362757</v>
      </c>
      <c r="AA55" s="6"/>
      <c r="AB55" s="37">
        <v>0.92900000000000005</v>
      </c>
      <c r="AC55" s="38">
        <v>0.98399999999999999</v>
      </c>
      <c r="AD55" s="38"/>
      <c r="AE55" s="34">
        <f t="shared" si="7"/>
        <v>0.98399999999999999</v>
      </c>
      <c r="AF55" s="34">
        <f t="shared" si="8"/>
        <v>0.26677989265958896</v>
      </c>
      <c r="AG55" s="35" t="str">
        <f t="shared" si="1"/>
        <v/>
      </c>
      <c r="AH55" s="36">
        <f t="shared" si="2"/>
        <v>1.0592034445640472</v>
      </c>
    </row>
    <row r="56" spans="1:34" ht="1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29" t="str">
        <f t="shared" si="3"/>
        <v/>
      </c>
      <c r="Q56" s="30"/>
      <c r="R56" s="31"/>
      <c r="S56" s="68"/>
      <c r="T56" s="39">
        <v>9.2899999999999991</v>
      </c>
      <c r="U56" s="38"/>
      <c r="V56" s="74"/>
      <c r="W56" s="34" t="str">
        <f t="shared" si="4"/>
        <v>FALSE</v>
      </c>
      <c r="X56" s="34" t="str">
        <f t="shared" si="0"/>
        <v>FALSE</v>
      </c>
      <c r="Y56" s="35">
        <f t="shared" si="5"/>
        <v>0</v>
      </c>
      <c r="Z56" s="36" t="str">
        <f t="shared" si="6"/>
        <v/>
      </c>
      <c r="AA56" s="6"/>
      <c r="AB56" s="37">
        <v>0.92900000000000005</v>
      </c>
      <c r="AC56" s="38"/>
      <c r="AD56" s="38"/>
      <c r="AE56" s="34" t="str">
        <f t="shared" si="7"/>
        <v>FALSE</v>
      </c>
      <c r="AF56" s="34" t="str">
        <f t="shared" si="8"/>
        <v>FALSE</v>
      </c>
      <c r="AG56" s="35">
        <f t="shared" si="1"/>
        <v>0</v>
      </c>
      <c r="AH56" s="36" t="str">
        <f t="shared" si="2"/>
        <v/>
      </c>
    </row>
    <row r="57" spans="1:34" ht="14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29" t="str">
        <f t="shared" si="3"/>
        <v/>
      </c>
      <c r="Q57" s="30"/>
      <c r="R57" s="31"/>
      <c r="S57" s="68"/>
      <c r="T57" s="39">
        <v>9.2899999999999991</v>
      </c>
      <c r="U57" s="38"/>
      <c r="V57" s="74"/>
      <c r="W57" s="34" t="str">
        <f t="shared" si="4"/>
        <v>FALSE</v>
      </c>
      <c r="X57" s="34" t="str">
        <f t="shared" si="0"/>
        <v>FALSE</v>
      </c>
      <c r="Y57" s="35">
        <f t="shared" si="5"/>
        <v>0</v>
      </c>
      <c r="Z57" s="36" t="str">
        <f t="shared" si="6"/>
        <v/>
      </c>
      <c r="AA57" s="42"/>
      <c r="AB57" s="37">
        <v>0.92900000000000005</v>
      </c>
      <c r="AC57" s="38"/>
      <c r="AD57" s="38"/>
      <c r="AE57" s="34"/>
      <c r="AF57" s="34" t="str">
        <f t="shared" si="8"/>
        <v>FALSE</v>
      </c>
      <c r="AG57" s="35">
        <f t="shared" si="1"/>
        <v>0</v>
      </c>
      <c r="AH57" s="36" t="str">
        <f t="shared" si="2"/>
        <v/>
      </c>
    </row>
    <row r="58" spans="1:34" ht="1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29" t="str">
        <f t="shared" si="3"/>
        <v/>
      </c>
      <c r="Q58" s="30"/>
      <c r="R58" s="31"/>
      <c r="S58" s="68"/>
      <c r="T58" s="39">
        <v>9.2899999999999991</v>
      </c>
      <c r="U58" s="38"/>
      <c r="V58" s="74"/>
      <c r="W58" s="34" t="str">
        <f t="shared" si="4"/>
        <v>FALSE</v>
      </c>
      <c r="X58" s="34" t="str">
        <f t="shared" si="0"/>
        <v>FALSE</v>
      </c>
      <c r="Y58" s="35">
        <f t="shared" si="5"/>
        <v>0</v>
      </c>
      <c r="Z58" s="36" t="str">
        <f t="shared" si="6"/>
        <v/>
      </c>
      <c r="AA58" s="6"/>
      <c r="AB58" s="37">
        <v>0.92900000000000005</v>
      </c>
      <c r="AC58" s="38"/>
      <c r="AD58" s="38"/>
      <c r="AE58" s="34"/>
      <c r="AF58" s="34" t="str">
        <f t="shared" si="8"/>
        <v>FALSE</v>
      </c>
      <c r="AG58" s="35">
        <f t="shared" si="1"/>
        <v>0</v>
      </c>
      <c r="AH58" s="36" t="str">
        <f t="shared" si="2"/>
        <v/>
      </c>
    </row>
    <row r="59" spans="1:34" ht="1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29" t="str">
        <f t="shared" si="3"/>
        <v/>
      </c>
      <c r="Q59" s="30"/>
      <c r="R59" s="31"/>
      <c r="S59" s="68"/>
      <c r="T59" s="40"/>
      <c r="U59" s="38"/>
      <c r="V59" s="74"/>
      <c r="W59" s="34" t="str">
        <f t="shared" si="4"/>
        <v>FALSE</v>
      </c>
      <c r="X59" s="34" t="str">
        <f t="shared" si="0"/>
        <v>FALSE</v>
      </c>
      <c r="Y59" s="35">
        <f t="shared" si="5"/>
        <v>0</v>
      </c>
      <c r="Z59" s="36" t="str">
        <f t="shared" si="6"/>
        <v/>
      </c>
      <c r="AA59" s="6"/>
      <c r="AB59" s="41"/>
      <c r="AC59" s="38"/>
      <c r="AD59" s="38"/>
      <c r="AE59" s="34"/>
      <c r="AF59" s="34" t="str">
        <f t="shared" si="8"/>
        <v>FALSE</v>
      </c>
      <c r="AG59" s="35">
        <f t="shared" si="1"/>
        <v>0</v>
      </c>
      <c r="AH59" s="36" t="str">
        <f t="shared" si="2"/>
        <v/>
      </c>
    </row>
    <row r="60" spans="1:34" ht="1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29" t="str">
        <f t="shared" si="3"/>
        <v/>
      </c>
      <c r="Q60" s="30"/>
      <c r="R60" s="31"/>
      <c r="S60" s="68"/>
      <c r="T60" s="40"/>
      <c r="U60" s="38"/>
      <c r="V60" s="74"/>
      <c r="W60" s="34" t="str">
        <f t="shared" si="4"/>
        <v>FALSE</v>
      </c>
      <c r="X60" s="34" t="str">
        <f t="shared" si="0"/>
        <v>FALSE</v>
      </c>
      <c r="Y60" s="35">
        <f t="shared" si="5"/>
        <v>0</v>
      </c>
      <c r="Z60" s="36" t="str">
        <f t="shared" si="6"/>
        <v/>
      </c>
      <c r="AA60" s="6"/>
      <c r="AB60" s="41"/>
      <c r="AC60" s="38"/>
      <c r="AD60" s="38"/>
      <c r="AE60" s="34"/>
      <c r="AF60" s="34" t="str">
        <f t="shared" si="8"/>
        <v>FALSE</v>
      </c>
      <c r="AG60" s="35">
        <f t="shared" si="1"/>
        <v>0</v>
      </c>
      <c r="AH60" s="36" t="str">
        <f t="shared" si="2"/>
        <v/>
      </c>
    </row>
    <row r="61" spans="1:34" ht="1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29" t="str">
        <f t="shared" si="3"/>
        <v/>
      </c>
      <c r="Q61" s="30"/>
      <c r="R61" s="31"/>
      <c r="S61" s="68"/>
      <c r="T61" s="40"/>
      <c r="U61" s="38"/>
      <c r="V61" s="74"/>
      <c r="W61" s="34" t="str">
        <f t="shared" si="4"/>
        <v>FALSE</v>
      </c>
      <c r="X61" s="34" t="str">
        <f t="shared" si="0"/>
        <v>FALSE</v>
      </c>
      <c r="Y61" s="35">
        <f t="shared" si="5"/>
        <v>0</v>
      </c>
      <c r="Z61" s="36" t="str">
        <f t="shared" si="6"/>
        <v/>
      </c>
      <c r="AA61" s="6"/>
      <c r="AB61" s="41"/>
      <c r="AC61" s="38"/>
      <c r="AD61" s="38"/>
      <c r="AE61" s="34"/>
      <c r="AF61" s="34" t="str">
        <f t="shared" si="8"/>
        <v>FALSE</v>
      </c>
      <c r="AG61" s="35">
        <f t="shared" si="1"/>
        <v>0</v>
      </c>
      <c r="AH61" s="36" t="str">
        <f t="shared" si="2"/>
        <v/>
      </c>
    </row>
    <row r="62" spans="1:34" ht="1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29" t="str">
        <f t="shared" si="3"/>
        <v/>
      </c>
      <c r="Q62" s="30"/>
      <c r="R62" s="31"/>
      <c r="S62" s="68"/>
      <c r="T62" s="40"/>
      <c r="U62" s="38"/>
      <c r="V62" s="74"/>
      <c r="W62" s="34" t="str">
        <f t="shared" si="4"/>
        <v>FALSE</v>
      </c>
      <c r="X62" s="34" t="str">
        <f t="shared" si="0"/>
        <v>FALSE</v>
      </c>
      <c r="Y62" s="35">
        <f t="shared" si="5"/>
        <v>0</v>
      </c>
      <c r="Z62" s="36" t="str">
        <f t="shared" si="6"/>
        <v/>
      </c>
      <c r="AA62" s="6"/>
      <c r="AB62" s="41"/>
      <c r="AC62" s="38"/>
      <c r="AD62" s="38"/>
      <c r="AE62" s="34"/>
      <c r="AF62" s="34" t="str">
        <f t="shared" si="8"/>
        <v>FALSE</v>
      </c>
      <c r="AG62" s="35">
        <f t="shared" si="1"/>
        <v>0</v>
      </c>
      <c r="AH62" s="36" t="str">
        <f t="shared" si="2"/>
        <v/>
      </c>
    </row>
    <row r="63" spans="1:34" ht="1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29" t="str">
        <f t="shared" si="3"/>
        <v/>
      </c>
      <c r="Q63" s="30"/>
      <c r="R63" s="31"/>
      <c r="S63" s="68"/>
      <c r="T63" s="40"/>
      <c r="U63" s="38"/>
      <c r="V63" s="74"/>
      <c r="W63" s="34" t="str">
        <f t="shared" si="4"/>
        <v>FALSE</v>
      </c>
      <c r="X63" s="34" t="str">
        <f t="shared" si="0"/>
        <v>FALSE</v>
      </c>
      <c r="Y63" s="35">
        <f t="shared" si="5"/>
        <v>0</v>
      </c>
      <c r="Z63" s="36" t="str">
        <f t="shared" si="6"/>
        <v/>
      </c>
      <c r="AA63" s="6"/>
      <c r="AB63" s="41"/>
      <c r="AC63" s="38"/>
      <c r="AD63" s="38"/>
      <c r="AE63" s="34"/>
      <c r="AF63" s="34" t="str">
        <f t="shared" si="8"/>
        <v>FALSE</v>
      </c>
      <c r="AG63" s="35">
        <f t="shared" si="1"/>
        <v>0</v>
      </c>
      <c r="AH63" s="36" t="str">
        <f t="shared" si="2"/>
        <v/>
      </c>
    </row>
    <row r="64" spans="1:34" ht="1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29" t="str">
        <f t="shared" si="3"/>
        <v/>
      </c>
      <c r="Q64" s="30"/>
      <c r="R64" s="31"/>
      <c r="S64" s="68"/>
      <c r="T64" s="40"/>
      <c r="U64" s="38"/>
      <c r="V64" s="74"/>
      <c r="W64" s="34" t="str">
        <f t="shared" si="4"/>
        <v>FALSE</v>
      </c>
      <c r="X64" s="34" t="str">
        <f t="shared" si="0"/>
        <v>FALSE</v>
      </c>
      <c r="Y64" s="35">
        <f t="shared" si="5"/>
        <v>0</v>
      </c>
      <c r="Z64" s="36" t="str">
        <f t="shared" si="6"/>
        <v/>
      </c>
      <c r="AA64" s="6"/>
      <c r="AB64" s="41"/>
      <c r="AC64" s="38"/>
      <c r="AD64" s="38"/>
      <c r="AE64" s="34"/>
      <c r="AF64" s="34" t="str">
        <f t="shared" si="8"/>
        <v>FALSE</v>
      </c>
      <c r="AG64" s="35">
        <f t="shared" si="1"/>
        <v>0</v>
      </c>
      <c r="AH64" s="36" t="str">
        <f t="shared" si="2"/>
        <v/>
      </c>
    </row>
    <row r="65" spans="1:34" ht="1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29" t="str">
        <f t="shared" si="3"/>
        <v/>
      </c>
      <c r="Q65" s="30"/>
      <c r="R65" s="31"/>
      <c r="S65" s="68"/>
      <c r="T65" s="40"/>
      <c r="U65" s="38"/>
      <c r="V65" s="74"/>
      <c r="W65" s="34" t="str">
        <f t="shared" si="4"/>
        <v>FALSE</v>
      </c>
      <c r="X65" s="34" t="str">
        <f t="shared" si="0"/>
        <v>FALSE</v>
      </c>
      <c r="Y65" s="35">
        <f t="shared" si="5"/>
        <v>0</v>
      </c>
      <c r="Z65" s="36" t="str">
        <f t="shared" si="6"/>
        <v/>
      </c>
      <c r="AA65" s="6"/>
      <c r="AB65" s="41"/>
      <c r="AC65" s="38"/>
      <c r="AD65" s="38"/>
      <c r="AE65" s="34"/>
      <c r="AF65" s="34" t="str">
        <f t="shared" si="8"/>
        <v>FALSE</v>
      </c>
      <c r="AG65" s="35">
        <f t="shared" si="1"/>
        <v>0</v>
      </c>
      <c r="AH65" s="36" t="str">
        <f t="shared" si="2"/>
        <v/>
      </c>
    </row>
    <row r="66" spans="1:34" ht="1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29" t="str">
        <f t="shared" si="3"/>
        <v/>
      </c>
      <c r="Q66" s="30"/>
      <c r="R66" s="31"/>
      <c r="S66" s="68"/>
      <c r="T66" s="40"/>
      <c r="U66" s="38"/>
      <c r="V66" s="74"/>
      <c r="W66" s="34" t="str">
        <f t="shared" si="4"/>
        <v>FALSE</v>
      </c>
      <c r="X66" s="34" t="str">
        <f t="shared" si="0"/>
        <v>FALSE</v>
      </c>
      <c r="Y66" s="35">
        <f t="shared" si="5"/>
        <v>0</v>
      </c>
      <c r="Z66" s="36" t="str">
        <f t="shared" si="6"/>
        <v/>
      </c>
      <c r="AA66" s="6"/>
      <c r="AB66" s="41"/>
      <c r="AC66" s="38"/>
      <c r="AD66" s="38"/>
      <c r="AE66" s="34"/>
      <c r="AF66" s="34" t="str">
        <f t="shared" si="8"/>
        <v>FALSE</v>
      </c>
      <c r="AG66" s="35">
        <f t="shared" si="1"/>
        <v>0</v>
      </c>
      <c r="AH66" s="36" t="str">
        <f t="shared" si="2"/>
        <v/>
      </c>
    </row>
    <row r="67" spans="1:34" ht="1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29" t="str">
        <f t="shared" si="3"/>
        <v/>
      </c>
      <c r="Q67" s="30"/>
      <c r="R67" s="31"/>
      <c r="S67" s="68"/>
      <c r="T67" s="40"/>
      <c r="U67" s="38"/>
      <c r="V67" s="74"/>
      <c r="W67" s="34" t="str">
        <f t="shared" si="4"/>
        <v>FALSE</v>
      </c>
      <c r="X67" s="34" t="str">
        <f t="shared" si="0"/>
        <v>FALSE</v>
      </c>
      <c r="Y67" s="35">
        <f t="shared" si="5"/>
        <v>0</v>
      </c>
      <c r="Z67" s="36" t="str">
        <f t="shared" si="6"/>
        <v/>
      </c>
      <c r="AA67" s="6"/>
      <c r="AB67" s="41"/>
      <c r="AC67" s="38"/>
      <c r="AD67" s="38"/>
      <c r="AE67" s="34"/>
      <c r="AF67" s="34" t="str">
        <f t="shared" si="8"/>
        <v>FALSE</v>
      </c>
      <c r="AG67" s="35">
        <f t="shared" si="1"/>
        <v>0</v>
      </c>
      <c r="AH67" s="36" t="str">
        <f t="shared" si="2"/>
        <v/>
      </c>
    </row>
    <row r="68" spans="1:34" ht="1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29" t="str">
        <f t="shared" si="3"/>
        <v/>
      </c>
      <c r="Q68" s="30"/>
      <c r="R68" s="31"/>
      <c r="S68" s="68"/>
      <c r="T68" s="40"/>
      <c r="U68" s="38"/>
      <c r="V68" s="74"/>
      <c r="W68" s="34" t="str">
        <f t="shared" si="4"/>
        <v>FALSE</v>
      </c>
      <c r="X68" s="34" t="str">
        <f t="shared" si="0"/>
        <v>FALSE</v>
      </c>
      <c r="Y68" s="35">
        <f t="shared" si="5"/>
        <v>0</v>
      </c>
      <c r="Z68" s="36" t="str">
        <f t="shared" si="6"/>
        <v/>
      </c>
      <c r="AA68" s="6"/>
      <c r="AB68" s="41"/>
      <c r="AC68" s="38"/>
      <c r="AD68" s="38"/>
      <c r="AE68" s="34"/>
      <c r="AF68" s="34" t="str">
        <f t="shared" si="8"/>
        <v>FALSE</v>
      </c>
      <c r="AG68" s="35">
        <f t="shared" si="1"/>
        <v>0</v>
      </c>
      <c r="AH68" s="36" t="str">
        <f t="shared" si="2"/>
        <v/>
      </c>
    </row>
    <row r="69" spans="1:34" ht="1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29" t="str">
        <f t="shared" si="3"/>
        <v/>
      </c>
      <c r="Q69" s="30"/>
      <c r="R69" s="31"/>
      <c r="S69" s="68"/>
      <c r="T69" s="40"/>
      <c r="U69" s="38"/>
      <c r="V69" s="74"/>
      <c r="W69" s="34" t="str">
        <f t="shared" si="4"/>
        <v>FALSE</v>
      </c>
      <c r="X69" s="34" t="str">
        <f t="shared" si="0"/>
        <v>FALSE</v>
      </c>
      <c r="Y69" s="35">
        <f t="shared" si="5"/>
        <v>0</v>
      </c>
      <c r="Z69" s="36" t="str">
        <f t="shared" si="6"/>
        <v/>
      </c>
      <c r="AA69" s="6"/>
      <c r="AB69" s="41"/>
      <c r="AC69" s="38"/>
      <c r="AD69" s="38"/>
      <c r="AE69" s="34"/>
      <c r="AF69" s="34" t="str">
        <f t="shared" si="8"/>
        <v>FALSE</v>
      </c>
      <c r="AG69" s="35">
        <f t="shared" si="1"/>
        <v>0</v>
      </c>
      <c r="AH69" s="36" t="str">
        <f t="shared" si="2"/>
        <v/>
      </c>
    </row>
    <row r="70" spans="1:34" ht="1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29" t="str">
        <f t="shared" si="3"/>
        <v/>
      </c>
      <c r="Q70" s="30"/>
      <c r="R70" s="31"/>
      <c r="S70" s="68"/>
      <c r="T70" s="40"/>
      <c r="U70" s="38"/>
      <c r="V70" s="74"/>
      <c r="W70" s="34" t="str">
        <f t="shared" si="4"/>
        <v>FALSE</v>
      </c>
      <c r="X70" s="34" t="str">
        <f t="shared" si="0"/>
        <v>FALSE</v>
      </c>
      <c r="Y70" s="35">
        <f t="shared" si="5"/>
        <v>0</v>
      </c>
      <c r="Z70" s="36" t="str">
        <f t="shared" si="6"/>
        <v/>
      </c>
      <c r="AA70" s="6"/>
      <c r="AB70" s="41"/>
      <c r="AC70" s="38"/>
      <c r="AD70" s="38"/>
      <c r="AE70" s="34"/>
      <c r="AF70" s="34" t="str">
        <f t="shared" si="8"/>
        <v>FALSE</v>
      </c>
      <c r="AG70" s="35">
        <f t="shared" si="1"/>
        <v>0</v>
      </c>
      <c r="AH70" s="36" t="str">
        <f t="shared" si="2"/>
        <v/>
      </c>
    </row>
    <row r="71" spans="1:34" ht="1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29" t="str">
        <f t="shared" si="3"/>
        <v/>
      </c>
      <c r="Q71" s="30"/>
      <c r="R71" s="31"/>
      <c r="S71" s="68"/>
      <c r="T71" s="40"/>
      <c r="U71" s="38"/>
      <c r="V71" s="74"/>
      <c r="W71" s="34" t="str">
        <f t="shared" si="4"/>
        <v>FALSE</v>
      </c>
      <c r="X71" s="34" t="str">
        <f t="shared" si="0"/>
        <v>FALSE</v>
      </c>
      <c r="Y71" s="35">
        <f t="shared" si="5"/>
        <v>0</v>
      </c>
      <c r="Z71" s="36" t="str">
        <f t="shared" si="6"/>
        <v/>
      </c>
      <c r="AA71" s="6"/>
      <c r="AB71" s="41"/>
      <c r="AC71" s="38"/>
      <c r="AD71" s="38"/>
      <c r="AE71" s="34"/>
      <c r="AF71" s="34" t="str">
        <f t="shared" si="8"/>
        <v>FALSE</v>
      </c>
      <c r="AG71" s="35">
        <f t="shared" si="1"/>
        <v>0</v>
      </c>
      <c r="AH71" s="36" t="str">
        <f t="shared" si="2"/>
        <v/>
      </c>
    </row>
    <row r="72" spans="1:34" ht="1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29" t="str">
        <f t="shared" si="3"/>
        <v/>
      </c>
      <c r="Q72" s="30"/>
      <c r="R72" s="31"/>
      <c r="S72" s="68"/>
      <c r="T72" s="40"/>
      <c r="U72" s="38"/>
      <c r="V72" s="74"/>
      <c r="W72" s="34" t="str">
        <f t="shared" si="4"/>
        <v>FALSE</v>
      </c>
      <c r="X72" s="34" t="str">
        <f t="shared" si="0"/>
        <v>FALSE</v>
      </c>
      <c r="Y72" s="35">
        <f t="shared" si="5"/>
        <v>0</v>
      </c>
      <c r="Z72" s="36" t="str">
        <f t="shared" si="6"/>
        <v/>
      </c>
      <c r="AA72" s="6"/>
      <c r="AB72" s="41"/>
      <c r="AC72" s="38"/>
      <c r="AD72" s="38"/>
      <c r="AE72" s="34"/>
      <c r="AF72" s="34" t="str">
        <f t="shared" si="8"/>
        <v>FALSE</v>
      </c>
      <c r="AG72" s="35">
        <f t="shared" si="1"/>
        <v>0</v>
      </c>
      <c r="AH72" s="36" t="str">
        <f t="shared" si="2"/>
        <v/>
      </c>
    </row>
    <row r="73" spans="1:34" ht="1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29" t="str">
        <f t="shared" si="3"/>
        <v/>
      </c>
      <c r="Q73" s="30"/>
      <c r="R73" s="31"/>
      <c r="S73" s="68"/>
      <c r="T73" s="40"/>
      <c r="U73" s="38"/>
      <c r="V73" s="74"/>
      <c r="W73" s="34" t="str">
        <f t="shared" si="4"/>
        <v>FALSE</v>
      </c>
      <c r="X73" s="34" t="str">
        <f t="shared" si="0"/>
        <v>FALSE</v>
      </c>
      <c r="Y73" s="35">
        <f t="shared" si="5"/>
        <v>0</v>
      </c>
      <c r="Z73" s="36" t="str">
        <f t="shared" si="6"/>
        <v/>
      </c>
      <c r="AA73" s="6"/>
      <c r="AB73" s="41"/>
      <c r="AC73" s="38"/>
      <c r="AD73" s="38"/>
      <c r="AE73" s="34"/>
      <c r="AF73" s="34" t="str">
        <f t="shared" si="8"/>
        <v>FALSE</v>
      </c>
      <c r="AG73" s="35">
        <f t="shared" si="1"/>
        <v>0</v>
      </c>
      <c r="AH73" s="36" t="str">
        <f t="shared" si="2"/>
        <v/>
      </c>
    </row>
    <row r="74" spans="1:34" ht="1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29" t="str">
        <f t="shared" si="3"/>
        <v/>
      </c>
      <c r="Q74" s="30"/>
      <c r="R74" s="31"/>
      <c r="S74" s="68"/>
      <c r="T74" s="40"/>
      <c r="U74" s="38"/>
      <c r="V74" s="74"/>
      <c r="W74" s="34" t="str">
        <f t="shared" si="4"/>
        <v>FALSE</v>
      </c>
      <c r="X74" s="34" t="str">
        <f t="shared" si="0"/>
        <v>FALSE</v>
      </c>
      <c r="Y74" s="35">
        <f t="shared" si="5"/>
        <v>0</v>
      </c>
      <c r="Z74" s="36" t="str">
        <f t="shared" si="6"/>
        <v/>
      </c>
      <c r="AA74" s="6"/>
      <c r="AB74" s="41"/>
      <c r="AC74" s="38"/>
      <c r="AD74" s="38"/>
      <c r="AE74" s="34"/>
      <c r="AF74" s="34" t="str">
        <f t="shared" si="8"/>
        <v>FALSE</v>
      </c>
      <c r="AG74" s="35">
        <f t="shared" si="1"/>
        <v>0</v>
      </c>
      <c r="AH74" s="36" t="str">
        <f t="shared" si="2"/>
        <v/>
      </c>
    </row>
    <row r="75" spans="1:34" ht="1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29" t="str">
        <f t="shared" si="3"/>
        <v/>
      </c>
      <c r="Q75" s="30"/>
      <c r="R75" s="31"/>
      <c r="S75" s="68"/>
      <c r="T75" s="40"/>
      <c r="U75" s="38"/>
      <c r="V75" s="74"/>
      <c r="W75" s="34" t="str">
        <f t="shared" si="4"/>
        <v>FALSE</v>
      </c>
      <c r="X75" s="34" t="str">
        <f t="shared" si="0"/>
        <v>FALSE</v>
      </c>
      <c r="Y75" s="35">
        <f t="shared" si="5"/>
        <v>0</v>
      </c>
      <c r="Z75" s="36" t="str">
        <f t="shared" si="6"/>
        <v/>
      </c>
      <c r="AA75" s="6"/>
      <c r="AB75" s="41"/>
      <c r="AC75" s="38"/>
      <c r="AD75" s="38"/>
      <c r="AE75" s="34"/>
      <c r="AF75" s="34" t="str">
        <f t="shared" si="8"/>
        <v>FALSE</v>
      </c>
      <c r="AG75" s="35">
        <f t="shared" si="1"/>
        <v>0</v>
      </c>
      <c r="AH75" s="36" t="str">
        <f t="shared" si="2"/>
        <v/>
      </c>
    </row>
    <row r="76" spans="1:34" ht="1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29" t="str">
        <f t="shared" si="3"/>
        <v/>
      </c>
      <c r="Q76" s="30"/>
      <c r="R76" s="31"/>
      <c r="S76" s="68"/>
      <c r="T76" s="40"/>
      <c r="U76" s="38"/>
      <c r="V76" s="74"/>
      <c r="W76" s="34" t="str">
        <f t="shared" si="4"/>
        <v>FALSE</v>
      </c>
      <c r="X76" s="34" t="str">
        <f t="shared" si="0"/>
        <v>FALSE</v>
      </c>
      <c r="Y76" s="35">
        <f t="shared" si="5"/>
        <v>0</v>
      </c>
      <c r="Z76" s="36" t="str">
        <f t="shared" si="6"/>
        <v/>
      </c>
      <c r="AA76" s="6"/>
      <c r="AB76" s="41"/>
      <c r="AC76" s="38"/>
      <c r="AD76" s="38"/>
      <c r="AE76" s="34"/>
      <c r="AF76" s="34" t="str">
        <f t="shared" si="8"/>
        <v>FALSE</v>
      </c>
      <c r="AG76" s="35">
        <f t="shared" si="1"/>
        <v>0</v>
      </c>
      <c r="AH76" s="36" t="str">
        <f t="shared" si="2"/>
        <v/>
      </c>
    </row>
    <row r="77" spans="1:34" ht="1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29" t="str">
        <f t="shared" si="3"/>
        <v/>
      </c>
      <c r="Q77" s="30"/>
      <c r="R77" s="31"/>
      <c r="S77" s="68"/>
      <c r="T77" s="40"/>
      <c r="U77" s="38"/>
      <c r="V77" s="74"/>
      <c r="W77" s="34" t="str">
        <f t="shared" si="4"/>
        <v>FALSE</v>
      </c>
      <c r="X77" s="34" t="str">
        <f t="shared" si="0"/>
        <v>FALSE</v>
      </c>
      <c r="Y77" s="35">
        <f t="shared" si="5"/>
        <v>0</v>
      </c>
      <c r="Z77" s="36" t="str">
        <f t="shared" si="6"/>
        <v/>
      </c>
      <c r="AA77" s="6"/>
      <c r="AB77" s="41"/>
      <c r="AC77" s="38"/>
      <c r="AD77" s="38"/>
      <c r="AE77" s="34"/>
      <c r="AF77" s="34" t="str">
        <f t="shared" si="8"/>
        <v>FALSE</v>
      </c>
      <c r="AG77" s="35">
        <f t="shared" si="1"/>
        <v>0</v>
      </c>
      <c r="AH77" s="36" t="str">
        <f t="shared" si="2"/>
        <v/>
      </c>
    </row>
    <row r="78" spans="1:34" ht="1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29" t="str">
        <f t="shared" si="3"/>
        <v/>
      </c>
      <c r="Q78" s="30"/>
      <c r="R78" s="31"/>
      <c r="S78" s="68"/>
      <c r="T78" s="40"/>
      <c r="U78" s="38"/>
      <c r="V78" s="74"/>
      <c r="W78" s="34" t="str">
        <f t="shared" si="4"/>
        <v>FALSE</v>
      </c>
      <c r="X78" s="34" t="str">
        <f t="shared" ref="X78:X120" si="9">IF(U78="","FALSE",ABS((U78-AVERAGE($U$14:$U$120))/_xlfn.STDEV.S($U$14:$U$104)))</f>
        <v>FALSE</v>
      </c>
      <c r="Y78" s="35">
        <f t="shared" si="5"/>
        <v>0</v>
      </c>
      <c r="Z78" s="36" t="str">
        <f t="shared" si="6"/>
        <v/>
      </c>
      <c r="AA78" s="6"/>
      <c r="AB78" s="41"/>
      <c r="AC78" s="38"/>
      <c r="AD78" s="38"/>
      <c r="AE78" s="34"/>
      <c r="AF78" s="34" t="str">
        <f t="shared" si="8"/>
        <v>FALSE</v>
      </c>
      <c r="AG78" s="35">
        <f t="shared" ref="AG78:AG120" si="10">IF(OR(AC78&gt;$AG$11,AC78&lt;$AF$11),AC78,"")</f>
        <v>0</v>
      </c>
      <c r="AH78" s="36" t="str">
        <f t="shared" ref="AH78:AH120" si="11">IF(AC78="","",AC78/AB78)</f>
        <v/>
      </c>
    </row>
    <row r="79" spans="1:34" ht="1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29" t="str">
        <f t="shared" ref="P79:P120" si="12">IF(R79&lt;&gt;"",P78+1,"")</f>
        <v/>
      </c>
      <c r="Q79" s="30"/>
      <c r="R79" s="31"/>
      <c r="S79" s="68"/>
      <c r="T79" s="40"/>
      <c r="U79" s="38"/>
      <c r="V79" s="74"/>
      <c r="W79" s="34" t="str">
        <f t="shared" ref="W79:W120" si="13">IF(X79&gt;3,"FALSE",U79)</f>
        <v>FALSE</v>
      </c>
      <c r="X79" s="34" t="str">
        <f t="shared" si="9"/>
        <v>FALSE</v>
      </c>
      <c r="Y79" s="35">
        <f t="shared" ref="Y79:Y120" si="14">IF(OR(U79&gt;$Y$11,U79&lt;$X$11),U79,"")</f>
        <v>0</v>
      </c>
      <c r="Z79" s="36" t="str">
        <f t="shared" ref="Z79:Z120" si="15">IF(U79="","",U79/T79)</f>
        <v/>
      </c>
      <c r="AA79" s="6"/>
      <c r="AB79" s="41"/>
      <c r="AC79" s="38"/>
      <c r="AD79" s="38"/>
      <c r="AE79" s="34"/>
      <c r="AF79" s="34" t="str">
        <f t="shared" ref="AF79:AF120" si="16">IF(AC79="","FALSE",ABS((AC79-AVERAGE($AC$14:$AC$120))/_xlfn.STDEV.S($AC$14:$AC$104)))</f>
        <v>FALSE</v>
      </c>
      <c r="AG79" s="35">
        <f t="shared" si="10"/>
        <v>0</v>
      </c>
      <c r="AH79" s="36" t="str">
        <f t="shared" si="11"/>
        <v/>
      </c>
    </row>
    <row r="80" spans="1:34" ht="1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29" t="str">
        <f t="shared" si="12"/>
        <v/>
      </c>
      <c r="Q80" s="30"/>
      <c r="R80" s="31"/>
      <c r="S80" s="68"/>
      <c r="T80" s="40"/>
      <c r="U80" s="38"/>
      <c r="V80" s="74"/>
      <c r="W80" s="34" t="str">
        <f t="shared" si="13"/>
        <v>FALSE</v>
      </c>
      <c r="X80" s="34" t="str">
        <f t="shared" si="9"/>
        <v>FALSE</v>
      </c>
      <c r="Y80" s="35">
        <f t="shared" si="14"/>
        <v>0</v>
      </c>
      <c r="Z80" s="36" t="str">
        <f t="shared" si="15"/>
        <v/>
      </c>
      <c r="AA80" s="6"/>
      <c r="AB80" s="41"/>
      <c r="AC80" s="38"/>
      <c r="AD80" s="38"/>
      <c r="AE80" s="34"/>
      <c r="AF80" s="34" t="str">
        <f t="shared" si="16"/>
        <v>FALSE</v>
      </c>
      <c r="AG80" s="35">
        <f t="shared" si="10"/>
        <v>0</v>
      </c>
      <c r="AH80" s="36" t="str">
        <f t="shared" si="11"/>
        <v/>
      </c>
    </row>
    <row r="81" spans="1:34" ht="1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29" t="str">
        <f t="shared" si="12"/>
        <v/>
      </c>
      <c r="Q81" s="30"/>
      <c r="R81" s="31"/>
      <c r="S81" s="68"/>
      <c r="T81" s="40"/>
      <c r="U81" s="38"/>
      <c r="V81" s="74"/>
      <c r="W81" s="34" t="str">
        <f t="shared" si="13"/>
        <v>FALSE</v>
      </c>
      <c r="X81" s="34" t="str">
        <f t="shared" si="9"/>
        <v>FALSE</v>
      </c>
      <c r="Y81" s="35">
        <f t="shared" si="14"/>
        <v>0</v>
      </c>
      <c r="Z81" s="36" t="str">
        <f t="shared" si="15"/>
        <v/>
      </c>
      <c r="AA81" s="6"/>
      <c r="AB81" s="41"/>
      <c r="AC81" s="38"/>
      <c r="AD81" s="38"/>
      <c r="AE81" s="34"/>
      <c r="AF81" s="34" t="str">
        <f t="shared" si="16"/>
        <v>FALSE</v>
      </c>
      <c r="AG81" s="35">
        <f t="shared" si="10"/>
        <v>0</v>
      </c>
      <c r="AH81" s="36" t="str">
        <f t="shared" si="11"/>
        <v/>
      </c>
    </row>
    <row r="82" spans="1:34" ht="1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29" t="str">
        <f t="shared" si="12"/>
        <v/>
      </c>
      <c r="Q82" s="30"/>
      <c r="R82" s="31"/>
      <c r="S82" s="68"/>
      <c r="T82" s="40"/>
      <c r="U82" s="38"/>
      <c r="V82" s="74"/>
      <c r="W82" s="34" t="str">
        <f t="shared" si="13"/>
        <v>FALSE</v>
      </c>
      <c r="X82" s="34" t="str">
        <f t="shared" si="9"/>
        <v>FALSE</v>
      </c>
      <c r="Y82" s="35">
        <f t="shared" si="14"/>
        <v>0</v>
      </c>
      <c r="Z82" s="36" t="str">
        <f t="shared" si="15"/>
        <v/>
      </c>
      <c r="AA82" s="6"/>
      <c r="AB82" s="41"/>
      <c r="AC82" s="38"/>
      <c r="AD82" s="38"/>
      <c r="AE82" s="34"/>
      <c r="AF82" s="34" t="str">
        <f t="shared" si="16"/>
        <v>FALSE</v>
      </c>
      <c r="AG82" s="35">
        <f t="shared" si="10"/>
        <v>0</v>
      </c>
      <c r="AH82" s="36" t="str">
        <f t="shared" si="11"/>
        <v/>
      </c>
    </row>
    <row r="83" spans="1:34" ht="1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29" t="str">
        <f t="shared" si="12"/>
        <v/>
      </c>
      <c r="Q83" s="30"/>
      <c r="R83" s="31"/>
      <c r="S83" s="68"/>
      <c r="T83" s="40"/>
      <c r="U83" s="38"/>
      <c r="V83" s="74"/>
      <c r="W83" s="34" t="str">
        <f t="shared" si="13"/>
        <v>FALSE</v>
      </c>
      <c r="X83" s="34" t="str">
        <f t="shared" si="9"/>
        <v>FALSE</v>
      </c>
      <c r="Y83" s="35">
        <f t="shared" si="14"/>
        <v>0</v>
      </c>
      <c r="Z83" s="36" t="str">
        <f t="shared" si="15"/>
        <v/>
      </c>
      <c r="AA83" s="6"/>
      <c r="AB83" s="41"/>
      <c r="AC83" s="38"/>
      <c r="AD83" s="38"/>
      <c r="AE83" s="34"/>
      <c r="AF83" s="34" t="str">
        <f t="shared" si="16"/>
        <v>FALSE</v>
      </c>
      <c r="AG83" s="35">
        <f t="shared" si="10"/>
        <v>0</v>
      </c>
      <c r="AH83" s="36" t="str">
        <f t="shared" si="11"/>
        <v/>
      </c>
    </row>
    <row r="84" spans="1:34" ht="1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29" t="str">
        <f t="shared" si="12"/>
        <v/>
      </c>
      <c r="Q84" s="30"/>
      <c r="R84" s="31"/>
      <c r="S84" s="68"/>
      <c r="T84" s="40"/>
      <c r="U84" s="38"/>
      <c r="V84" s="74"/>
      <c r="W84" s="34" t="str">
        <f t="shared" si="13"/>
        <v>FALSE</v>
      </c>
      <c r="X84" s="34" t="str">
        <f t="shared" si="9"/>
        <v>FALSE</v>
      </c>
      <c r="Y84" s="35">
        <f t="shared" si="14"/>
        <v>0</v>
      </c>
      <c r="Z84" s="36" t="str">
        <f t="shared" si="15"/>
        <v/>
      </c>
      <c r="AA84" s="6"/>
      <c r="AB84" s="41"/>
      <c r="AC84" s="38"/>
      <c r="AD84" s="38"/>
      <c r="AE84" s="34"/>
      <c r="AF84" s="34" t="str">
        <f t="shared" si="16"/>
        <v>FALSE</v>
      </c>
      <c r="AG84" s="35">
        <f t="shared" si="10"/>
        <v>0</v>
      </c>
      <c r="AH84" s="36" t="str">
        <f t="shared" si="11"/>
        <v/>
      </c>
    </row>
    <row r="85" spans="1:34" ht="1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29" t="str">
        <f t="shared" si="12"/>
        <v/>
      </c>
      <c r="Q85" s="30"/>
      <c r="R85" s="31"/>
      <c r="S85" s="68"/>
      <c r="T85" s="40"/>
      <c r="U85" s="38"/>
      <c r="V85" s="74"/>
      <c r="W85" s="34" t="str">
        <f t="shared" si="13"/>
        <v>FALSE</v>
      </c>
      <c r="X85" s="34" t="str">
        <f t="shared" si="9"/>
        <v>FALSE</v>
      </c>
      <c r="Y85" s="35">
        <f t="shared" si="14"/>
        <v>0</v>
      </c>
      <c r="Z85" s="36" t="str">
        <f t="shared" si="15"/>
        <v/>
      </c>
      <c r="AA85" s="6"/>
      <c r="AB85" s="41"/>
      <c r="AC85" s="38"/>
      <c r="AD85" s="38"/>
      <c r="AE85" s="34"/>
      <c r="AF85" s="34" t="str">
        <f t="shared" si="16"/>
        <v>FALSE</v>
      </c>
      <c r="AG85" s="35">
        <f t="shared" si="10"/>
        <v>0</v>
      </c>
      <c r="AH85" s="36" t="str">
        <f t="shared" si="11"/>
        <v/>
      </c>
    </row>
    <row r="86" spans="1:34" ht="1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29" t="str">
        <f t="shared" si="12"/>
        <v/>
      </c>
      <c r="Q86" s="30"/>
      <c r="R86" s="31"/>
      <c r="S86" s="68"/>
      <c r="T86" s="40"/>
      <c r="U86" s="38"/>
      <c r="V86" s="74"/>
      <c r="W86" s="34" t="str">
        <f t="shared" si="13"/>
        <v>FALSE</v>
      </c>
      <c r="X86" s="34" t="str">
        <f t="shared" si="9"/>
        <v>FALSE</v>
      </c>
      <c r="Y86" s="35">
        <f t="shared" si="14"/>
        <v>0</v>
      </c>
      <c r="Z86" s="36" t="str">
        <f t="shared" si="15"/>
        <v/>
      </c>
      <c r="AA86" s="6"/>
      <c r="AB86" s="41"/>
      <c r="AC86" s="38"/>
      <c r="AD86" s="38"/>
      <c r="AE86" s="34"/>
      <c r="AF86" s="34" t="str">
        <f t="shared" si="16"/>
        <v>FALSE</v>
      </c>
      <c r="AG86" s="35">
        <f t="shared" si="10"/>
        <v>0</v>
      </c>
      <c r="AH86" s="36" t="str">
        <f t="shared" si="11"/>
        <v/>
      </c>
    </row>
    <row r="87" spans="1:34" ht="1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29" t="str">
        <f t="shared" si="12"/>
        <v/>
      </c>
      <c r="Q87" s="30"/>
      <c r="R87" s="31"/>
      <c r="S87" s="68"/>
      <c r="T87" s="40"/>
      <c r="U87" s="38"/>
      <c r="V87" s="74"/>
      <c r="W87" s="34" t="str">
        <f t="shared" si="13"/>
        <v>FALSE</v>
      </c>
      <c r="X87" s="34" t="str">
        <f t="shared" si="9"/>
        <v>FALSE</v>
      </c>
      <c r="Y87" s="35">
        <f t="shared" si="14"/>
        <v>0</v>
      </c>
      <c r="Z87" s="36" t="str">
        <f t="shared" si="15"/>
        <v/>
      </c>
      <c r="AA87" s="6"/>
      <c r="AB87" s="41"/>
      <c r="AC87" s="38"/>
      <c r="AD87" s="38"/>
      <c r="AE87" s="34"/>
      <c r="AF87" s="34" t="str">
        <f t="shared" si="16"/>
        <v>FALSE</v>
      </c>
      <c r="AG87" s="35">
        <f t="shared" si="10"/>
        <v>0</v>
      </c>
      <c r="AH87" s="36" t="str">
        <f t="shared" si="11"/>
        <v/>
      </c>
    </row>
    <row r="88" spans="1:34" ht="1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29" t="str">
        <f t="shared" si="12"/>
        <v/>
      </c>
      <c r="Q88" s="30"/>
      <c r="R88" s="31"/>
      <c r="S88" s="68"/>
      <c r="T88" s="40"/>
      <c r="U88" s="38"/>
      <c r="V88" s="74"/>
      <c r="W88" s="34" t="str">
        <f t="shared" si="13"/>
        <v>FALSE</v>
      </c>
      <c r="X88" s="34" t="str">
        <f t="shared" si="9"/>
        <v>FALSE</v>
      </c>
      <c r="Y88" s="35">
        <f t="shared" si="14"/>
        <v>0</v>
      </c>
      <c r="Z88" s="36" t="str">
        <f t="shared" si="15"/>
        <v/>
      </c>
      <c r="AA88" s="6"/>
      <c r="AB88" s="41"/>
      <c r="AC88" s="38"/>
      <c r="AD88" s="38"/>
      <c r="AE88" s="34"/>
      <c r="AF88" s="34" t="str">
        <f t="shared" si="16"/>
        <v>FALSE</v>
      </c>
      <c r="AG88" s="35">
        <f t="shared" si="10"/>
        <v>0</v>
      </c>
      <c r="AH88" s="36" t="str">
        <f t="shared" si="11"/>
        <v/>
      </c>
    </row>
    <row r="89" spans="1:34" ht="1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29" t="str">
        <f t="shared" si="12"/>
        <v/>
      </c>
      <c r="Q89" s="30"/>
      <c r="R89" s="31"/>
      <c r="S89" s="68"/>
      <c r="T89" s="40"/>
      <c r="U89" s="38"/>
      <c r="V89" s="74"/>
      <c r="W89" s="34" t="str">
        <f t="shared" si="13"/>
        <v>FALSE</v>
      </c>
      <c r="X89" s="34" t="str">
        <f t="shared" si="9"/>
        <v>FALSE</v>
      </c>
      <c r="Y89" s="35">
        <f t="shared" si="14"/>
        <v>0</v>
      </c>
      <c r="Z89" s="36" t="str">
        <f t="shared" si="15"/>
        <v/>
      </c>
      <c r="AA89" s="6"/>
      <c r="AB89" s="41"/>
      <c r="AC89" s="38"/>
      <c r="AD89" s="38"/>
      <c r="AE89" s="34"/>
      <c r="AF89" s="34" t="str">
        <f t="shared" si="16"/>
        <v>FALSE</v>
      </c>
      <c r="AG89" s="35">
        <f t="shared" si="10"/>
        <v>0</v>
      </c>
      <c r="AH89" s="36" t="str">
        <f t="shared" si="11"/>
        <v/>
      </c>
    </row>
    <row r="90" spans="1:34" ht="1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29" t="str">
        <f t="shared" si="12"/>
        <v/>
      </c>
      <c r="Q90" s="30"/>
      <c r="R90" s="31"/>
      <c r="S90" s="68"/>
      <c r="T90" s="40"/>
      <c r="U90" s="38"/>
      <c r="V90" s="74"/>
      <c r="W90" s="34" t="str">
        <f t="shared" si="13"/>
        <v>FALSE</v>
      </c>
      <c r="X90" s="34" t="str">
        <f t="shared" si="9"/>
        <v>FALSE</v>
      </c>
      <c r="Y90" s="35">
        <f t="shared" si="14"/>
        <v>0</v>
      </c>
      <c r="Z90" s="36" t="str">
        <f t="shared" si="15"/>
        <v/>
      </c>
      <c r="AA90" s="6"/>
      <c r="AB90" s="41"/>
      <c r="AC90" s="38"/>
      <c r="AD90" s="38"/>
      <c r="AE90" s="34"/>
      <c r="AF90" s="34" t="str">
        <f t="shared" si="16"/>
        <v>FALSE</v>
      </c>
      <c r="AG90" s="35">
        <f t="shared" si="10"/>
        <v>0</v>
      </c>
      <c r="AH90" s="36" t="str">
        <f t="shared" si="11"/>
        <v/>
      </c>
    </row>
    <row r="91" spans="1:34" ht="1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29" t="str">
        <f t="shared" si="12"/>
        <v/>
      </c>
      <c r="Q91" s="30"/>
      <c r="R91" s="31"/>
      <c r="S91" s="68"/>
      <c r="T91" s="40"/>
      <c r="U91" s="38"/>
      <c r="V91" s="74"/>
      <c r="W91" s="34" t="str">
        <f t="shared" si="13"/>
        <v>FALSE</v>
      </c>
      <c r="X91" s="34" t="str">
        <f t="shared" si="9"/>
        <v>FALSE</v>
      </c>
      <c r="Y91" s="35">
        <f t="shared" si="14"/>
        <v>0</v>
      </c>
      <c r="Z91" s="36" t="str">
        <f t="shared" si="15"/>
        <v/>
      </c>
      <c r="AA91" s="6"/>
      <c r="AB91" s="41"/>
      <c r="AC91" s="38"/>
      <c r="AD91" s="38"/>
      <c r="AE91" s="34"/>
      <c r="AF91" s="34" t="str">
        <f t="shared" si="16"/>
        <v>FALSE</v>
      </c>
      <c r="AG91" s="35">
        <f t="shared" si="10"/>
        <v>0</v>
      </c>
      <c r="AH91" s="36" t="str">
        <f t="shared" si="11"/>
        <v/>
      </c>
    </row>
    <row r="92" spans="1:34" ht="1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29" t="str">
        <f t="shared" si="12"/>
        <v/>
      </c>
      <c r="Q92" s="30"/>
      <c r="R92" s="31"/>
      <c r="S92" s="68"/>
      <c r="T92" s="40"/>
      <c r="U92" s="38"/>
      <c r="V92" s="74"/>
      <c r="W92" s="34" t="str">
        <f t="shared" si="13"/>
        <v>FALSE</v>
      </c>
      <c r="X92" s="34" t="str">
        <f t="shared" si="9"/>
        <v>FALSE</v>
      </c>
      <c r="Y92" s="35">
        <f t="shared" si="14"/>
        <v>0</v>
      </c>
      <c r="Z92" s="36" t="str">
        <f t="shared" si="15"/>
        <v/>
      </c>
      <c r="AA92" s="6"/>
      <c r="AB92" s="41"/>
      <c r="AC92" s="38"/>
      <c r="AD92" s="38"/>
      <c r="AE92" s="34"/>
      <c r="AF92" s="34" t="str">
        <f t="shared" si="16"/>
        <v>FALSE</v>
      </c>
      <c r="AG92" s="35">
        <f t="shared" si="10"/>
        <v>0</v>
      </c>
      <c r="AH92" s="36" t="str">
        <f t="shared" si="11"/>
        <v/>
      </c>
    </row>
    <row r="93" spans="1:34" ht="1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29" t="str">
        <f t="shared" si="12"/>
        <v/>
      </c>
      <c r="Q93" s="30"/>
      <c r="R93" s="31"/>
      <c r="S93" s="68"/>
      <c r="T93" s="40"/>
      <c r="U93" s="38"/>
      <c r="V93" s="74"/>
      <c r="W93" s="34" t="str">
        <f t="shared" si="13"/>
        <v>FALSE</v>
      </c>
      <c r="X93" s="34" t="str">
        <f t="shared" si="9"/>
        <v>FALSE</v>
      </c>
      <c r="Y93" s="35">
        <f t="shared" si="14"/>
        <v>0</v>
      </c>
      <c r="Z93" s="36" t="str">
        <f t="shared" si="15"/>
        <v/>
      </c>
      <c r="AA93" s="6"/>
      <c r="AB93" s="41"/>
      <c r="AC93" s="38"/>
      <c r="AD93" s="38"/>
      <c r="AE93" s="34"/>
      <c r="AF93" s="34" t="str">
        <f t="shared" si="16"/>
        <v>FALSE</v>
      </c>
      <c r="AG93" s="35">
        <f t="shared" si="10"/>
        <v>0</v>
      </c>
      <c r="AH93" s="36" t="str">
        <f t="shared" si="11"/>
        <v/>
      </c>
    </row>
    <row r="94" spans="1:34" ht="1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29" t="str">
        <f t="shared" si="12"/>
        <v/>
      </c>
      <c r="Q94" s="30"/>
      <c r="R94" s="31"/>
      <c r="S94" s="68"/>
      <c r="T94" s="40"/>
      <c r="U94" s="38"/>
      <c r="V94" s="74"/>
      <c r="W94" s="34" t="str">
        <f t="shared" si="13"/>
        <v>FALSE</v>
      </c>
      <c r="X94" s="34" t="str">
        <f t="shared" si="9"/>
        <v>FALSE</v>
      </c>
      <c r="Y94" s="35">
        <f t="shared" si="14"/>
        <v>0</v>
      </c>
      <c r="Z94" s="36" t="str">
        <f t="shared" si="15"/>
        <v/>
      </c>
      <c r="AA94" s="6"/>
      <c r="AB94" s="41"/>
      <c r="AC94" s="38"/>
      <c r="AD94" s="38"/>
      <c r="AE94" s="34"/>
      <c r="AF94" s="34" t="str">
        <f t="shared" si="16"/>
        <v>FALSE</v>
      </c>
      <c r="AG94" s="35">
        <f t="shared" si="10"/>
        <v>0</v>
      </c>
      <c r="AH94" s="36" t="str">
        <f t="shared" si="11"/>
        <v/>
      </c>
    </row>
    <row r="95" spans="1:34" ht="1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29" t="str">
        <f t="shared" si="12"/>
        <v/>
      </c>
      <c r="Q95" s="30"/>
      <c r="R95" s="31"/>
      <c r="S95" s="68"/>
      <c r="T95" s="40"/>
      <c r="U95" s="38"/>
      <c r="V95" s="74"/>
      <c r="W95" s="34" t="str">
        <f t="shared" si="13"/>
        <v>FALSE</v>
      </c>
      <c r="X95" s="34" t="str">
        <f t="shared" si="9"/>
        <v>FALSE</v>
      </c>
      <c r="Y95" s="35">
        <f t="shared" si="14"/>
        <v>0</v>
      </c>
      <c r="Z95" s="36" t="str">
        <f t="shared" si="15"/>
        <v/>
      </c>
      <c r="AA95" s="6"/>
      <c r="AB95" s="41"/>
      <c r="AC95" s="38"/>
      <c r="AD95" s="38"/>
      <c r="AE95" s="34"/>
      <c r="AF95" s="34" t="str">
        <f t="shared" si="16"/>
        <v>FALSE</v>
      </c>
      <c r="AG95" s="35">
        <f t="shared" si="10"/>
        <v>0</v>
      </c>
      <c r="AH95" s="36" t="str">
        <f t="shared" si="11"/>
        <v/>
      </c>
    </row>
    <row r="96" spans="1:34" ht="1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29" t="str">
        <f t="shared" si="12"/>
        <v/>
      </c>
      <c r="Q96" s="30"/>
      <c r="R96" s="31"/>
      <c r="S96" s="68"/>
      <c r="T96" s="40"/>
      <c r="U96" s="38"/>
      <c r="V96" s="74"/>
      <c r="W96" s="34" t="str">
        <f t="shared" si="13"/>
        <v>FALSE</v>
      </c>
      <c r="X96" s="34" t="str">
        <f t="shared" si="9"/>
        <v>FALSE</v>
      </c>
      <c r="Y96" s="35">
        <f t="shared" si="14"/>
        <v>0</v>
      </c>
      <c r="Z96" s="36" t="str">
        <f t="shared" si="15"/>
        <v/>
      </c>
      <c r="AA96" s="6"/>
      <c r="AB96" s="41"/>
      <c r="AC96" s="38"/>
      <c r="AD96" s="38"/>
      <c r="AE96" s="34"/>
      <c r="AF96" s="34" t="str">
        <f t="shared" si="16"/>
        <v>FALSE</v>
      </c>
      <c r="AG96" s="35">
        <f t="shared" si="10"/>
        <v>0</v>
      </c>
      <c r="AH96" s="36" t="str">
        <f t="shared" si="11"/>
        <v/>
      </c>
    </row>
    <row r="97" spans="1:34" ht="1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29" t="str">
        <f t="shared" si="12"/>
        <v/>
      </c>
      <c r="Q97" s="30"/>
      <c r="R97" s="31"/>
      <c r="S97" s="68"/>
      <c r="T97" s="40"/>
      <c r="U97" s="38"/>
      <c r="V97" s="74"/>
      <c r="W97" s="34" t="str">
        <f t="shared" si="13"/>
        <v>FALSE</v>
      </c>
      <c r="X97" s="34" t="str">
        <f t="shared" si="9"/>
        <v>FALSE</v>
      </c>
      <c r="Y97" s="35">
        <f t="shared" si="14"/>
        <v>0</v>
      </c>
      <c r="Z97" s="36" t="str">
        <f t="shared" si="15"/>
        <v/>
      </c>
      <c r="AA97" s="6"/>
      <c r="AB97" s="41"/>
      <c r="AC97" s="38"/>
      <c r="AD97" s="38"/>
      <c r="AE97" s="34"/>
      <c r="AF97" s="34" t="str">
        <f t="shared" si="16"/>
        <v>FALSE</v>
      </c>
      <c r="AG97" s="35">
        <f t="shared" si="10"/>
        <v>0</v>
      </c>
      <c r="AH97" s="36" t="str">
        <f t="shared" si="11"/>
        <v/>
      </c>
    </row>
    <row r="98" spans="1:34" ht="1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29" t="str">
        <f t="shared" si="12"/>
        <v/>
      </c>
      <c r="Q98" s="30"/>
      <c r="R98" s="31"/>
      <c r="S98" s="68"/>
      <c r="T98" s="40"/>
      <c r="U98" s="38"/>
      <c r="V98" s="74"/>
      <c r="W98" s="34" t="str">
        <f t="shared" si="13"/>
        <v>FALSE</v>
      </c>
      <c r="X98" s="34" t="str">
        <f t="shared" si="9"/>
        <v>FALSE</v>
      </c>
      <c r="Y98" s="35">
        <f t="shared" si="14"/>
        <v>0</v>
      </c>
      <c r="Z98" s="36" t="str">
        <f t="shared" si="15"/>
        <v/>
      </c>
      <c r="AA98" s="6"/>
      <c r="AB98" s="41"/>
      <c r="AC98" s="38"/>
      <c r="AD98" s="38"/>
      <c r="AE98" s="34"/>
      <c r="AF98" s="34" t="str">
        <f t="shared" si="16"/>
        <v>FALSE</v>
      </c>
      <c r="AG98" s="35">
        <f t="shared" si="10"/>
        <v>0</v>
      </c>
      <c r="AH98" s="36" t="str">
        <f t="shared" si="11"/>
        <v/>
      </c>
    </row>
    <row r="99" spans="1:34" ht="1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29" t="str">
        <f t="shared" si="12"/>
        <v/>
      </c>
      <c r="Q99" s="30"/>
      <c r="R99" s="31"/>
      <c r="S99" s="68"/>
      <c r="T99" s="40"/>
      <c r="U99" s="38"/>
      <c r="V99" s="74"/>
      <c r="W99" s="34" t="str">
        <f t="shared" si="13"/>
        <v>FALSE</v>
      </c>
      <c r="X99" s="34" t="str">
        <f t="shared" si="9"/>
        <v>FALSE</v>
      </c>
      <c r="Y99" s="35">
        <f t="shared" si="14"/>
        <v>0</v>
      </c>
      <c r="Z99" s="36" t="str">
        <f t="shared" si="15"/>
        <v/>
      </c>
      <c r="AA99" s="6"/>
      <c r="AB99" s="41"/>
      <c r="AC99" s="38"/>
      <c r="AD99" s="38"/>
      <c r="AE99" s="34"/>
      <c r="AF99" s="34" t="str">
        <f t="shared" si="16"/>
        <v>FALSE</v>
      </c>
      <c r="AG99" s="35">
        <f t="shared" si="10"/>
        <v>0</v>
      </c>
      <c r="AH99" s="36" t="str">
        <f t="shared" si="11"/>
        <v/>
      </c>
    </row>
    <row r="100" spans="1:34" ht="1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29" t="str">
        <f t="shared" si="12"/>
        <v/>
      </c>
      <c r="Q100" s="30"/>
      <c r="R100" s="31"/>
      <c r="S100" s="68"/>
      <c r="T100" s="40"/>
      <c r="U100" s="38"/>
      <c r="V100" s="74"/>
      <c r="W100" s="34" t="str">
        <f t="shared" si="13"/>
        <v>FALSE</v>
      </c>
      <c r="X100" s="34" t="str">
        <f t="shared" si="9"/>
        <v>FALSE</v>
      </c>
      <c r="Y100" s="35">
        <f t="shared" si="14"/>
        <v>0</v>
      </c>
      <c r="Z100" s="36" t="str">
        <f t="shared" si="15"/>
        <v/>
      </c>
      <c r="AA100" s="6"/>
      <c r="AB100" s="41"/>
      <c r="AC100" s="38"/>
      <c r="AD100" s="38"/>
      <c r="AE100" s="34"/>
      <c r="AF100" s="34" t="str">
        <f t="shared" si="16"/>
        <v>FALSE</v>
      </c>
      <c r="AG100" s="35">
        <f t="shared" si="10"/>
        <v>0</v>
      </c>
      <c r="AH100" s="36" t="str">
        <f t="shared" si="11"/>
        <v/>
      </c>
    </row>
    <row r="101" spans="1:34" ht="1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29" t="str">
        <f t="shared" si="12"/>
        <v/>
      </c>
      <c r="Q101" s="30"/>
      <c r="R101" s="31"/>
      <c r="S101" s="68"/>
      <c r="T101" s="40"/>
      <c r="U101" s="38"/>
      <c r="V101" s="74"/>
      <c r="W101" s="34" t="str">
        <f t="shared" si="13"/>
        <v>FALSE</v>
      </c>
      <c r="X101" s="34" t="str">
        <f t="shared" si="9"/>
        <v>FALSE</v>
      </c>
      <c r="Y101" s="35">
        <f t="shared" si="14"/>
        <v>0</v>
      </c>
      <c r="Z101" s="36" t="str">
        <f t="shared" si="15"/>
        <v/>
      </c>
      <c r="AA101" s="6"/>
      <c r="AB101" s="41"/>
      <c r="AC101" s="38"/>
      <c r="AD101" s="38"/>
      <c r="AE101" s="34"/>
      <c r="AF101" s="34" t="str">
        <f t="shared" si="16"/>
        <v>FALSE</v>
      </c>
      <c r="AG101" s="35">
        <f t="shared" si="10"/>
        <v>0</v>
      </c>
      <c r="AH101" s="36" t="str">
        <f t="shared" si="11"/>
        <v/>
      </c>
    </row>
    <row r="102" spans="1:34" ht="1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29" t="str">
        <f t="shared" si="12"/>
        <v/>
      </c>
      <c r="Q102" s="30"/>
      <c r="R102" s="31"/>
      <c r="S102" s="68"/>
      <c r="T102" s="40"/>
      <c r="U102" s="38"/>
      <c r="V102" s="74"/>
      <c r="W102" s="34" t="str">
        <f t="shared" si="13"/>
        <v>FALSE</v>
      </c>
      <c r="X102" s="34" t="str">
        <f t="shared" si="9"/>
        <v>FALSE</v>
      </c>
      <c r="Y102" s="35">
        <f t="shared" si="14"/>
        <v>0</v>
      </c>
      <c r="Z102" s="36" t="str">
        <f t="shared" si="15"/>
        <v/>
      </c>
      <c r="AA102" s="6"/>
      <c r="AB102" s="41"/>
      <c r="AC102" s="38"/>
      <c r="AD102" s="38"/>
      <c r="AE102" s="34"/>
      <c r="AF102" s="34" t="str">
        <f t="shared" si="16"/>
        <v>FALSE</v>
      </c>
      <c r="AG102" s="35">
        <f t="shared" si="10"/>
        <v>0</v>
      </c>
      <c r="AH102" s="36" t="str">
        <f t="shared" si="11"/>
        <v/>
      </c>
    </row>
    <row r="103" spans="1:34" ht="1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29" t="str">
        <f t="shared" si="12"/>
        <v/>
      </c>
      <c r="Q103" s="30"/>
      <c r="R103" s="31"/>
      <c r="S103" s="68"/>
      <c r="T103" s="40"/>
      <c r="U103" s="38"/>
      <c r="V103" s="74"/>
      <c r="W103" s="34" t="str">
        <f t="shared" si="13"/>
        <v>FALSE</v>
      </c>
      <c r="X103" s="34" t="str">
        <f t="shared" si="9"/>
        <v>FALSE</v>
      </c>
      <c r="Y103" s="35">
        <f t="shared" si="14"/>
        <v>0</v>
      </c>
      <c r="Z103" s="36" t="str">
        <f t="shared" si="15"/>
        <v/>
      </c>
      <c r="AA103" s="6"/>
      <c r="AB103" s="41"/>
      <c r="AC103" s="38"/>
      <c r="AD103" s="38"/>
      <c r="AE103" s="34"/>
      <c r="AF103" s="34" t="str">
        <f t="shared" si="16"/>
        <v>FALSE</v>
      </c>
      <c r="AG103" s="35">
        <f t="shared" si="10"/>
        <v>0</v>
      </c>
      <c r="AH103" s="36" t="str">
        <f t="shared" si="11"/>
        <v/>
      </c>
    </row>
    <row r="104" spans="1:34" ht="1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29" t="str">
        <f t="shared" si="12"/>
        <v/>
      </c>
      <c r="Q104" s="30"/>
      <c r="R104" s="31"/>
      <c r="S104" s="68"/>
      <c r="T104" s="40"/>
      <c r="U104" s="38"/>
      <c r="V104" s="74"/>
      <c r="W104" s="34" t="str">
        <f t="shared" si="13"/>
        <v>FALSE</v>
      </c>
      <c r="X104" s="34" t="str">
        <f t="shared" si="9"/>
        <v>FALSE</v>
      </c>
      <c r="Y104" s="35">
        <f t="shared" si="14"/>
        <v>0</v>
      </c>
      <c r="Z104" s="36" t="str">
        <f t="shared" si="15"/>
        <v/>
      </c>
      <c r="AA104" s="6"/>
      <c r="AB104" s="41"/>
      <c r="AC104" s="38"/>
      <c r="AD104" s="38"/>
      <c r="AE104" s="34"/>
      <c r="AF104" s="34" t="str">
        <f t="shared" si="16"/>
        <v>FALSE</v>
      </c>
      <c r="AG104" s="35">
        <f t="shared" si="10"/>
        <v>0</v>
      </c>
      <c r="AH104" s="36" t="str">
        <f t="shared" si="11"/>
        <v/>
      </c>
    </row>
    <row r="105" spans="1:34" ht="1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29" t="str">
        <f t="shared" si="12"/>
        <v/>
      </c>
      <c r="Q105" s="30"/>
      <c r="R105" s="31"/>
      <c r="S105" s="68"/>
      <c r="T105" s="40"/>
      <c r="U105" s="38"/>
      <c r="V105" s="74"/>
      <c r="W105" s="34" t="str">
        <f t="shared" si="13"/>
        <v>FALSE</v>
      </c>
      <c r="X105" s="34" t="str">
        <f t="shared" si="9"/>
        <v>FALSE</v>
      </c>
      <c r="Y105" s="35">
        <f t="shared" si="14"/>
        <v>0</v>
      </c>
      <c r="Z105" s="36" t="str">
        <f t="shared" si="15"/>
        <v/>
      </c>
      <c r="AA105" s="6"/>
      <c r="AB105" s="41"/>
      <c r="AC105" s="38"/>
      <c r="AD105" s="38"/>
      <c r="AE105" s="34"/>
      <c r="AF105" s="34" t="str">
        <f t="shared" si="16"/>
        <v>FALSE</v>
      </c>
      <c r="AG105" s="35">
        <f t="shared" si="10"/>
        <v>0</v>
      </c>
      <c r="AH105" s="36" t="str">
        <f t="shared" si="11"/>
        <v/>
      </c>
    </row>
    <row r="106" spans="1:34" ht="1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29" t="str">
        <f t="shared" si="12"/>
        <v/>
      </c>
      <c r="Q106" s="30"/>
      <c r="R106" s="31"/>
      <c r="S106" s="68"/>
      <c r="T106" s="40"/>
      <c r="U106" s="38"/>
      <c r="V106" s="74"/>
      <c r="W106" s="34" t="str">
        <f t="shared" si="13"/>
        <v>FALSE</v>
      </c>
      <c r="X106" s="34" t="str">
        <f t="shared" si="9"/>
        <v>FALSE</v>
      </c>
      <c r="Y106" s="35">
        <f t="shared" si="14"/>
        <v>0</v>
      </c>
      <c r="Z106" s="36" t="str">
        <f t="shared" si="15"/>
        <v/>
      </c>
      <c r="AA106" s="6"/>
      <c r="AB106" s="41"/>
      <c r="AC106" s="38"/>
      <c r="AD106" s="38"/>
      <c r="AE106" s="34"/>
      <c r="AF106" s="34" t="str">
        <f t="shared" si="16"/>
        <v>FALSE</v>
      </c>
      <c r="AG106" s="35">
        <f t="shared" si="10"/>
        <v>0</v>
      </c>
      <c r="AH106" s="36" t="str">
        <f t="shared" si="11"/>
        <v/>
      </c>
    </row>
    <row r="107" spans="1:34" ht="1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29" t="str">
        <f t="shared" si="12"/>
        <v/>
      </c>
      <c r="Q107" s="30"/>
      <c r="R107" s="31"/>
      <c r="S107" s="68"/>
      <c r="T107" s="40"/>
      <c r="U107" s="38"/>
      <c r="V107" s="74"/>
      <c r="W107" s="34" t="str">
        <f t="shared" si="13"/>
        <v>FALSE</v>
      </c>
      <c r="X107" s="34" t="str">
        <f t="shared" si="9"/>
        <v>FALSE</v>
      </c>
      <c r="Y107" s="35">
        <f t="shared" si="14"/>
        <v>0</v>
      </c>
      <c r="Z107" s="36" t="str">
        <f t="shared" si="15"/>
        <v/>
      </c>
      <c r="AA107" s="6"/>
      <c r="AB107" s="41"/>
      <c r="AC107" s="38"/>
      <c r="AD107" s="38"/>
      <c r="AE107" s="34"/>
      <c r="AF107" s="34" t="str">
        <f t="shared" si="16"/>
        <v>FALSE</v>
      </c>
      <c r="AG107" s="35">
        <f t="shared" si="10"/>
        <v>0</v>
      </c>
      <c r="AH107" s="36" t="str">
        <f t="shared" si="11"/>
        <v/>
      </c>
    </row>
    <row r="108" spans="1:34" ht="1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29" t="str">
        <f t="shared" si="12"/>
        <v/>
      </c>
      <c r="Q108" s="30"/>
      <c r="R108" s="31"/>
      <c r="S108" s="68"/>
      <c r="T108" s="40"/>
      <c r="U108" s="38"/>
      <c r="V108" s="74"/>
      <c r="W108" s="34" t="str">
        <f t="shared" si="13"/>
        <v>FALSE</v>
      </c>
      <c r="X108" s="34" t="str">
        <f t="shared" si="9"/>
        <v>FALSE</v>
      </c>
      <c r="Y108" s="35">
        <f t="shared" si="14"/>
        <v>0</v>
      </c>
      <c r="Z108" s="36" t="str">
        <f t="shared" si="15"/>
        <v/>
      </c>
      <c r="AA108" s="6"/>
      <c r="AB108" s="41"/>
      <c r="AC108" s="38"/>
      <c r="AD108" s="38"/>
      <c r="AE108" s="34"/>
      <c r="AF108" s="34" t="str">
        <f t="shared" si="16"/>
        <v>FALSE</v>
      </c>
      <c r="AG108" s="35">
        <f t="shared" si="10"/>
        <v>0</v>
      </c>
      <c r="AH108" s="36" t="str">
        <f t="shared" si="11"/>
        <v/>
      </c>
    </row>
    <row r="109" spans="1:34" ht="1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29" t="str">
        <f t="shared" si="12"/>
        <v/>
      </c>
      <c r="Q109" s="30"/>
      <c r="R109" s="31"/>
      <c r="S109" s="68"/>
      <c r="T109" s="40"/>
      <c r="U109" s="38"/>
      <c r="V109" s="74"/>
      <c r="W109" s="34" t="str">
        <f t="shared" si="13"/>
        <v>FALSE</v>
      </c>
      <c r="X109" s="34" t="str">
        <f t="shared" si="9"/>
        <v>FALSE</v>
      </c>
      <c r="Y109" s="35">
        <f t="shared" si="14"/>
        <v>0</v>
      </c>
      <c r="Z109" s="36" t="str">
        <f t="shared" si="15"/>
        <v/>
      </c>
      <c r="AA109" s="6"/>
      <c r="AB109" s="41"/>
      <c r="AC109" s="38"/>
      <c r="AD109" s="38"/>
      <c r="AE109" s="34"/>
      <c r="AF109" s="34" t="str">
        <f t="shared" si="16"/>
        <v>FALSE</v>
      </c>
      <c r="AG109" s="35">
        <f t="shared" si="10"/>
        <v>0</v>
      </c>
      <c r="AH109" s="36" t="str">
        <f t="shared" si="11"/>
        <v/>
      </c>
    </row>
    <row r="110" spans="1:34" ht="1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29" t="str">
        <f t="shared" si="12"/>
        <v/>
      </c>
      <c r="Q110" s="30"/>
      <c r="R110" s="31"/>
      <c r="S110" s="68"/>
      <c r="T110" s="40"/>
      <c r="U110" s="38"/>
      <c r="V110" s="74"/>
      <c r="W110" s="34" t="str">
        <f t="shared" si="13"/>
        <v>FALSE</v>
      </c>
      <c r="X110" s="34" t="str">
        <f t="shared" si="9"/>
        <v>FALSE</v>
      </c>
      <c r="Y110" s="35">
        <f t="shared" si="14"/>
        <v>0</v>
      </c>
      <c r="Z110" s="36" t="str">
        <f t="shared" si="15"/>
        <v/>
      </c>
      <c r="AA110" s="6"/>
      <c r="AB110" s="41"/>
      <c r="AC110" s="38"/>
      <c r="AD110" s="38"/>
      <c r="AE110" s="34"/>
      <c r="AF110" s="34" t="str">
        <f t="shared" si="16"/>
        <v>FALSE</v>
      </c>
      <c r="AG110" s="35">
        <f t="shared" si="10"/>
        <v>0</v>
      </c>
      <c r="AH110" s="36" t="str">
        <f t="shared" si="11"/>
        <v/>
      </c>
    </row>
    <row r="111" spans="1:34" ht="1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29" t="str">
        <f t="shared" si="12"/>
        <v/>
      </c>
      <c r="Q111" s="30"/>
      <c r="R111" s="31"/>
      <c r="S111" s="68"/>
      <c r="T111" s="40"/>
      <c r="U111" s="38"/>
      <c r="V111" s="74"/>
      <c r="W111" s="34" t="str">
        <f t="shared" si="13"/>
        <v>FALSE</v>
      </c>
      <c r="X111" s="34" t="str">
        <f t="shared" si="9"/>
        <v>FALSE</v>
      </c>
      <c r="Y111" s="35">
        <f t="shared" si="14"/>
        <v>0</v>
      </c>
      <c r="Z111" s="36" t="str">
        <f t="shared" si="15"/>
        <v/>
      </c>
      <c r="AA111" s="6"/>
      <c r="AB111" s="41"/>
      <c r="AC111" s="38"/>
      <c r="AD111" s="38"/>
      <c r="AE111" s="34"/>
      <c r="AF111" s="34" t="str">
        <f t="shared" si="16"/>
        <v>FALSE</v>
      </c>
      <c r="AG111" s="35">
        <f t="shared" si="10"/>
        <v>0</v>
      </c>
      <c r="AH111" s="36" t="str">
        <f t="shared" si="11"/>
        <v/>
      </c>
    </row>
    <row r="112" spans="1:34" ht="1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29" t="str">
        <f t="shared" si="12"/>
        <v/>
      </c>
      <c r="Q112" s="30"/>
      <c r="R112" s="31"/>
      <c r="S112" s="68"/>
      <c r="T112" s="40"/>
      <c r="U112" s="38"/>
      <c r="V112" s="74"/>
      <c r="W112" s="34" t="str">
        <f t="shared" si="13"/>
        <v>FALSE</v>
      </c>
      <c r="X112" s="34" t="str">
        <f t="shared" si="9"/>
        <v>FALSE</v>
      </c>
      <c r="Y112" s="35">
        <f t="shared" si="14"/>
        <v>0</v>
      </c>
      <c r="Z112" s="36" t="str">
        <f t="shared" si="15"/>
        <v/>
      </c>
      <c r="AA112" s="6"/>
      <c r="AB112" s="41"/>
      <c r="AC112" s="38"/>
      <c r="AD112" s="38"/>
      <c r="AE112" s="34"/>
      <c r="AF112" s="34" t="str">
        <f t="shared" si="16"/>
        <v>FALSE</v>
      </c>
      <c r="AG112" s="35">
        <f t="shared" si="10"/>
        <v>0</v>
      </c>
      <c r="AH112" s="36" t="str">
        <f t="shared" si="11"/>
        <v/>
      </c>
    </row>
    <row r="113" spans="1:34" ht="1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29" t="str">
        <f t="shared" si="12"/>
        <v/>
      </c>
      <c r="Q113" s="30"/>
      <c r="R113" s="31"/>
      <c r="S113" s="68"/>
      <c r="T113" s="40"/>
      <c r="U113" s="38"/>
      <c r="V113" s="74"/>
      <c r="W113" s="34" t="str">
        <f t="shared" si="13"/>
        <v>FALSE</v>
      </c>
      <c r="X113" s="34" t="str">
        <f t="shared" si="9"/>
        <v>FALSE</v>
      </c>
      <c r="Y113" s="35">
        <f t="shared" si="14"/>
        <v>0</v>
      </c>
      <c r="Z113" s="36" t="str">
        <f t="shared" si="15"/>
        <v/>
      </c>
      <c r="AA113" s="6"/>
      <c r="AB113" s="41"/>
      <c r="AC113" s="38"/>
      <c r="AD113" s="38"/>
      <c r="AE113" s="34"/>
      <c r="AF113" s="34" t="str">
        <f t="shared" si="16"/>
        <v>FALSE</v>
      </c>
      <c r="AG113" s="35">
        <f t="shared" si="10"/>
        <v>0</v>
      </c>
      <c r="AH113" s="36" t="str">
        <f t="shared" si="11"/>
        <v/>
      </c>
    </row>
    <row r="114" spans="1:34" ht="1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29" t="str">
        <f t="shared" si="12"/>
        <v/>
      </c>
      <c r="Q114" s="30"/>
      <c r="R114" s="31"/>
      <c r="S114" s="68"/>
      <c r="T114" s="40"/>
      <c r="U114" s="38"/>
      <c r="V114" s="74"/>
      <c r="W114" s="34" t="str">
        <f t="shared" si="13"/>
        <v>FALSE</v>
      </c>
      <c r="X114" s="34" t="str">
        <f t="shared" si="9"/>
        <v>FALSE</v>
      </c>
      <c r="Y114" s="35">
        <f t="shared" si="14"/>
        <v>0</v>
      </c>
      <c r="Z114" s="36" t="str">
        <f t="shared" si="15"/>
        <v/>
      </c>
      <c r="AA114" s="6"/>
      <c r="AB114" s="41"/>
      <c r="AC114" s="38"/>
      <c r="AD114" s="38"/>
      <c r="AE114" s="34"/>
      <c r="AF114" s="34" t="str">
        <f t="shared" si="16"/>
        <v>FALSE</v>
      </c>
      <c r="AG114" s="35">
        <f t="shared" si="10"/>
        <v>0</v>
      </c>
      <c r="AH114" s="36" t="str">
        <f t="shared" si="11"/>
        <v/>
      </c>
    </row>
    <row r="115" spans="1:34" ht="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29" t="str">
        <f t="shared" si="12"/>
        <v/>
      </c>
      <c r="Q115" s="30"/>
      <c r="R115" s="31"/>
      <c r="S115" s="68"/>
      <c r="T115" s="40"/>
      <c r="U115" s="38"/>
      <c r="V115" s="74"/>
      <c r="W115" s="34" t="str">
        <f t="shared" si="13"/>
        <v>FALSE</v>
      </c>
      <c r="X115" s="34" t="str">
        <f t="shared" si="9"/>
        <v>FALSE</v>
      </c>
      <c r="Y115" s="35">
        <f t="shared" si="14"/>
        <v>0</v>
      </c>
      <c r="Z115" s="36" t="str">
        <f t="shared" si="15"/>
        <v/>
      </c>
      <c r="AA115" s="6"/>
      <c r="AB115" s="41"/>
      <c r="AC115" s="38"/>
      <c r="AD115" s="38"/>
      <c r="AE115" s="34"/>
      <c r="AF115" s="34" t="str">
        <f t="shared" si="16"/>
        <v>FALSE</v>
      </c>
      <c r="AG115" s="35">
        <f t="shared" si="10"/>
        <v>0</v>
      </c>
      <c r="AH115" s="36" t="str">
        <f t="shared" si="11"/>
        <v/>
      </c>
    </row>
    <row r="116" spans="1:34" ht="1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29" t="str">
        <f t="shared" si="12"/>
        <v/>
      </c>
      <c r="Q116" s="30"/>
      <c r="R116" s="31"/>
      <c r="S116" s="68"/>
      <c r="T116" s="40"/>
      <c r="U116" s="38"/>
      <c r="V116" s="74"/>
      <c r="W116" s="34" t="str">
        <f t="shared" si="13"/>
        <v>FALSE</v>
      </c>
      <c r="X116" s="34" t="str">
        <f t="shared" si="9"/>
        <v>FALSE</v>
      </c>
      <c r="Y116" s="35">
        <f t="shared" si="14"/>
        <v>0</v>
      </c>
      <c r="Z116" s="36" t="str">
        <f t="shared" si="15"/>
        <v/>
      </c>
      <c r="AA116" s="6"/>
      <c r="AB116" s="41"/>
      <c r="AC116" s="38"/>
      <c r="AD116" s="38"/>
      <c r="AE116" s="34"/>
      <c r="AF116" s="34" t="str">
        <f t="shared" si="16"/>
        <v>FALSE</v>
      </c>
      <c r="AG116" s="35">
        <f t="shared" si="10"/>
        <v>0</v>
      </c>
      <c r="AH116" s="36" t="str">
        <f t="shared" si="11"/>
        <v/>
      </c>
    </row>
    <row r="117" spans="1:34" ht="1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29" t="str">
        <f t="shared" si="12"/>
        <v/>
      </c>
      <c r="Q117" s="30"/>
      <c r="R117" s="31"/>
      <c r="S117" s="68"/>
      <c r="T117" s="40"/>
      <c r="U117" s="38"/>
      <c r="V117" s="74"/>
      <c r="W117" s="34" t="str">
        <f t="shared" si="13"/>
        <v>FALSE</v>
      </c>
      <c r="X117" s="34" t="str">
        <f t="shared" si="9"/>
        <v>FALSE</v>
      </c>
      <c r="Y117" s="35">
        <f t="shared" si="14"/>
        <v>0</v>
      </c>
      <c r="Z117" s="36" t="str">
        <f t="shared" si="15"/>
        <v/>
      </c>
      <c r="AA117" s="6"/>
      <c r="AB117" s="41"/>
      <c r="AC117" s="38"/>
      <c r="AD117" s="38"/>
      <c r="AE117" s="34"/>
      <c r="AF117" s="34" t="str">
        <f t="shared" si="16"/>
        <v>FALSE</v>
      </c>
      <c r="AG117" s="35">
        <f t="shared" si="10"/>
        <v>0</v>
      </c>
      <c r="AH117" s="36" t="str">
        <f t="shared" si="11"/>
        <v/>
      </c>
    </row>
    <row r="118" spans="1:34" ht="1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29" t="str">
        <f t="shared" si="12"/>
        <v/>
      </c>
      <c r="Q118" s="30"/>
      <c r="R118" s="31"/>
      <c r="S118" s="68"/>
      <c r="T118" s="40"/>
      <c r="U118" s="38"/>
      <c r="V118" s="74"/>
      <c r="W118" s="34" t="str">
        <f t="shared" si="13"/>
        <v>FALSE</v>
      </c>
      <c r="X118" s="34" t="str">
        <f t="shared" si="9"/>
        <v>FALSE</v>
      </c>
      <c r="Y118" s="35">
        <f t="shared" si="14"/>
        <v>0</v>
      </c>
      <c r="Z118" s="36" t="str">
        <f t="shared" si="15"/>
        <v/>
      </c>
      <c r="AA118" s="6"/>
      <c r="AB118" s="41"/>
      <c r="AC118" s="38"/>
      <c r="AD118" s="38"/>
      <c r="AE118" s="34"/>
      <c r="AF118" s="34" t="str">
        <f t="shared" si="16"/>
        <v>FALSE</v>
      </c>
      <c r="AG118" s="35">
        <f t="shared" si="10"/>
        <v>0</v>
      </c>
      <c r="AH118" s="36" t="str">
        <f t="shared" si="11"/>
        <v/>
      </c>
    </row>
    <row r="119" spans="1:34" ht="1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29" t="str">
        <f t="shared" si="12"/>
        <v/>
      </c>
      <c r="Q119" s="30"/>
      <c r="R119" s="31"/>
      <c r="S119" s="68"/>
      <c r="T119" s="40"/>
      <c r="U119" s="38"/>
      <c r="V119" s="74"/>
      <c r="W119" s="34" t="str">
        <f t="shared" si="13"/>
        <v>FALSE</v>
      </c>
      <c r="X119" s="34" t="str">
        <f t="shared" si="9"/>
        <v>FALSE</v>
      </c>
      <c r="Y119" s="35">
        <f t="shared" si="14"/>
        <v>0</v>
      </c>
      <c r="Z119" s="36" t="str">
        <f t="shared" si="15"/>
        <v/>
      </c>
      <c r="AA119" s="6"/>
      <c r="AB119" s="41"/>
      <c r="AC119" s="38"/>
      <c r="AD119" s="38"/>
      <c r="AE119" s="34"/>
      <c r="AF119" s="34" t="str">
        <f t="shared" si="16"/>
        <v>FALSE</v>
      </c>
      <c r="AG119" s="35">
        <f t="shared" si="10"/>
        <v>0</v>
      </c>
      <c r="AH119" s="36" t="str">
        <f t="shared" si="11"/>
        <v/>
      </c>
    </row>
    <row r="120" spans="1:34" ht="1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29" t="str">
        <f t="shared" si="12"/>
        <v/>
      </c>
      <c r="Q120" s="30"/>
      <c r="R120" s="31"/>
      <c r="S120" s="68"/>
      <c r="T120" s="40"/>
      <c r="U120" s="38"/>
      <c r="V120" s="74"/>
      <c r="W120" s="34" t="str">
        <f t="shared" si="13"/>
        <v>FALSE</v>
      </c>
      <c r="X120" s="34" t="str">
        <f t="shared" si="9"/>
        <v>FALSE</v>
      </c>
      <c r="Y120" s="35">
        <f t="shared" si="14"/>
        <v>0</v>
      </c>
      <c r="Z120" s="36" t="str">
        <f t="shared" si="15"/>
        <v/>
      </c>
      <c r="AA120" s="6"/>
      <c r="AB120" s="41"/>
      <c r="AC120" s="38"/>
      <c r="AD120" s="38"/>
      <c r="AE120" s="34"/>
      <c r="AF120" s="34" t="str">
        <f t="shared" si="16"/>
        <v>FALSE</v>
      </c>
      <c r="AG120" s="35">
        <f t="shared" si="10"/>
        <v>0</v>
      </c>
      <c r="AH120" s="36" t="str">
        <f t="shared" si="11"/>
        <v/>
      </c>
    </row>
  </sheetData>
  <mergeCells count="11">
    <mergeCell ref="P6:U6"/>
    <mergeCell ref="X6:AA6"/>
    <mergeCell ref="Q8:Z8"/>
    <mergeCell ref="AB8:AH8"/>
    <mergeCell ref="D1:L2"/>
    <mergeCell ref="X2:AA2"/>
    <mergeCell ref="AC2:AG2"/>
    <mergeCell ref="P3:R3"/>
    <mergeCell ref="T3:U3"/>
    <mergeCell ref="X3:AA3"/>
    <mergeCell ref="AC3:AG3"/>
  </mergeCells>
  <conditionalFormatting sqref="U14:U120">
    <cfRule type="containsBlanks" dxfId="279" priority="1">
      <formula>LEN(TRIM(U14))=0</formula>
    </cfRule>
    <cfRule type="expression" dxfId="278" priority="2">
      <formula>AND(X14&gt;=2,X14&lt;3)</formula>
    </cfRule>
    <cfRule type="expression" dxfId="277" priority="3">
      <formula>X14&gt;3</formula>
    </cfRule>
  </conditionalFormatting>
  <conditionalFormatting sqref="W14:W120">
    <cfRule type="expression" dxfId="276" priority="15">
      <formula>X14="FALSE"</formula>
    </cfRule>
  </conditionalFormatting>
  <conditionalFormatting sqref="X14:X120">
    <cfRule type="expression" dxfId="275" priority="14">
      <formula>X14="FALSE"</formula>
    </cfRule>
    <cfRule type="expression" dxfId="274" priority="16">
      <formula>AND(X14&gt;2,X14&lt;3)</formula>
    </cfRule>
  </conditionalFormatting>
  <conditionalFormatting sqref="X14:Y50 X51:X120">
    <cfRule type="expression" dxfId="273" priority="20">
      <formula>X14&gt;=3</formula>
    </cfRule>
  </conditionalFormatting>
  <conditionalFormatting sqref="Y14:Y50">
    <cfRule type="expression" dxfId="272" priority="19">
      <formula>AND(X14&gt;=2,X14&lt;3)</formula>
    </cfRule>
  </conditionalFormatting>
  <conditionalFormatting sqref="Z14:Z120">
    <cfRule type="cellIs" dxfId="271" priority="17" operator="notBetween">
      <formula>0.8</formula>
      <formula>1.15</formula>
    </cfRule>
  </conditionalFormatting>
  <conditionalFormatting sqref="AC14:AC120">
    <cfRule type="containsBlanks" dxfId="270" priority="4">
      <formula>LEN(TRIM(AC14))=0</formula>
    </cfRule>
    <cfRule type="expression" dxfId="269" priority="5">
      <formula>AND(AF14&gt;=2,AF14&lt;3)</formula>
    </cfRule>
    <cfRule type="expression" dxfId="268" priority="6">
      <formula>AF14&gt;3</formula>
    </cfRule>
  </conditionalFormatting>
  <conditionalFormatting sqref="AE14:AE120">
    <cfRule type="expression" dxfId="267" priority="13">
      <formula>AF14="FALSE"</formula>
    </cfRule>
  </conditionalFormatting>
  <conditionalFormatting sqref="AF14:AF120">
    <cfRule type="expression" dxfId="266" priority="10">
      <formula>AF14="FALSE"</formula>
    </cfRule>
    <cfRule type="expression" dxfId="265" priority="11">
      <formula>AND(AF14&gt;2,AF14&lt;3)</formula>
    </cfRule>
    <cfRule type="expression" dxfId="264" priority="12">
      <formula>AF14&gt;=3</formula>
    </cfRule>
  </conditionalFormatting>
  <conditionalFormatting sqref="AG14:AG120">
    <cfRule type="expression" dxfId="263" priority="7">
      <formula>AF14=0</formula>
    </cfRule>
    <cfRule type="expression" dxfId="262" priority="8">
      <formula>AND(AF14&gt;=2,AF14&lt;3)</formula>
    </cfRule>
    <cfRule type="expression" dxfId="261" priority="9">
      <formula>AG14&gt;=3</formula>
    </cfRule>
  </conditionalFormatting>
  <conditionalFormatting sqref="AH14:AH120">
    <cfRule type="cellIs" dxfId="260" priority="18" operator="notBetween">
      <formula>0.8</formula>
      <formula>1.15</formula>
    </cfRule>
  </conditionalFormatting>
  <pageMargins left="0.4" right="0.4" top="0.4" bottom="0.4" header="0" footer="0"/>
  <pageSetup scale="10" fitToHeight="0" orientation="landscape" horizontalDpi="4294967292" verticalDpi="4294967292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9805E-4B77-4435-946A-26115133186E}">
  <sheetPr>
    <tabColor rgb="FFFFFFFF"/>
    <pageSetUpPr fitToPage="1"/>
  </sheetPr>
  <dimension ref="A1:AH120"/>
  <sheetViews>
    <sheetView showGridLines="0" topLeftCell="A68" zoomScale="70" zoomScaleNormal="70" workbookViewId="0">
      <selection activeCell="Q55" sqref="Q55:R55"/>
    </sheetView>
  </sheetViews>
  <sheetFormatPr defaultColWidth="11" defaultRowHeight="13.5" customHeight="1"/>
  <cols>
    <col min="1" max="2" width="3.125" style="12" customWidth="1"/>
    <col min="3" max="8" width="11" style="12"/>
    <col min="9" max="9" width="9" style="12" customWidth="1"/>
    <col min="10" max="13" width="11" style="12"/>
    <col min="14" max="15" width="4" style="12" customWidth="1"/>
    <col min="16" max="16" width="6.125" style="43" customWidth="1"/>
    <col min="17" max="17" width="13" style="12" customWidth="1"/>
    <col min="18" max="18" width="12.875" style="44" customWidth="1"/>
    <col min="19" max="19" width="3" style="44" customWidth="1"/>
    <col min="20" max="20" width="12" style="45" customWidth="1"/>
    <col min="21" max="21" width="14.875" style="8" customWidth="1"/>
    <col min="22" max="22" width="2.375" style="12" customWidth="1"/>
    <col min="23" max="23" width="12.875" style="6" customWidth="1"/>
    <col min="24" max="24" width="11.5" style="6" customWidth="1"/>
    <col min="25" max="25" width="13" style="12" customWidth="1"/>
    <col min="26" max="26" width="11.625" style="12" customWidth="1"/>
    <col min="27" max="27" width="9.125" style="12" customWidth="1"/>
    <col min="28" max="28" width="13.375" style="8" customWidth="1"/>
    <col min="29" max="29" width="13.75" style="12" customWidth="1"/>
    <col min="30" max="30" width="2" style="12" customWidth="1"/>
    <col min="31" max="31" width="12.75" style="12" customWidth="1"/>
    <col min="32" max="32" width="12.375" style="12" customWidth="1"/>
    <col min="33" max="33" width="13.125" style="12" customWidth="1"/>
    <col min="34" max="34" width="15.25" style="12" customWidth="1"/>
    <col min="35" max="16384" width="11" style="12"/>
  </cols>
  <sheetData>
    <row r="1" spans="1:34" s="7" customFormat="1" ht="31.5" customHeight="1">
      <c r="A1" s="1"/>
      <c r="B1" s="1"/>
      <c r="C1" s="1"/>
      <c r="D1" s="162" t="s">
        <v>16</v>
      </c>
      <c r="E1" s="162"/>
      <c r="F1" s="162"/>
      <c r="G1" s="162"/>
      <c r="H1" s="162"/>
      <c r="I1" s="162"/>
      <c r="J1" s="162"/>
      <c r="K1" s="162"/>
      <c r="L1" s="162"/>
      <c r="M1" s="1"/>
      <c r="N1" s="1"/>
      <c r="O1" s="1"/>
      <c r="P1" s="2"/>
      <c r="Q1" s="3" t="s">
        <v>74</v>
      </c>
      <c r="R1" s="4"/>
      <c r="S1" s="4"/>
      <c r="T1" s="4"/>
      <c r="U1" s="5"/>
      <c r="V1" s="6"/>
      <c r="W1" s="6"/>
      <c r="X1" s="6"/>
      <c r="Y1" s="5"/>
      <c r="Z1" s="5"/>
      <c r="AA1" s="5"/>
      <c r="AB1" s="5"/>
      <c r="AC1" s="5"/>
      <c r="AD1" s="5"/>
      <c r="AE1" s="5"/>
      <c r="AF1" s="5"/>
      <c r="AG1" s="5"/>
      <c r="AH1"/>
    </row>
    <row r="2" spans="1:34" ht="15.75" customHeight="1">
      <c r="A2" s="8"/>
      <c r="B2" s="8"/>
      <c r="C2" s="8"/>
      <c r="D2" s="162"/>
      <c r="E2" s="162"/>
      <c r="F2" s="162"/>
      <c r="G2" s="162"/>
      <c r="H2" s="162"/>
      <c r="I2" s="162"/>
      <c r="J2" s="162"/>
      <c r="K2" s="162"/>
      <c r="L2" s="162"/>
      <c r="M2" s="8"/>
      <c r="N2" s="8"/>
      <c r="O2" s="8"/>
      <c r="P2" s="9"/>
      <c r="Q2" s="10" t="s">
        <v>75</v>
      </c>
      <c r="R2" s="11"/>
      <c r="S2" s="11"/>
      <c r="T2" s="10" t="s">
        <v>76</v>
      </c>
      <c r="X2" s="163" t="s">
        <v>77</v>
      </c>
      <c r="Y2" s="163"/>
      <c r="Z2" s="163"/>
      <c r="AA2" s="163"/>
      <c r="AC2" s="163" t="s">
        <v>78</v>
      </c>
      <c r="AD2" s="163"/>
      <c r="AE2" s="163"/>
      <c r="AF2" s="163"/>
      <c r="AG2" s="163"/>
      <c r="AH2"/>
    </row>
    <row r="3" spans="1:34" ht="26.2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164">
        <f>MIN(R14:R16)</f>
        <v>45677</v>
      </c>
      <c r="Q3" s="165"/>
      <c r="R3" s="166"/>
      <c r="S3" s="65"/>
      <c r="T3" s="167">
        <f>MAX(R14:R116)</f>
        <v>46065</v>
      </c>
      <c r="U3" s="168"/>
      <c r="X3" s="164" t="s">
        <v>79</v>
      </c>
      <c r="Y3" s="165"/>
      <c r="Z3" s="165"/>
      <c r="AA3" s="168"/>
      <c r="AC3" s="169" t="s">
        <v>80</v>
      </c>
      <c r="AD3" s="170"/>
      <c r="AE3" s="170"/>
      <c r="AF3" s="170"/>
      <c r="AG3" s="171"/>
      <c r="AH3"/>
    </row>
    <row r="4" spans="1:34" ht="15.7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13"/>
      <c r="Q4" s="14"/>
      <c r="R4" s="15">
        <f>MIN(P14:P120)</f>
        <v>1</v>
      </c>
      <c r="S4" s="15"/>
      <c r="T4" s="16">
        <f>MAX(P14:P120)</f>
        <v>42</v>
      </c>
      <c r="U4" s="14"/>
      <c r="V4" s="6"/>
      <c r="X4" s="14"/>
      <c r="Y4" s="14"/>
      <c r="Z4" s="14"/>
      <c r="AA4" s="14"/>
      <c r="AB4"/>
      <c r="AC4" s="14"/>
      <c r="AD4" s="14"/>
      <c r="AE4" s="14"/>
      <c r="AF4" s="14"/>
      <c r="AH4" s="8"/>
    </row>
    <row r="5" spans="1:34" ht="20.2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17"/>
      <c r="Q5" s="17" t="s">
        <v>81</v>
      </c>
      <c r="R5" s="11"/>
      <c r="S5" s="11"/>
      <c r="T5" s="18"/>
      <c r="U5" s="17"/>
      <c r="V5" s="6"/>
      <c r="X5" s="17" t="s">
        <v>82</v>
      </c>
      <c r="Y5" s="17"/>
      <c r="Z5" s="17"/>
      <c r="AA5" s="14"/>
      <c r="AB5"/>
      <c r="AC5" s="10"/>
      <c r="AD5" s="10"/>
    </row>
    <row r="6" spans="1:34" ht="25.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158" t="s">
        <v>83</v>
      </c>
      <c r="Q6" s="158"/>
      <c r="R6" s="158"/>
      <c r="S6" s="158"/>
      <c r="T6" s="158"/>
      <c r="U6" s="158"/>
      <c r="V6" s="6"/>
      <c r="X6" s="159"/>
      <c r="Y6" s="159"/>
      <c r="Z6" s="159"/>
      <c r="AA6" s="159"/>
      <c r="AB6"/>
      <c r="AC6" s="6"/>
      <c r="AD6" s="6"/>
    </row>
    <row r="7" spans="1:34" ht="23.2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19"/>
      <c r="Q7" s="20" t="s">
        <v>84</v>
      </c>
      <c r="R7" s="21"/>
      <c r="S7" s="21"/>
      <c r="T7" s="22"/>
      <c r="V7" s="8"/>
      <c r="Y7" s="8"/>
      <c r="Z7" s="8"/>
      <c r="AA7" s="8"/>
      <c r="AC7" s="8"/>
      <c r="AD7" s="8"/>
      <c r="AE7" s="8"/>
      <c r="AF7" s="8"/>
      <c r="AG7" s="8"/>
      <c r="AH7" s="8"/>
    </row>
    <row r="8" spans="1:34" ht="31.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19"/>
      <c r="Q8" s="160" t="s">
        <v>85</v>
      </c>
      <c r="R8" s="160"/>
      <c r="S8" s="160"/>
      <c r="T8" s="160"/>
      <c r="U8" s="160"/>
      <c r="V8" s="160"/>
      <c r="W8" s="160"/>
      <c r="X8" s="160"/>
      <c r="Y8" s="160"/>
      <c r="Z8" s="160"/>
      <c r="AA8" s="6"/>
      <c r="AB8" s="161" t="s">
        <v>86</v>
      </c>
      <c r="AC8" s="161"/>
      <c r="AD8" s="161"/>
      <c r="AE8" s="161"/>
      <c r="AF8" s="161"/>
      <c r="AG8" s="161"/>
      <c r="AH8" s="161"/>
    </row>
    <row r="9" spans="1:34" customFormat="1" ht="11.25" customHeight="1"/>
    <row r="10" spans="1:34" s="52" customFormat="1" ht="27.75" customHeight="1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Q10" s="73" t="s">
        <v>87</v>
      </c>
      <c r="R10" s="73" t="s">
        <v>88</v>
      </c>
      <c r="S10" s="66"/>
      <c r="T10" s="49" t="s">
        <v>89</v>
      </c>
      <c r="U10" s="46" t="s">
        <v>90</v>
      </c>
      <c r="V10" s="50"/>
      <c r="W10" s="47" t="s">
        <v>91</v>
      </c>
      <c r="X10" s="61" t="s">
        <v>92</v>
      </c>
      <c r="Y10" s="61" t="s">
        <v>93</v>
      </c>
      <c r="Z10" s="48" t="s">
        <v>94</v>
      </c>
      <c r="AA10" s="53"/>
      <c r="AB10" s="49" t="s">
        <v>95</v>
      </c>
      <c r="AC10" s="46" t="s">
        <v>90</v>
      </c>
      <c r="AE10" s="47" t="s">
        <v>91</v>
      </c>
      <c r="AF10" s="61" t="s">
        <v>92</v>
      </c>
      <c r="AG10" s="61" t="s">
        <v>93</v>
      </c>
      <c r="AH10" s="48" t="s">
        <v>94</v>
      </c>
    </row>
    <row r="11" spans="1:34" s="55" customFormat="1" ht="27.75" customHeight="1" thickBot="1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Q11" s="64">
        <f>IF(U11="","",1.15)</f>
        <v>1.1499999999999999</v>
      </c>
      <c r="R11" s="64">
        <f>IF(U11="","",0.8)</f>
        <v>0.8</v>
      </c>
      <c r="S11" s="67"/>
      <c r="T11" s="62">
        <f>_xlfn.STDEV.P($U$14:$U$120)/$U$11</f>
        <v>8.83276145001613E-2</v>
      </c>
      <c r="U11" s="63">
        <f>AVERAGE($W$14:$W$120)</f>
        <v>29.72534523809523</v>
      </c>
      <c r="V11" s="56"/>
      <c r="W11" s="60">
        <f>$U$11-(3*_xlfn.STDEV.S($W$14:$W$120))</f>
        <v>21.753160016481409</v>
      </c>
      <c r="X11" s="59">
        <f>$U$11-(2*_xlfn.STDEV.S($W$14:$W$120))</f>
        <v>24.410555090352684</v>
      </c>
      <c r="Y11" s="59">
        <f>$U$11+(2*_xlfn.STDEV.S($W$14:$W$120))</f>
        <v>35.040135385837772</v>
      </c>
      <c r="Z11" s="58">
        <f>$U$11+(3*_xlfn.STDEV.S($W$14:$W$120))</f>
        <v>37.69753045970905</v>
      </c>
      <c r="AA11" s="57"/>
      <c r="AB11" s="62">
        <f>_xlfn.STDEV.P($AC$14:$AC$120)/$AC$11</f>
        <v>0.10946293030824823</v>
      </c>
      <c r="AC11" s="63">
        <f>AVERAGE($AC$14:$AC$120)</f>
        <v>1.6567452380952379</v>
      </c>
      <c r="AE11" s="60">
        <f>$AC$11-(3*_xlfn.STDEV.S($AE$14:$AE$120))</f>
        <v>1.1060938066639894</v>
      </c>
      <c r="AF11" s="59">
        <f>$AC$11-(2*_xlfn.STDEV.S($AE$14:$AE$120))</f>
        <v>1.2896442838077389</v>
      </c>
      <c r="AG11" s="59">
        <f>$AC$11+(2*_xlfn.STDEV.S($AE$14:$AE$120))</f>
        <v>2.0238461923827371</v>
      </c>
      <c r="AH11" s="58">
        <f>$AC$11+(3*_xlfn.STDEV.S($AE$14:$AE$120))</f>
        <v>2.2073966695264864</v>
      </c>
    </row>
    <row r="12" spans="1:34" ht="11.2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19"/>
      <c r="Q12" s="20"/>
      <c r="R12" s="21"/>
      <c r="S12" s="21"/>
      <c r="T12" s="22"/>
      <c r="V12" s="8"/>
      <c r="Y12" s="8"/>
      <c r="Z12" s="8"/>
      <c r="AA12" s="6"/>
      <c r="AC12" s="8"/>
      <c r="AD12" s="8"/>
      <c r="AE12" s="8"/>
      <c r="AF12" s="8"/>
      <c r="AG12" s="8"/>
      <c r="AH12" s="8"/>
    </row>
    <row r="13" spans="1:34" ht="4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70" t="s">
        <v>96</v>
      </c>
      <c r="Q13" s="71" t="s">
        <v>97</v>
      </c>
      <c r="R13" s="71" t="s">
        <v>98</v>
      </c>
      <c r="S13" s="69"/>
      <c r="T13" s="72" t="s">
        <v>99</v>
      </c>
      <c r="U13" s="71" t="s">
        <v>100</v>
      </c>
      <c r="V13" s="69"/>
      <c r="W13" s="75" t="s">
        <v>101</v>
      </c>
      <c r="X13" s="75" t="s">
        <v>102</v>
      </c>
      <c r="Y13" s="76" t="s">
        <v>103</v>
      </c>
      <c r="Z13" s="77" t="s">
        <v>104</v>
      </c>
      <c r="AA13" s="6"/>
      <c r="AB13" s="26" t="s">
        <v>99</v>
      </c>
      <c r="AC13" s="27" t="s">
        <v>100</v>
      </c>
      <c r="AD13" s="28"/>
      <c r="AE13" s="23" t="s">
        <v>101</v>
      </c>
      <c r="AF13" s="23" t="s">
        <v>102</v>
      </c>
      <c r="AG13" s="24" t="s">
        <v>105</v>
      </c>
      <c r="AH13" s="25" t="s">
        <v>104</v>
      </c>
    </row>
    <row r="14" spans="1:34" ht="1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29">
        <v>1</v>
      </c>
      <c r="Q14" s="30" t="s">
        <v>106</v>
      </c>
      <c r="R14" s="31">
        <v>45677</v>
      </c>
      <c r="S14" s="68"/>
      <c r="T14" s="32">
        <v>29.64</v>
      </c>
      <c r="U14" s="38">
        <v>33.875</v>
      </c>
      <c r="V14" s="74"/>
      <c r="W14" s="34">
        <f>IF(X14&gt;3,"FALSE",U14)</f>
        <v>33.875</v>
      </c>
      <c r="X14" s="34">
        <f t="shared" ref="X14:X77" si="0">IF(U14="","FALSE",ABS((U14-AVERAGE($U$14:$U$120))/_xlfn.STDEV.S($U$14:$U$104)))</f>
        <v>1.5615498059381834</v>
      </c>
      <c r="Y14" s="35" t="str">
        <f>IF(OR(U14&gt;$Y$11,U14&lt;$X$11),U14,"")</f>
        <v/>
      </c>
      <c r="Z14" s="36">
        <f>IF(U14="","",U14/T14)</f>
        <v>1.1428812415654521</v>
      </c>
      <c r="AA14" s="6"/>
      <c r="AB14" s="37">
        <v>1.659</v>
      </c>
      <c r="AC14" s="38">
        <v>1.9039999999999999</v>
      </c>
      <c r="AD14" s="38"/>
      <c r="AE14" s="34">
        <f>IF(AF14&gt;3,"FALSE",AC14)</f>
        <v>1.9039999999999999</v>
      </c>
      <c r="AF14" s="34">
        <f>IF(AC14="","FALSE",ABS((AC14-AVERAGE($AC$14:$AC$120))/_xlfn.STDEV.S($AC$14:$AC$104)))</f>
        <v>1.3470668436951099</v>
      </c>
      <c r="AG14" s="35" t="str">
        <f t="shared" ref="AG14:AG77" si="1">IF(OR(AC14&gt;$AG$11,AC14&lt;$AF$11),AC14,"")</f>
        <v/>
      </c>
      <c r="AH14" s="36">
        <f t="shared" ref="AH14:AH77" si="2">IF(AC14="","",AC14/AB14)</f>
        <v>1.1476793248945147</v>
      </c>
    </row>
    <row r="15" spans="1:34" ht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29">
        <f t="shared" ref="P15:P78" si="3">IF(R15&lt;&gt;"",P14+1,"")</f>
        <v>2</v>
      </c>
      <c r="Q15" s="30" t="s">
        <v>106</v>
      </c>
      <c r="R15" s="31">
        <v>45677</v>
      </c>
      <c r="S15" s="68"/>
      <c r="T15" s="32">
        <v>29.64</v>
      </c>
      <c r="U15" s="38">
        <v>31.97</v>
      </c>
      <c r="V15" s="74"/>
      <c r="W15" s="34">
        <f t="shared" ref="W15:W78" si="4">IF(X15&gt;3,"FALSE",U15)</f>
        <v>31.97</v>
      </c>
      <c r="X15" s="34">
        <f t="shared" si="0"/>
        <v>0.8446823673210071</v>
      </c>
      <c r="Y15" s="35" t="str">
        <f t="shared" ref="Y15:Y78" si="5">IF(OR(U15&gt;$Y$11,U15&lt;$X$11),U15,"")</f>
        <v/>
      </c>
      <c r="Z15" s="36">
        <f t="shared" ref="Z15:Z78" si="6">IF(U15="","",U15/T15)</f>
        <v>1.0786099865047234</v>
      </c>
      <c r="AA15" s="6"/>
      <c r="AB15" s="37">
        <v>1.659</v>
      </c>
      <c r="AC15" s="38">
        <v>1.6359999999999999</v>
      </c>
      <c r="AD15" s="38"/>
      <c r="AE15" s="34">
        <f t="shared" ref="AE15:AE61" si="7">IF(AF15&gt;3,"FALSE",AC15)</f>
        <v>1.6359999999999999</v>
      </c>
      <c r="AF15" s="34">
        <f t="shared" ref="AF15:AF78" si="8">IF(AC15="","FALSE",ABS((AC15-AVERAGE($AC$14:$AC$120))/_xlfn.STDEV.S($AC$14:$AC$104)))</f>
        <v>0.11302197857536012</v>
      </c>
      <c r="AG15" s="35" t="str">
        <f t="shared" si="1"/>
        <v/>
      </c>
      <c r="AH15" s="36">
        <f t="shared" si="2"/>
        <v>0.98613622664255562</v>
      </c>
    </row>
    <row r="16" spans="1:34" ht="1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29">
        <f t="shared" si="3"/>
        <v>3</v>
      </c>
      <c r="Q16" s="30" t="s">
        <v>106</v>
      </c>
      <c r="R16" s="31">
        <v>45677</v>
      </c>
      <c r="S16" s="68"/>
      <c r="T16" s="32">
        <v>29.64</v>
      </c>
      <c r="U16" s="38">
        <v>28.501000000000001</v>
      </c>
      <c r="V16" s="74"/>
      <c r="W16" s="34">
        <f t="shared" si="4"/>
        <v>28.501000000000001</v>
      </c>
      <c r="X16" s="34">
        <f t="shared" si="0"/>
        <v>0.46073135685903549</v>
      </c>
      <c r="Y16" s="35" t="str">
        <f t="shared" si="5"/>
        <v/>
      </c>
      <c r="Z16" s="36">
        <f t="shared" si="6"/>
        <v>0.96157219973009445</v>
      </c>
      <c r="AA16" s="6"/>
      <c r="AB16" s="37">
        <v>1.659</v>
      </c>
      <c r="AC16" s="38">
        <v>1.7270000000000001</v>
      </c>
      <c r="AD16" s="38"/>
      <c r="AE16" s="34">
        <f t="shared" si="7"/>
        <v>1.7270000000000001</v>
      </c>
      <c r="AF16" s="34">
        <f t="shared" si="8"/>
        <v>0.38275444988215118</v>
      </c>
      <c r="AG16" s="35" t="str">
        <f t="shared" si="1"/>
        <v/>
      </c>
      <c r="AH16" s="36">
        <f t="shared" si="2"/>
        <v>1.0409885473176612</v>
      </c>
    </row>
    <row r="17" spans="1:34" ht="1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29">
        <f t="shared" si="3"/>
        <v>4</v>
      </c>
      <c r="Q17" s="30" t="s">
        <v>106</v>
      </c>
      <c r="R17" s="31">
        <v>45677</v>
      </c>
      <c r="S17" s="68"/>
      <c r="T17" s="32">
        <v>29.64</v>
      </c>
      <c r="U17" s="38">
        <v>32.298999999999999</v>
      </c>
      <c r="V17" s="74"/>
      <c r="W17" s="34">
        <f t="shared" si="4"/>
        <v>32.298999999999999</v>
      </c>
      <c r="X17" s="34">
        <f t="shared" si="0"/>
        <v>0.96848781997457734</v>
      </c>
      <c r="Y17" s="35" t="str">
        <f t="shared" si="5"/>
        <v/>
      </c>
      <c r="Z17" s="36">
        <f t="shared" si="6"/>
        <v>1.0897098515519568</v>
      </c>
      <c r="AA17" s="6"/>
      <c r="AB17" s="37">
        <v>1.659</v>
      </c>
      <c r="AC17" s="38">
        <v>2.012</v>
      </c>
      <c r="AD17" s="38"/>
      <c r="AE17" s="34">
        <f t="shared" si="7"/>
        <v>2.012</v>
      </c>
      <c r="AF17" s="34">
        <f t="shared" si="8"/>
        <v>1.9354608466996279</v>
      </c>
      <c r="AG17" s="35" t="str">
        <f t="shared" si="1"/>
        <v/>
      </c>
      <c r="AH17" s="36">
        <f t="shared" si="2"/>
        <v>1.2127787823990355</v>
      </c>
    </row>
    <row r="18" spans="1:34" ht="1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29">
        <f t="shared" si="3"/>
        <v>5</v>
      </c>
      <c r="Q18" s="30" t="s">
        <v>106</v>
      </c>
      <c r="R18" s="31">
        <v>45677</v>
      </c>
      <c r="S18" s="68"/>
      <c r="T18" s="32">
        <v>29.64</v>
      </c>
      <c r="U18" s="38">
        <v>34.012999999999998</v>
      </c>
      <c r="V18" s="74"/>
      <c r="W18" s="34">
        <f t="shared" si="4"/>
        <v>34.012999999999998</v>
      </c>
      <c r="X18" s="34">
        <f t="shared" si="0"/>
        <v>1.613480360546671</v>
      </c>
      <c r="Y18" s="35" t="str">
        <f t="shared" si="5"/>
        <v/>
      </c>
      <c r="Z18" s="36">
        <f t="shared" si="6"/>
        <v>1.1475371120107962</v>
      </c>
      <c r="AA18" s="6"/>
      <c r="AB18" s="37">
        <v>1.659</v>
      </c>
      <c r="AC18" s="38">
        <v>1.754</v>
      </c>
      <c r="AD18" s="38"/>
      <c r="AE18" s="34">
        <f t="shared" si="7"/>
        <v>1.754</v>
      </c>
      <c r="AF18" s="34">
        <f t="shared" si="8"/>
        <v>0.5298529506332802</v>
      </c>
      <c r="AG18" s="35" t="str">
        <f t="shared" si="1"/>
        <v/>
      </c>
      <c r="AH18" s="36">
        <f t="shared" si="2"/>
        <v>1.0572634116937913</v>
      </c>
    </row>
    <row r="19" spans="1:34" ht="1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29">
        <f t="shared" si="3"/>
        <v>6</v>
      </c>
      <c r="Q19" s="30" t="s">
        <v>106</v>
      </c>
      <c r="R19" s="31">
        <v>45678</v>
      </c>
      <c r="S19" s="68"/>
      <c r="T19" s="32">
        <v>29.64</v>
      </c>
      <c r="U19" s="38">
        <v>34.796999999999997</v>
      </c>
      <c r="V19" s="74"/>
      <c r="W19" s="34">
        <f t="shared" si="4"/>
        <v>34.796999999999997</v>
      </c>
      <c r="X19" s="34">
        <f t="shared" si="0"/>
        <v>1.9085061200615607</v>
      </c>
      <c r="Y19" s="35" t="str">
        <f t="shared" si="5"/>
        <v/>
      </c>
      <c r="Z19" s="36">
        <f t="shared" si="6"/>
        <v>1.173987854251012</v>
      </c>
      <c r="AA19" s="6"/>
      <c r="AB19" s="37">
        <v>1.659</v>
      </c>
      <c r="AC19" s="38">
        <v>1.4079999999999999</v>
      </c>
      <c r="AD19" s="38"/>
      <c r="AE19" s="34">
        <f t="shared" si="7"/>
        <v>1.4079999999999999</v>
      </c>
      <c r="AF19" s="34">
        <f t="shared" si="8"/>
        <v>1.3551870960293417</v>
      </c>
      <c r="AG19" s="35" t="str">
        <f t="shared" si="1"/>
        <v/>
      </c>
      <c r="AH19" s="36">
        <f t="shared" si="2"/>
        <v>0.84870403857745624</v>
      </c>
    </row>
    <row r="20" spans="1:34" ht="1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29">
        <f t="shared" si="3"/>
        <v>7</v>
      </c>
      <c r="Q20" s="30" t="s">
        <v>106</v>
      </c>
      <c r="R20" s="31">
        <v>45678</v>
      </c>
      <c r="S20" s="68"/>
      <c r="T20" s="32">
        <v>29.64</v>
      </c>
      <c r="U20" s="38">
        <v>30.616</v>
      </c>
      <c r="V20" s="74"/>
      <c r="W20" s="34">
        <f t="shared" si="4"/>
        <v>30.616</v>
      </c>
      <c r="X20" s="34">
        <f t="shared" si="0"/>
        <v>0.33516083877105668</v>
      </c>
      <c r="Y20" s="35" t="str">
        <f t="shared" si="5"/>
        <v/>
      </c>
      <c r="Z20" s="36">
        <f t="shared" si="6"/>
        <v>1.0329284750337382</v>
      </c>
      <c r="AA20" s="6"/>
      <c r="AB20" s="37">
        <v>1.659</v>
      </c>
      <c r="AC20" s="38">
        <v>1.3220000000000001</v>
      </c>
      <c r="AD20" s="38"/>
      <c r="AE20" s="34">
        <f t="shared" si="7"/>
        <v>1.3220000000000001</v>
      </c>
      <c r="AF20" s="34">
        <f t="shared" si="8"/>
        <v>1.8237230613847903</v>
      </c>
      <c r="AG20" s="35" t="str">
        <f t="shared" si="1"/>
        <v/>
      </c>
      <c r="AH20" s="36">
        <f t="shared" si="2"/>
        <v>0.79686558167570831</v>
      </c>
    </row>
    <row r="21" spans="1:34" ht="1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29">
        <f t="shared" si="3"/>
        <v>8</v>
      </c>
      <c r="Q21" s="30" t="s">
        <v>106</v>
      </c>
      <c r="R21" s="31">
        <v>45678</v>
      </c>
      <c r="S21" s="68"/>
      <c r="T21" s="32">
        <v>29.64</v>
      </c>
      <c r="U21" s="38">
        <v>31.036000000000001</v>
      </c>
      <c r="V21" s="74"/>
      <c r="W21" s="34">
        <f t="shared" si="4"/>
        <v>31.036000000000001</v>
      </c>
      <c r="X21" s="34">
        <f t="shared" si="0"/>
        <v>0.4932103527968914</v>
      </c>
      <c r="Y21" s="35" t="str">
        <f t="shared" si="5"/>
        <v/>
      </c>
      <c r="Z21" s="36">
        <f t="shared" si="6"/>
        <v>1.0470985155195682</v>
      </c>
      <c r="AA21" s="6"/>
      <c r="AB21" s="37">
        <v>1.659</v>
      </c>
      <c r="AC21" s="38">
        <v>1.5449999999999999</v>
      </c>
      <c r="AD21" s="38"/>
      <c r="AE21" s="34">
        <f t="shared" si="7"/>
        <v>1.5449999999999999</v>
      </c>
      <c r="AF21" s="34">
        <f t="shared" si="8"/>
        <v>0.60879840703287025</v>
      </c>
      <c r="AG21" s="35" t="str">
        <f t="shared" si="1"/>
        <v/>
      </c>
      <c r="AH21" s="36">
        <f t="shared" si="2"/>
        <v>0.93128390596745025</v>
      </c>
    </row>
    <row r="22" spans="1:34" ht="1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29">
        <f t="shared" si="3"/>
        <v>9</v>
      </c>
      <c r="Q22" s="30" t="s">
        <v>106</v>
      </c>
      <c r="R22" s="31">
        <v>45678</v>
      </c>
      <c r="S22" s="68"/>
      <c r="T22" s="32">
        <v>29.64</v>
      </c>
      <c r="U22" s="38">
        <v>29.88</v>
      </c>
      <c r="V22" s="74"/>
      <c r="W22" s="34">
        <f t="shared" si="4"/>
        <v>29.88</v>
      </c>
      <c r="X22" s="34">
        <f t="shared" si="0"/>
        <v>5.8197880859118728E-2</v>
      </c>
      <c r="Y22" s="35" t="str">
        <f t="shared" si="5"/>
        <v/>
      </c>
      <c r="Z22" s="36">
        <f t="shared" si="6"/>
        <v>1.0080971659919027</v>
      </c>
      <c r="AA22" s="6"/>
      <c r="AB22" s="37">
        <v>1.659</v>
      </c>
      <c r="AC22" s="38">
        <v>1.573</v>
      </c>
      <c r="AD22" s="38"/>
      <c r="AE22" s="34">
        <f t="shared" si="7"/>
        <v>1.573</v>
      </c>
      <c r="AF22" s="34">
        <f t="shared" si="8"/>
        <v>0.4562518136613285</v>
      </c>
      <c r="AG22" s="35" t="str">
        <f t="shared" si="1"/>
        <v/>
      </c>
      <c r="AH22" s="36">
        <f t="shared" si="2"/>
        <v>0.94816154309825196</v>
      </c>
    </row>
    <row r="23" spans="1:34" ht="1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29">
        <f t="shared" si="3"/>
        <v>10</v>
      </c>
      <c r="Q23" s="30" t="s">
        <v>106</v>
      </c>
      <c r="R23" s="31">
        <v>45678</v>
      </c>
      <c r="S23" s="68"/>
      <c r="T23" s="32">
        <v>29.64</v>
      </c>
      <c r="U23" s="38">
        <v>29.928000000000001</v>
      </c>
      <c r="V23" s="74"/>
      <c r="W23" s="34">
        <f t="shared" si="4"/>
        <v>29.928000000000001</v>
      </c>
      <c r="X23" s="34">
        <f t="shared" si="0"/>
        <v>7.6260682462071877E-2</v>
      </c>
      <c r="Y23" s="35" t="str">
        <f t="shared" si="5"/>
        <v/>
      </c>
      <c r="Z23" s="36">
        <f t="shared" si="6"/>
        <v>1.0097165991902834</v>
      </c>
      <c r="AA23" s="6"/>
      <c r="AB23" s="37">
        <v>1.659</v>
      </c>
      <c r="AC23" s="38">
        <v>1.5720000000000001</v>
      </c>
      <c r="AD23" s="38"/>
      <c r="AE23" s="34">
        <f t="shared" si="7"/>
        <v>1.5720000000000001</v>
      </c>
      <c r="AF23" s="34">
        <f t="shared" si="8"/>
        <v>0.46169990628174007</v>
      </c>
      <c r="AG23" s="35" t="str">
        <f t="shared" si="1"/>
        <v/>
      </c>
      <c r="AH23" s="36">
        <f t="shared" si="2"/>
        <v>0.94755877034358049</v>
      </c>
    </row>
    <row r="24" spans="1:34" ht="1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29">
        <f t="shared" si="3"/>
        <v>11</v>
      </c>
      <c r="Q24" s="30" t="s">
        <v>106</v>
      </c>
      <c r="R24" s="31">
        <v>45679</v>
      </c>
      <c r="S24" s="68"/>
      <c r="T24" s="32">
        <v>29.64</v>
      </c>
      <c r="U24" s="38">
        <v>34.712000000000003</v>
      </c>
      <c r="V24" s="74"/>
      <c r="W24" s="34">
        <f t="shared" si="4"/>
        <v>34.712000000000003</v>
      </c>
      <c r="X24" s="34">
        <f t="shared" si="0"/>
        <v>1.876519908889668</v>
      </c>
      <c r="Y24" s="35" t="str">
        <f t="shared" si="5"/>
        <v/>
      </c>
      <c r="Z24" s="36">
        <f t="shared" si="6"/>
        <v>1.1711201079622133</v>
      </c>
      <c r="AA24" s="6"/>
      <c r="AB24" s="37">
        <v>1.659</v>
      </c>
      <c r="AC24" s="38">
        <v>1.7729999999999999</v>
      </c>
      <c r="AD24" s="38"/>
      <c r="AE24" s="34">
        <f t="shared" si="7"/>
        <v>1.7729999999999999</v>
      </c>
      <c r="AF24" s="34">
        <f t="shared" si="8"/>
        <v>0.63336671042111148</v>
      </c>
      <c r="AG24" s="35" t="str">
        <f t="shared" si="1"/>
        <v/>
      </c>
      <c r="AH24" s="36">
        <f t="shared" si="2"/>
        <v>1.0687160940325497</v>
      </c>
    </row>
    <row r="25" spans="1:34" ht="1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29">
        <f t="shared" si="3"/>
        <v>12</v>
      </c>
      <c r="Q25" s="30" t="s">
        <v>106</v>
      </c>
      <c r="R25" s="31">
        <v>45679</v>
      </c>
      <c r="S25" s="68"/>
      <c r="T25" s="32">
        <v>29.64</v>
      </c>
      <c r="U25" s="38">
        <v>28.846</v>
      </c>
      <c r="V25" s="74"/>
      <c r="W25" s="34">
        <f t="shared" si="4"/>
        <v>28.846</v>
      </c>
      <c r="X25" s="34">
        <f t="shared" si="0"/>
        <v>0.33090497033781513</v>
      </c>
      <c r="Y25" s="35" t="str">
        <f t="shared" si="5"/>
        <v/>
      </c>
      <c r="Z25" s="36">
        <f t="shared" si="6"/>
        <v>0.97321187584345481</v>
      </c>
      <c r="AA25" s="6"/>
      <c r="AB25" s="37">
        <v>1.659</v>
      </c>
      <c r="AC25" s="38">
        <v>1.8240000000000001</v>
      </c>
      <c r="AD25" s="38"/>
      <c r="AE25" s="34">
        <f t="shared" si="7"/>
        <v>1.8240000000000001</v>
      </c>
      <c r="AF25" s="34">
        <f t="shared" si="8"/>
        <v>0.91121943406213457</v>
      </c>
      <c r="AG25" s="35" t="str">
        <f t="shared" si="1"/>
        <v/>
      </c>
      <c r="AH25" s="36">
        <f t="shared" si="2"/>
        <v>1.0994575045207957</v>
      </c>
    </row>
    <row r="26" spans="1:34" ht="1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29">
        <f t="shared" si="3"/>
        <v>13</v>
      </c>
      <c r="Q26" s="30" t="s">
        <v>106</v>
      </c>
      <c r="R26" s="31">
        <v>45679</v>
      </c>
      <c r="S26" s="68"/>
      <c r="T26" s="32">
        <v>29.64</v>
      </c>
      <c r="U26" s="38">
        <v>29.785</v>
      </c>
      <c r="V26" s="74"/>
      <c r="W26" s="34">
        <f t="shared" si="4"/>
        <v>29.785</v>
      </c>
      <c r="X26" s="34">
        <f t="shared" si="0"/>
        <v>2.2448586019942408E-2</v>
      </c>
      <c r="Y26" s="35" t="str">
        <f t="shared" si="5"/>
        <v/>
      </c>
      <c r="Z26" s="36">
        <f t="shared" si="6"/>
        <v>1.0048920377867747</v>
      </c>
      <c r="AA26" s="6"/>
      <c r="AB26" s="37">
        <v>1.659</v>
      </c>
      <c r="AC26" s="38">
        <v>1.847</v>
      </c>
      <c r="AD26" s="38"/>
      <c r="AE26" s="34">
        <f t="shared" si="7"/>
        <v>1.847</v>
      </c>
      <c r="AF26" s="34">
        <f t="shared" si="8"/>
        <v>1.0365255643316147</v>
      </c>
      <c r="AG26" s="35" t="str">
        <f t="shared" si="1"/>
        <v/>
      </c>
      <c r="AH26" s="36">
        <f t="shared" si="2"/>
        <v>1.11332127787824</v>
      </c>
    </row>
    <row r="27" spans="1:34" ht="1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29">
        <f t="shared" si="3"/>
        <v>14</v>
      </c>
      <c r="Q27" s="30" t="s">
        <v>106</v>
      </c>
      <c r="R27" s="31">
        <v>45679</v>
      </c>
      <c r="S27" s="68"/>
      <c r="T27" s="32">
        <v>29.64</v>
      </c>
      <c r="U27" s="38">
        <v>29.218</v>
      </c>
      <c r="V27" s="74"/>
      <c r="W27" s="34">
        <f t="shared" si="4"/>
        <v>29.218</v>
      </c>
      <c r="X27" s="34">
        <f t="shared" si="0"/>
        <v>0.19091825791493361</v>
      </c>
      <c r="Y27" s="35" t="str">
        <f t="shared" si="5"/>
        <v/>
      </c>
      <c r="Z27" s="36">
        <f t="shared" si="6"/>
        <v>0.9857624831309042</v>
      </c>
      <c r="AA27" s="6"/>
      <c r="AB27" s="37">
        <v>1.659</v>
      </c>
      <c r="AC27" s="38">
        <v>2.0299999999999998</v>
      </c>
      <c r="AD27" s="38"/>
      <c r="AE27" s="34">
        <f t="shared" si="7"/>
        <v>2.0299999999999998</v>
      </c>
      <c r="AF27" s="34">
        <f t="shared" si="8"/>
        <v>2.0335265138670464</v>
      </c>
      <c r="AG27" s="35">
        <f t="shared" si="1"/>
        <v>2.0299999999999998</v>
      </c>
      <c r="AH27" s="36">
        <f t="shared" si="2"/>
        <v>1.2236286919831223</v>
      </c>
    </row>
    <row r="28" spans="1:34" ht="1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29">
        <f t="shared" si="3"/>
        <v>15</v>
      </c>
      <c r="Q28" s="30" t="s">
        <v>106</v>
      </c>
      <c r="R28" s="31">
        <v>45679</v>
      </c>
      <c r="S28" s="68"/>
      <c r="T28" s="32">
        <v>29.64</v>
      </c>
      <c r="U28" s="38">
        <v>27.364999999999998</v>
      </c>
      <c r="V28" s="74"/>
      <c r="W28" s="34">
        <f t="shared" si="4"/>
        <v>27.364999999999998</v>
      </c>
      <c r="X28" s="34">
        <f t="shared" si="0"/>
        <v>0.88821766146224479</v>
      </c>
      <c r="Y28" s="35" t="str">
        <f t="shared" si="5"/>
        <v/>
      </c>
      <c r="Z28" s="36">
        <f t="shared" si="6"/>
        <v>0.92324561403508765</v>
      </c>
      <c r="AA28" s="6"/>
      <c r="AB28" s="37">
        <v>1.659</v>
      </c>
      <c r="AC28" s="38">
        <v>1.712</v>
      </c>
      <c r="AD28" s="38"/>
      <c r="AE28" s="34">
        <f t="shared" si="7"/>
        <v>1.712</v>
      </c>
      <c r="AF28" s="34">
        <f t="shared" si="8"/>
        <v>0.30103306057596751</v>
      </c>
      <c r="AG28" s="35" t="str">
        <f t="shared" si="1"/>
        <v/>
      </c>
      <c r="AH28" s="36">
        <f t="shared" si="2"/>
        <v>1.0319469559975889</v>
      </c>
    </row>
    <row r="29" spans="1:34" ht="1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 t="s">
        <v>107</v>
      </c>
      <c r="O29" s="8"/>
      <c r="P29" s="29">
        <f t="shared" si="3"/>
        <v>16</v>
      </c>
      <c r="Q29" s="30" t="s">
        <v>106</v>
      </c>
      <c r="R29" s="31">
        <v>45681</v>
      </c>
      <c r="S29" s="68"/>
      <c r="T29" s="32">
        <v>29.64</v>
      </c>
      <c r="U29" s="38">
        <v>29.937999999999999</v>
      </c>
      <c r="V29" s="74"/>
      <c r="W29" s="34">
        <f t="shared" si="4"/>
        <v>29.937999999999999</v>
      </c>
      <c r="X29" s="34">
        <f t="shared" si="0"/>
        <v>8.0023766129352886E-2</v>
      </c>
      <c r="Y29" s="35" t="str">
        <f t="shared" si="5"/>
        <v/>
      </c>
      <c r="Z29" s="36">
        <f t="shared" si="6"/>
        <v>1.0100539811066127</v>
      </c>
      <c r="AA29" s="6"/>
      <c r="AB29" s="37">
        <v>1.659</v>
      </c>
      <c r="AC29" s="38">
        <v>1.6779999999999999</v>
      </c>
      <c r="AD29" s="38"/>
      <c r="AE29" s="34">
        <f t="shared" si="7"/>
        <v>1.6779999999999999</v>
      </c>
      <c r="AF29" s="34">
        <f t="shared" si="8"/>
        <v>0.11579791148195252</v>
      </c>
      <c r="AG29" s="35" t="str">
        <f t="shared" si="1"/>
        <v/>
      </c>
      <c r="AH29" s="36">
        <f t="shared" si="2"/>
        <v>1.0114526823387582</v>
      </c>
    </row>
    <row r="30" spans="1:34" ht="1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29">
        <f t="shared" si="3"/>
        <v>17</v>
      </c>
      <c r="Q30" s="30" t="s">
        <v>106</v>
      </c>
      <c r="R30" s="31">
        <v>45681</v>
      </c>
      <c r="S30" s="68"/>
      <c r="T30" s="32">
        <v>29.64</v>
      </c>
      <c r="U30" s="38">
        <v>31.989000000000001</v>
      </c>
      <c r="V30" s="74"/>
      <c r="W30" s="34">
        <f t="shared" si="4"/>
        <v>31.989000000000001</v>
      </c>
      <c r="X30" s="34">
        <f t="shared" si="0"/>
        <v>0.85183222628884314</v>
      </c>
      <c r="Y30" s="35" t="str">
        <f t="shared" si="5"/>
        <v/>
      </c>
      <c r="Z30" s="36">
        <f t="shared" si="6"/>
        <v>1.079251012145749</v>
      </c>
      <c r="AA30" s="6"/>
      <c r="AB30" s="37">
        <v>1.659</v>
      </c>
      <c r="AC30" s="38">
        <v>1.6220000000000001</v>
      </c>
      <c r="AD30" s="38"/>
      <c r="AE30" s="34">
        <f t="shared" si="7"/>
        <v>1.6220000000000001</v>
      </c>
      <c r="AF30" s="34">
        <f t="shared" si="8"/>
        <v>0.1892952752611298</v>
      </c>
      <c r="AG30" s="35" t="str">
        <f t="shared" si="1"/>
        <v/>
      </c>
      <c r="AH30" s="36">
        <f t="shared" si="2"/>
        <v>0.97769740807715499</v>
      </c>
    </row>
    <row r="31" spans="1:34" ht="1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29">
        <f t="shared" si="3"/>
        <v>18</v>
      </c>
      <c r="Q31" s="30" t="s">
        <v>106</v>
      </c>
      <c r="R31" s="31">
        <v>45681</v>
      </c>
      <c r="S31" s="68"/>
      <c r="T31" s="32">
        <v>29.64</v>
      </c>
      <c r="U31" s="38">
        <v>29.440999999999999</v>
      </c>
      <c r="V31" s="74"/>
      <c r="W31" s="34">
        <f t="shared" si="4"/>
        <v>29.440999999999999</v>
      </c>
      <c r="X31" s="34">
        <f t="shared" si="0"/>
        <v>0.10700149213455068</v>
      </c>
      <c r="Y31" s="35" t="str">
        <f t="shared" si="5"/>
        <v/>
      </c>
      <c r="Z31" s="36">
        <f t="shared" si="6"/>
        <v>0.99328609986504723</v>
      </c>
      <c r="AA31" s="6"/>
      <c r="AB31" s="37">
        <v>1.659</v>
      </c>
      <c r="AC31" s="38">
        <v>1.7829999999999999</v>
      </c>
      <c r="AD31" s="38"/>
      <c r="AE31" s="34">
        <f t="shared" si="7"/>
        <v>1.7829999999999999</v>
      </c>
      <c r="AF31" s="34">
        <f t="shared" si="8"/>
        <v>0.68784763662523352</v>
      </c>
      <c r="AG31" s="35" t="str">
        <f t="shared" si="1"/>
        <v/>
      </c>
      <c r="AH31" s="36">
        <f t="shared" si="2"/>
        <v>1.0747438215792646</v>
      </c>
    </row>
    <row r="32" spans="1:34" ht="1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29">
        <f t="shared" si="3"/>
        <v>19</v>
      </c>
      <c r="Q32" s="30" t="s">
        <v>106</v>
      </c>
      <c r="R32" s="31">
        <v>45681</v>
      </c>
      <c r="S32" s="68"/>
      <c r="T32" s="32">
        <v>29.64</v>
      </c>
      <c r="U32" s="38">
        <v>30.763000000000002</v>
      </c>
      <c r="V32" s="74"/>
      <c r="W32" s="34">
        <f t="shared" si="4"/>
        <v>30.763000000000002</v>
      </c>
      <c r="X32" s="34">
        <f t="shared" si="0"/>
        <v>0.39047816868009938</v>
      </c>
      <c r="Y32" s="35" t="str">
        <f t="shared" si="5"/>
        <v/>
      </c>
      <c r="Z32" s="36">
        <f t="shared" si="6"/>
        <v>1.0378879892037787</v>
      </c>
      <c r="AA32" s="6"/>
      <c r="AB32" s="37">
        <v>1.659</v>
      </c>
      <c r="AC32" s="38">
        <v>1.49</v>
      </c>
      <c r="AD32" s="38"/>
      <c r="AE32" s="34">
        <f t="shared" si="7"/>
        <v>1.49</v>
      </c>
      <c r="AF32" s="34">
        <f t="shared" si="8"/>
        <v>0.90844350115554096</v>
      </c>
      <c r="AG32" s="35" t="str">
        <f t="shared" si="1"/>
        <v/>
      </c>
      <c r="AH32" s="36">
        <f t="shared" si="2"/>
        <v>0.89813140446051831</v>
      </c>
    </row>
    <row r="33" spans="1:34" ht="1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29">
        <f t="shared" si="3"/>
        <v>20</v>
      </c>
      <c r="Q33" s="30" t="s">
        <v>106</v>
      </c>
      <c r="R33" s="31">
        <v>45681</v>
      </c>
      <c r="S33" s="68"/>
      <c r="T33" s="32">
        <v>29.64</v>
      </c>
      <c r="U33" s="38">
        <v>26.911000000000001</v>
      </c>
      <c r="V33" s="74"/>
      <c r="W33" s="34">
        <f t="shared" si="4"/>
        <v>26.911000000000001</v>
      </c>
      <c r="X33" s="34">
        <f t="shared" si="0"/>
        <v>1.0590616599568357</v>
      </c>
      <c r="Y33" s="35" t="str">
        <f t="shared" si="5"/>
        <v/>
      </c>
      <c r="Z33" s="36">
        <f t="shared" si="6"/>
        <v>0.90792847503373819</v>
      </c>
      <c r="AA33" s="6"/>
      <c r="AB33" s="37">
        <v>1.659</v>
      </c>
      <c r="AC33" s="38">
        <v>1.617</v>
      </c>
      <c r="AD33" s="38"/>
      <c r="AE33" s="34">
        <f t="shared" si="7"/>
        <v>1.617</v>
      </c>
      <c r="AF33" s="34">
        <f t="shared" si="8"/>
        <v>0.21653573836319143</v>
      </c>
      <c r="AG33" s="35" t="str">
        <f t="shared" si="1"/>
        <v/>
      </c>
      <c r="AH33" s="36">
        <f t="shared" si="2"/>
        <v>0.97468354430379744</v>
      </c>
    </row>
    <row r="34" spans="1:34" ht="1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29">
        <f t="shared" si="3"/>
        <v>21</v>
      </c>
      <c r="Q34" s="30" t="s">
        <v>108</v>
      </c>
      <c r="R34" s="31">
        <v>45743</v>
      </c>
      <c r="S34" s="68"/>
      <c r="T34" s="39">
        <v>28.78</v>
      </c>
      <c r="U34" s="38">
        <v>27.866</v>
      </c>
      <c r="V34" s="74"/>
      <c r="W34" s="34">
        <f t="shared" si="4"/>
        <v>27.866</v>
      </c>
      <c r="X34" s="34">
        <f t="shared" si="0"/>
        <v>0.69968716973142808</v>
      </c>
      <c r="Y34" s="35" t="str">
        <f t="shared" si="5"/>
        <v/>
      </c>
      <c r="Z34" s="36">
        <f t="shared" si="6"/>
        <v>0.96824183460736613</v>
      </c>
      <c r="AA34" s="6"/>
      <c r="AB34" s="37">
        <v>1.661</v>
      </c>
      <c r="AC34" s="38">
        <v>1.5544</v>
      </c>
      <c r="AD34" s="38"/>
      <c r="AE34" s="34">
        <f t="shared" si="7"/>
        <v>1.5544</v>
      </c>
      <c r="AF34" s="34">
        <f t="shared" si="8"/>
        <v>0.55758633640099509</v>
      </c>
      <c r="AG34" s="35" t="str">
        <f t="shared" si="1"/>
        <v/>
      </c>
      <c r="AH34" s="36">
        <f t="shared" si="2"/>
        <v>0.93582179409993982</v>
      </c>
    </row>
    <row r="35" spans="1:34" ht="1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29">
        <f t="shared" si="3"/>
        <v>22</v>
      </c>
      <c r="Q35" s="30" t="s">
        <v>108</v>
      </c>
      <c r="R35" s="31">
        <v>45743</v>
      </c>
      <c r="S35" s="68"/>
      <c r="T35" s="39">
        <v>28.78</v>
      </c>
      <c r="U35" s="38">
        <v>26.846</v>
      </c>
      <c r="V35" s="74"/>
      <c r="W35" s="34">
        <f t="shared" si="4"/>
        <v>26.846</v>
      </c>
      <c r="X35" s="34">
        <f t="shared" si="0"/>
        <v>1.0835217037941676</v>
      </c>
      <c r="Y35" s="35" t="str">
        <f t="shared" si="5"/>
        <v/>
      </c>
      <c r="Z35" s="36">
        <f t="shared" si="6"/>
        <v>0.93280055594162614</v>
      </c>
      <c r="AA35" s="6"/>
      <c r="AB35" s="37">
        <v>1.661</v>
      </c>
      <c r="AC35" s="38">
        <v>1.4413</v>
      </c>
      <c r="AD35" s="38"/>
      <c r="AE35" s="34">
        <f t="shared" si="7"/>
        <v>1.4413</v>
      </c>
      <c r="AF35" s="34">
        <f t="shared" si="8"/>
        <v>1.1737656117696149</v>
      </c>
      <c r="AG35" s="35" t="str">
        <f t="shared" si="1"/>
        <v/>
      </c>
      <c r="AH35" s="36">
        <f t="shared" si="2"/>
        <v>0.867730282962071</v>
      </c>
    </row>
    <row r="36" spans="1:34" ht="1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29">
        <f t="shared" si="3"/>
        <v>23</v>
      </c>
      <c r="Q36" s="30" t="s">
        <v>108</v>
      </c>
      <c r="R36" s="31">
        <v>45772</v>
      </c>
      <c r="S36" s="68"/>
      <c r="T36" s="39">
        <v>28.78</v>
      </c>
      <c r="U36" s="38">
        <v>27.826000000000001</v>
      </c>
      <c r="V36" s="74"/>
      <c r="W36" s="34">
        <f t="shared" si="4"/>
        <v>27.826000000000001</v>
      </c>
      <c r="X36" s="34">
        <f t="shared" si="0"/>
        <v>0.71473950440055478</v>
      </c>
      <c r="Y36" s="35" t="str">
        <f t="shared" si="5"/>
        <v/>
      </c>
      <c r="Z36" s="36">
        <f t="shared" si="6"/>
        <v>0.96685198054204302</v>
      </c>
      <c r="AA36" s="6"/>
      <c r="AB36" s="37">
        <v>1.661</v>
      </c>
      <c r="AC36" s="38">
        <v>1.5780000000000001</v>
      </c>
      <c r="AD36" s="38"/>
      <c r="AE36" s="34">
        <f t="shared" si="7"/>
        <v>1.5780000000000001</v>
      </c>
      <c r="AF36" s="34">
        <f t="shared" si="8"/>
        <v>0.42901135055926681</v>
      </c>
      <c r="AG36" s="35" t="str">
        <f t="shared" si="1"/>
        <v/>
      </c>
      <c r="AH36" s="36">
        <f t="shared" si="2"/>
        <v>0.95003010234798313</v>
      </c>
    </row>
    <row r="37" spans="1:34" ht="1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29">
        <f t="shared" si="3"/>
        <v>24</v>
      </c>
      <c r="Q37" s="30" t="s">
        <v>108</v>
      </c>
      <c r="R37" s="31">
        <v>45772</v>
      </c>
      <c r="S37" s="68"/>
      <c r="T37" s="39">
        <v>28.78</v>
      </c>
      <c r="U37" s="38">
        <v>29.939</v>
      </c>
      <c r="V37" s="74"/>
      <c r="W37" s="34">
        <f t="shared" si="4"/>
        <v>29.939</v>
      </c>
      <c r="X37" s="34">
        <f t="shared" si="0"/>
        <v>8.0400074496081525E-2</v>
      </c>
      <c r="Y37" s="35" t="str">
        <f t="shared" si="5"/>
        <v/>
      </c>
      <c r="Z37" s="36">
        <f t="shared" si="6"/>
        <v>1.040271021542738</v>
      </c>
      <c r="AA37" s="6"/>
      <c r="AB37" s="37">
        <v>1.661</v>
      </c>
      <c r="AC37" s="38">
        <v>1.4690000000000001</v>
      </c>
      <c r="AD37" s="38"/>
      <c r="AE37" s="34">
        <f t="shared" si="7"/>
        <v>1.4690000000000001</v>
      </c>
      <c r="AF37" s="34">
        <f t="shared" si="8"/>
        <v>1.0228534461841967</v>
      </c>
      <c r="AG37" s="35" t="str">
        <f t="shared" si="1"/>
        <v/>
      </c>
      <c r="AH37" s="36">
        <f t="shared" si="2"/>
        <v>0.88440698374473214</v>
      </c>
    </row>
    <row r="38" spans="1:34" ht="1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29">
        <f t="shared" si="3"/>
        <v>25</v>
      </c>
      <c r="Q38" s="30" t="s">
        <v>108</v>
      </c>
      <c r="R38" s="31">
        <v>45785</v>
      </c>
      <c r="S38" s="68"/>
      <c r="T38" s="39">
        <v>28.78</v>
      </c>
      <c r="U38" s="38">
        <v>24.5867</v>
      </c>
      <c r="V38" s="74"/>
      <c r="W38" s="34">
        <f t="shared" si="4"/>
        <v>24.5867</v>
      </c>
      <c r="X38" s="34">
        <f t="shared" si="0"/>
        <v>1.9337151967431361</v>
      </c>
      <c r="Y38" s="35" t="str">
        <f t="shared" si="5"/>
        <v/>
      </c>
      <c r="Z38" s="36">
        <f t="shared" si="6"/>
        <v>0.85429812369701175</v>
      </c>
      <c r="AA38" s="6"/>
      <c r="AB38" s="37">
        <v>1.661</v>
      </c>
      <c r="AC38" s="38">
        <v>1.651</v>
      </c>
      <c r="AD38" s="38"/>
      <c r="AE38" s="34">
        <f t="shared" si="7"/>
        <v>1.651</v>
      </c>
      <c r="AF38" s="34">
        <f t="shared" si="8"/>
        <v>3.1300589269176428E-2</v>
      </c>
      <c r="AG38" s="35" t="str">
        <f t="shared" si="1"/>
        <v/>
      </c>
      <c r="AH38" s="36">
        <f t="shared" si="2"/>
        <v>0.9939795304033715</v>
      </c>
    </row>
    <row r="39" spans="1:34" ht="1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29">
        <f t="shared" si="3"/>
        <v>26</v>
      </c>
      <c r="Q39" s="30" t="s">
        <v>108</v>
      </c>
      <c r="R39" s="31">
        <v>45785</v>
      </c>
      <c r="S39" s="68"/>
      <c r="T39" s="39">
        <v>28.78</v>
      </c>
      <c r="U39" s="38">
        <v>22.447800000000001</v>
      </c>
      <c r="V39" s="74"/>
      <c r="W39" s="34">
        <f t="shared" si="4"/>
        <v>22.447800000000001</v>
      </c>
      <c r="X39" s="34">
        <f t="shared" si="0"/>
        <v>2.7386011623380324</v>
      </c>
      <c r="Y39" s="35">
        <f t="shared" si="5"/>
        <v>22.447800000000001</v>
      </c>
      <c r="Z39" s="36">
        <f t="shared" si="6"/>
        <v>0.77997915218902014</v>
      </c>
      <c r="AA39" s="6"/>
      <c r="AB39" s="37">
        <v>1.661</v>
      </c>
      <c r="AC39" s="38">
        <v>1.4725999999999999</v>
      </c>
      <c r="AD39" s="38"/>
      <c r="AE39" s="34">
        <f t="shared" si="7"/>
        <v>1.4725999999999999</v>
      </c>
      <c r="AF39" s="34">
        <f t="shared" si="8"/>
        <v>1.0032403127507137</v>
      </c>
      <c r="AG39" s="35" t="str">
        <f t="shared" si="1"/>
        <v/>
      </c>
      <c r="AH39" s="36">
        <f t="shared" si="2"/>
        <v>0.88657435279951824</v>
      </c>
    </row>
    <row r="40" spans="1:34" ht="1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29">
        <f t="shared" si="3"/>
        <v>27</v>
      </c>
      <c r="Q40" s="30" t="s">
        <v>109</v>
      </c>
      <c r="R40" s="31">
        <v>45793</v>
      </c>
      <c r="S40" s="68"/>
      <c r="T40" s="39">
        <v>28.78</v>
      </c>
      <c r="U40" s="38">
        <v>26.445</v>
      </c>
      <c r="V40" s="74"/>
      <c r="W40" s="34">
        <f t="shared" si="4"/>
        <v>26.445</v>
      </c>
      <c r="X40" s="34">
        <f t="shared" si="0"/>
        <v>1.2344213588521662</v>
      </c>
      <c r="Y40" s="35" t="str">
        <f t="shared" si="5"/>
        <v/>
      </c>
      <c r="Z40" s="36">
        <f t="shared" si="6"/>
        <v>0.91886726893676163</v>
      </c>
      <c r="AA40" s="6"/>
      <c r="AB40" s="37">
        <v>1.661</v>
      </c>
      <c r="AC40" s="38">
        <v>1.716</v>
      </c>
      <c r="AD40" s="38"/>
      <c r="AE40" s="34">
        <f t="shared" si="7"/>
        <v>1.716</v>
      </c>
      <c r="AF40" s="34">
        <f t="shared" si="8"/>
        <v>0.32282543105761635</v>
      </c>
      <c r="AG40" s="35" t="str">
        <f t="shared" si="1"/>
        <v/>
      </c>
      <c r="AH40" s="36">
        <f t="shared" si="2"/>
        <v>1.0331125827814569</v>
      </c>
    </row>
    <row r="41" spans="1:34" ht="1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29">
        <f t="shared" si="3"/>
        <v>28</v>
      </c>
      <c r="Q41" s="30" t="s">
        <v>109</v>
      </c>
      <c r="R41" s="31">
        <v>45793</v>
      </c>
      <c r="S41" s="68"/>
      <c r="T41" s="39">
        <v>28.78</v>
      </c>
      <c r="U41" s="38">
        <v>29.875</v>
      </c>
      <c r="V41" s="74"/>
      <c r="W41" s="34">
        <f t="shared" si="4"/>
        <v>29.875</v>
      </c>
      <c r="X41" s="34">
        <f t="shared" si="0"/>
        <v>5.6316339025478217E-2</v>
      </c>
      <c r="Y41" s="35" t="str">
        <f t="shared" si="5"/>
        <v/>
      </c>
      <c r="Z41" s="36">
        <f t="shared" si="6"/>
        <v>1.0380472550382209</v>
      </c>
      <c r="AA41" s="6"/>
      <c r="AB41" s="37">
        <v>1.661</v>
      </c>
      <c r="AC41" s="38">
        <v>1.9019999999999999</v>
      </c>
      <c r="AD41" s="38"/>
      <c r="AE41" s="34">
        <f t="shared" si="7"/>
        <v>1.9019999999999999</v>
      </c>
      <c r="AF41" s="34">
        <f t="shared" si="8"/>
        <v>1.3361706584542854</v>
      </c>
      <c r="AG41" s="35" t="str">
        <f t="shared" si="1"/>
        <v/>
      </c>
      <c r="AH41" s="36">
        <f t="shared" si="2"/>
        <v>1.1450933172787476</v>
      </c>
    </row>
    <row r="42" spans="1:34" ht="1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29">
        <f t="shared" si="3"/>
        <v>29</v>
      </c>
      <c r="Q42" s="30" t="s">
        <v>108</v>
      </c>
      <c r="R42" s="31">
        <v>45804</v>
      </c>
      <c r="S42" s="68"/>
      <c r="T42" s="39">
        <v>28.78</v>
      </c>
      <c r="U42" s="38">
        <v>28.873999999999999</v>
      </c>
      <c r="V42" s="74"/>
      <c r="W42" s="34">
        <f t="shared" si="4"/>
        <v>28.873999999999999</v>
      </c>
      <c r="X42" s="34">
        <f t="shared" si="0"/>
        <v>0.32036833606942666</v>
      </c>
      <c r="Y42" s="35" t="str">
        <f t="shared" si="5"/>
        <v/>
      </c>
      <c r="Z42" s="36">
        <f t="shared" si="6"/>
        <v>1.0032661570535093</v>
      </c>
      <c r="AA42" s="6"/>
      <c r="AB42" s="37">
        <v>1.661</v>
      </c>
      <c r="AC42" s="38">
        <v>1.58</v>
      </c>
      <c r="AD42" s="38"/>
      <c r="AE42" s="34">
        <f t="shared" si="7"/>
        <v>1.58</v>
      </c>
      <c r="AF42" s="34">
        <f t="shared" si="8"/>
        <v>0.41811516531844245</v>
      </c>
      <c r="AG42" s="35" t="str">
        <f t="shared" si="1"/>
        <v/>
      </c>
      <c r="AH42" s="36">
        <f t="shared" si="2"/>
        <v>0.95123419626730887</v>
      </c>
    </row>
    <row r="43" spans="1:34" ht="1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29">
        <f t="shared" si="3"/>
        <v>30</v>
      </c>
      <c r="Q43" s="30" t="s">
        <v>108</v>
      </c>
      <c r="R43" s="31">
        <v>45804</v>
      </c>
      <c r="S43" s="68"/>
      <c r="T43" s="39">
        <v>28.78</v>
      </c>
      <c r="U43" s="38">
        <v>31.055</v>
      </c>
      <c r="V43" s="74"/>
      <c r="W43" s="34">
        <f t="shared" si="4"/>
        <v>31.055</v>
      </c>
      <c r="X43" s="34">
        <f t="shared" si="0"/>
        <v>0.50036021176472611</v>
      </c>
      <c r="Y43" s="35" t="str">
        <f t="shared" si="5"/>
        <v/>
      </c>
      <c r="Z43" s="36">
        <f t="shared" si="6"/>
        <v>1.0790479499652537</v>
      </c>
      <c r="AA43" s="6"/>
      <c r="AB43" s="37">
        <v>1.661</v>
      </c>
      <c r="AC43" s="38">
        <v>1.607</v>
      </c>
      <c r="AD43" s="38"/>
      <c r="AE43" s="34">
        <f t="shared" si="7"/>
        <v>1.607</v>
      </c>
      <c r="AF43" s="34">
        <f t="shared" si="8"/>
        <v>0.27101666456731349</v>
      </c>
      <c r="AG43" s="35" t="str">
        <f t="shared" si="1"/>
        <v/>
      </c>
      <c r="AH43" s="36">
        <f t="shared" si="2"/>
        <v>0.96748946417820592</v>
      </c>
    </row>
    <row r="44" spans="1:34" ht="1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29">
        <f t="shared" si="3"/>
        <v>31</v>
      </c>
      <c r="Q44" s="30" t="s">
        <v>108</v>
      </c>
      <c r="R44" s="31">
        <v>45825</v>
      </c>
      <c r="S44" s="68"/>
      <c r="T44" s="39">
        <v>28.78</v>
      </c>
      <c r="U44" s="38">
        <v>29.17</v>
      </c>
      <c r="V44" s="74"/>
      <c r="W44" s="34">
        <f t="shared" si="4"/>
        <v>29.17</v>
      </c>
      <c r="X44" s="34">
        <f t="shared" si="0"/>
        <v>0.2089810595178854</v>
      </c>
      <c r="Y44" s="35" t="str">
        <f t="shared" si="5"/>
        <v/>
      </c>
      <c r="Z44" s="36">
        <f t="shared" si="6"/>
        <v>1.0135510771369007</v>
      </c>
      <c r="AA44" s="6"/>
      <c r="AB44" s="37">
        <v>1.661</v>
      </c>
      <c r="AC44" s="38">
        <v>1.84</v>
      </c>
      <c r="AD44" s="38"/>
      <c r="AE44" s="34">
        <f t="shared" si="7"/>
        <v>1.84</v>
      </c>
      <c r="AF44" s="34">
        <f t="shared" si="8"/>
        <v>0.99838891598872981</v>
      </c>
      <c r="AG44" s="35" t="str">
        <f t="shared" si="1"/>
        <v/>
      </c>
      <c r="AH44" s="36">
        <f t="shared" si="2"/>
        <v>1.1077664057796508</v>
      </c>
    </row>
    <row r="45" spans="1:34" ht="1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29">
        <f t="shared" si="3"/>
        <v>32</v>
      </c>
      <c r="Q45" s="30" t="s">
        <v>108</v>
      </c>
      <c r="R45" s="31">
        <v>45825</v>
      </c>
      <c r="S45" s="68"/>
      <c r="T45" s="39">
        <v>28.78</v>
      </c>
      <c r="U45" s="38">
        <v>28.529</v>
      </c>
      <c r="V45" s="74"/>
      <c r="W45" s="34">
        <f t="shared" si="4"/>
        <v>28.529</v>
      </c>
      <c r="X45" s="34">
        <f t="shared" si="0"/>
        <v>0.45019472259064708</v>
      </c>
      <c r="Y45" s="35" t="str">
        <f t="shared" si="5"/>
        <v/>
      </c>
      <c r="Z45" s="36">
        <f t="shared" si="6"/>
        <v>0.99127866574009726</v>
      </c>
      <c r="AA45" s="6"/>
      <c r="AB45" s="37">
        <v>1.661</v>
      </c>
      <c r="AC45" s="38">
        <v>1.62</v>
      </c>
      <c r="AD45" s="38"/>
      <c r="AE45" s="34">
        <f t="shared" si="7"/>
        <v>1.62</v>
      </c>
      <c r="AF45" s="34">
        <f t="shared" si="8"/>
        <v>0.20019146050195419</v>
      </c>
      <c r="AG45" s="35" t="str">
        <f t="shared" si="1"/>
        <v/>
      </c>
      <c r="AH45" s="36">
        <f t="shared" si="2"/>
        <v>0.97531607465382308</v>
      </c>
    </row>
    <row r="46" spans="1:34" ht="1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29">
        <f t="shared" si="3"/>
        <v>33</v>
      </c>
      <c r="Q46" s="30" t="s">
        <v>108</v>
      </c>
      <c r="R46" s="31">
        <v>45825</v>
      </c>
      <c r="S46" s="68"/>
      <c r="T46" s="39">
        <v>28.78</v>
      </c>
      <c r="U46" s="38">
        <v>29.184000000000001</v>
      </c>
      <c r="V46" s="74"/>
      <c r="W46" s="34">
        <f t="shared" si="4"/>
        <v>29.184000000000001</v>
      </c>
      <c r="X46" s="34">
        <f t="shared" si="0"/>
        <v>0.20371274238369119</v>
      </c>
      <c r="Y46" s="35" t="str">
        <f t="shared" si="5"/>
        <v/>
      </c>
      <c r="Z46" s="36">
        <f t="shared" si="6"/>
        <v>1.0140375260597638</v>
      </c>
      <c r="AA46" s="6"/>
      <c r="AB46" s="37">
        <v>1.661</v>
      </c>
      <c r="AC46" s="38">
        <v>1.6739999999999999</v>
      </c>
      <c r="AD46" s="38"/>
      <c r="AE46" s="34">
        <f t="shared" si="7"/>
        <v>1.6739999999999999</v>
      </c>
      <c r="AF46" s="34">
        <f t="shared" si="8"/>
        <v>9.40055410003037E-2</v>
      </c>
      <c r="AG46" s="35" t="str">
        <f t="shared" si="1"/>
        <v/>
      </c>
      <c r="AH46" s="36">
        <f t="shared" si="2"/>
        <v>1.0078266104756171</v>
      </c>
    </row>
    <row r="47" spans="1:34" ht="1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29">
        <f t="shared" si="3"/>
        <v>34</v>
      </c>
      <c r="Q47" s="30" t="s">
        <v>108</v>
      </c>
      <c r="R47" s="31">
        <v>45825</v>
      </c>
      <c r="S47" s="68"/>
      <c r="T47" s="39">
        <v>28.78</v>
      </c>
      <c r="U47" s="38">
        <v>28.079000000000001</v>
      </c>
      <c r="V47" s="74"/>
      <c r="W47" s="34">
        <f t="shared" si="4"/>
        <v>28.079000000000001</v>
      </c>
      <c r="X47" s="34">
        <f t="shared" si="0"/>
        <v>0.61953348761832616</v>
      </c>
      <c r="Y47" s="35" t="str">
        <f t="shared" si="5"/>
        <v/>
      </c>
      <c r="Z47" s="36">
        <f t="shared" si="6"/>
        <v>0.97564280750521193</v>
      </c>
      <c r="AA47" s="6"/>
      <c r="AB47" s="37">
        <v>1.661</v>
      </c>
      <c r="AC47" s="38">
        <v>1.498</v>
      </c>
      <c r="AD47" s="38"/>
      <c r="AE47" s="34">
        <f t="shared" si="7"/>
        <v>1.498</v>
      </c>
      <c r="AF47" s="34">
        <f t="shared" si="8"/>
        <v>0.86485876019224328</v>
      </c>
      <c r="AG47" s="35" t="str">
        <f t="shared" si="1"/>
        <v/>
      </c>
      <c r="AH47" s="36">
        <f t="shared" si="2"/>
        <v>0.90186634557495482</v>
      </c>
    </row>
    <row r="48" spans="1:34" ht="1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29">
        <f t="shared" si="3"/>
        <v>35</v>
      </c>
      <c r="Q48" s="30" t="s">
        <v>106</v>
      </c>
      <c r="R48" s="31">
        <v>45860</v>
      </c>
      <c r="S48" s="68"/>
      <c r="T48" s="39">
        <v>28.78</v>
      </c>
      <c r="U48" s="38">
        <v>33.087000000000003</v>
      </c>
      <c r="V48" s="74"/>
      <c r="W48" s="34">
        <f t="shared" si="4"/>
        <v>33.087000000000003</v>
      </c>
      <c r="X48" s="34">
        <f t="shared" si="0"/>
        <v>1.2650188129563817</v>
      </c>
      <c r="Y48" s="35" t="str">
        <f t="shared" si="5"/>
        <v/>
      </c>
      <c r="Z48" s="36">
        <f t="shared" si="6"/>
        <v>1.1496525364836694</v>
      </c>
      <c r="AA48" s="6"/>
      <c r="AB48" s="37">
        <v>1.661</v>
      </c>
      <c r="AC48" s="38">
        <v>1.7350000000000001</v>
      </c>
      <c r="AD48" s="38"/>
      <c r="AE48" s="34">
        <f t="shared" si="7"/>
        <v>1.7350000000000001</v>
      </c>
      <c r="AF48" s="34">
        <f t="shared" si="8"/>
        <v>0.42633919084544886</v>
      </c>
      <c r="AG48" s="35" t="str">
        <f t="shared" si="1"/>
        <v/>
      </c>
      <c r="AH48" s="36">
        <f t="shared" si="2"/>
        <v>1.0445514750150513</v>
      </c>
    </row>
    <row r="49" spans="1:34" ht="1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29">
        <f t="shared" si="3"/>
        <v>36</v>
      </c>
      <c r="Q49" s="30" t="s">
        <v>106</v>
      </c>
      <c r="R49" s="31">
        <v>45860</v>
      </c>
      <c r="S49" s="68"/>
      <c r="T49" s="39">
        <v>28.78</v>
      </c>
      <c r="U49" s="38">
        <v>30.446999999999999</v>
      </c>
      <c r="V49" s="74"/>
      <c r="W49" s="34">
        <f t="shared" si="4"/>
        <v>30.446999999999999</v>
      </c>
      <c r="X49" s="34">
        <f t="shared" si="0"/>
        <v>0.27156472479399474</v>
      </c>
      <c r="Y49" s="35" t="str">
        <f t="shared" si="5"/>
        <v/>
      </c>
      <c r="Z49" s="36">
        <f t="shared" si="6"/>
        <v>1.0579221681723419</v>
      </c>
      <c r="AA49" s="6"/>
      <c r="AB49" s="37">
        <v>1.661</v>
      </c>
      <c r="AC49" s="38">
        <v>1.571</v>
      </c>
      <c r="AD49" s="38"/>
      <c r="AE49" s="34">
        <f t="shared" si="7"/>
        <v>1.571</v>
      </c>
      <c r="AF49" s="34">
        <f t="shared" si="8"/>
        <v>0.46714799890215286</v>
      </c>
      <c r="AG49" s="35" t="str">
        <f t="shared" si="1"/>
        <v/>
      </c>
      <c r="AH49" s="36">
        <f t="shared" si="2"/>
        <v>0.94581577363034308</v>
      </c>
    </row>
    <row r="50" spans="1:34" ht="1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29">
        <f t="shared" si="3"/>
        <v>37</v>
      </c>
      <c r="Q50" s="30" t="s">
        <v>106</v>
      </c>
      <c r="R50" s="31">
        <v>45912</v>
      </c>
      <c r="S50" s="68"/>
      <c r="T50" s="39">
        <v>28.78</v>
      </c>
      <c r="U50" s="38">
        <v>24.87</v>
      </c>
      <c r="V50" s="74"/>
      <c r="W50" s="34">
        <f t="shared" si="4"/>
        <v>24.87</v>
      </c>
      <c r="X50" s="34">
        <f t="shared" si="0"/>
        <v>1.8271070364490436</v>
      </c>
      <c r="Y50" s="35" t="str">
        <f t="shared" si="5"/>
        <v/>
      </c>
      <c r="Z50" s="36">
        <f t="shared" si="6"/>
        <v>0.86414176511466301</v>
      </c>
      <c r="AA50" s="6"/>
      <c r="AB50" s="37">
        <v>1.661</v>
      </c>
      <c r="AC50" s="38">
        <v>1.98</v>
      </c>
      <c r="AD50" s="38"/>
      <c r="AE50" s="34">
        <f t="shared" si="7"/>
        <v>1.98</v>
      </c>
      <c r="AF50" s="34">
        <f t="shared" si="8"/>
        <v>1.7611218828464374</v>
      </c>
      <c r="AG50" s="35" t="str">
        <f t="shared" si="1"/>
        <v/>
      </c>
      <c r="AH50" s="36">
        <f t="shared" si="2"/>
        <v>1.1920529801324502</v>
      </c>
    </row>
    <row r="51" spans="1:34" ht="1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29">
        <f t="shared" si="3"/>
        <v>38</v>
      </c>
      <c r="Q51" s="30" t="s">
        <v>106</v>
      </c>
      <c r="R51" s="31">
        <v>46044</v>
      </c>
      <c r="S51" s="68"/>
      <c r="T51" s="39">
        <v>28.78</v>
      </c>
      <c r="U51" s="38">
        <v>32.877000000000002</v>
      </c>
      <c r="V51" s="74"/>
      <c r="W51" s="34">
        <f t="shared" si="4"/>
        <v>32.877000000000002</v>
      </c>
      <c r="X51" s="34">
        <f t="shared" si="0"/>
        <v>1.1859940559434643</v>
      </c>
      <c r="Y51" s="35" t="str">
        <f t="shared" si="5"/>
        <v/>
      </c>
      <c r="Z51" s="36">
        <f t="shared" si="6"/>
        <v>1.1423558026407228</v>
      </c>
      <c r="AA51" s="6"/>
      <c r="AB51" s="37">
        <v>1.661</v>
      </c>
      <c r="AC51" s="38">
        <v>1.5349999999999999</v>
      </c>
      <c r="AD51" s="38"/>
      <c r="AE51" s="34">
        <f t="shared" si="7"/>
        <v>1.5349999999999999</v>
      </c>
      <c r="AF51" s="34">
        <f t="shared" si="8"/>
        <v>0.66327933323699229</v>
      </c>
      <c r="AG51" s="35" t="str">
        <f t="shared" si="1"/>
        <v/>
      </c>
      <c r="AH51" s="36">
        <f t="shared" si="2"/>
        <v>0.92414208308248036</v>
      </c>
    </row>
    <row r="52" spans="1:34" ht="1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29">
        <f t="shared" si="3"/>
        <v>39</v>
      </c>
      <c r="Q52" s="30" t="s">
        <v>106</v>
      </c>
      <c r="R52" s="31">
        <v>46044</v>
      </c>
      <c r="S52" s="68"/>
      <c r="T52" s="39">
        <v>28.78</v>
      </c>
      <c r="U52" s="38">
        <v>30.291</v>
      </c>
      <c r="V52" s="74"/>
      <c r="W52" s="34">
        <f t="shared" si="4"/>
        <v>30.291</v>
      </c>
      <c r="X52" s="34">
        <f t="shared" si="0"/>
        <v>0.2128606195843997</v>
      </c>
      <c r="Y52" s="35" t="str">
        <f t="shared" si="5"/>
        <v/>
      </c>
      <c r="Z52" s="36">
        <f t="shared" si="6"/>
        <v>1.0525017373175816</v>
      </c>
      <c r="AA52" s="6"/>
      <c r="AB52" s="37">
        <v>1.661</v>
      </c>
      <c r="AC52" s="38">
        <v>1.1659999999999999</v>
      </c>
      <c r="AD52" s="38"/>
      <c r="AE52" s="34">
        <f t="shared" si="7"/>
        <v>1.1659999999999999</v>
      </c>
      <c r="AF52" s="34">
        <f t="shared" si="8"/>
        <v>2.6736255101690944</v>
      </c>
      <c r="AG52" s="35">
        <f t="shared" si="1"/>
        <v>1.1659999999999999</v>
      </c>
      <c r="AH52" s="36">
        <f t="shared" si="2"/>
        <v>0.70198675496688734</v>
      </c>
    </row>
    <row r="53" spans="1:34" ht="1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29">
        <f t="shared" si="3"/>
        <v>40</v>
      </c>
      <c r="Q53" s="30" t="s">
        <v>106</v>
      </c>
      <c r="R53" s="31">
        <v>46048</v>
      </c>
      <c r="S53" s="68"/>
      <c r="T53" s="39">
        <v>28.78</v>
      </c>
      <c r="U53" s="38">
        <v>32.094000000000001</v>
      </c>
      <c r="V53" s="74"/>
      <c r="W53" s="34">
        <f t="shared" si="4"/>
        <v>32.094000000000001</v>
      </c>
      <c r="X53" s="34">
        <f t="shared" si="0"/>
        <v>0.89134460479530175</v>
      </c>
      <c r="Y53" s="35" t="str">
        <f t="shared" si="5"/>
        <v/>
      </c>
      <c r="Z53" s="36">
        <f t="shared" si="6"/>
        <v>1.1151494093120222</v>
      </c>
      <c r="AA53" s="6"/>
      <c r="AB53" s="37">
        <v>1.661</v>
      </c>
      <c r="AC53" s="38">
        <v>1.792</v>
      </c>
      <c r="AD53" s="38"/>
      <c r="AE53" s="34">
        <f t="shared" si="7"/>
        <v>1.792</v>
      </c>
      <c r="AF53" s="34">
        <f t="shared" si="8"/>
        <v>0.73688047020894398</v>
      </c>
      <c r="AG53" s="35" t="str">
        <f t="shared" si="1"/>
        <v/>
      </c>
      <c r="AH53" s="36">
        <f t="shared" si="2"/>
        <v>1.0788681517158338</v>
      </c>
    </row>
    <row r="54" spans="1:34" ht="1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29">
        <f t="shared" si="3"/>
        <v>41</v>
      </c>
      <c r="Q54" s="30" t="s">
        <v>106</v>
      </c>
      <c r="R54" s="31">
        <v>46048</v>
      </c>
      <c r="S54" s="68"/>
      <c r="T54" s="39">
        <v>28.78</v>
      </c>
      <c r="U54" s="38">
        <v>30.074000000000002</v>
      </c>
      <c r="V54" s="74"/>
      <c r="W54" s="34">
        <f t="shared" si="4"/>
        <v>30.074000000000002</v>
      </c>
      <c r="X54" s="34">
        <f t="shared" si="0"/>
        <v>0.13120170400438591</v>
      </c>
      <c r="Y54" s="35" t="str">
        <f t="shared" si="5"/>
        <v/>
      </c>
      <c r="Z54" s="36">
        <f t="shared" si="6"/>
        <v>1.0449617790132035</v>
      </c>
      <c r="AA54" s="6"/>
      <c r="AB54" s="37">
        <v>1.661</v>
      </c>
      <c r="AC54" s="38">
        <v>1.5229999999999999</v>
      </c>
      <c r="AD54" s="38"/>
      <c r="AE54" s="34">
        <f t="shared" si="7"/>
        <v>1.5229999999999999</v>
      </c>
      <c r="AF54" s="34">
        <f t="shared" si="8"/>
        <v>0.7286564446819388</v>
      </c>
      <c r="AG54" s="35" t="str">
        <f t="shared" si="1"/>
        <v/>
      </c>
      <c r="AH54" s="36">
        <f t="shared" si="2"/>
        <v>0.91691751956652612</v>
      </c>
    </row>
    <row r="55" spans="1:34" ht="1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29">
        <f t="shared" si="3"/>
        <v>42</v>
      </c>
      <c r="Q55" s="30" t="s">
        <v>106</v>
      </c>
      <c r="R55" s="31">
        <v>46065</v>
      </c>
      <c r="S55" s="68"/>
      <c r="T55" s="39">
        <v>28.78</v>
      </c>
      <c r="U55" s="38">
        <v>28.119</v>
      </c>
      <c r="V55" s="74"/>
      <c r="W55" s="34">
        <f t="shared" si="4"/>
        <v>28.119</v>
      </c>
      <c r="X55" s="34">
        <f t="shared" si="0"/>
        <v>0.60448115294919935</v>
      </c>
      <c r="Y55" s="35" t="str">
        <f t="shared" si="5"/>
        <v/>
      </c>
      <c r="Z55" s="36">
        <f t="shared" si="6"/>
        <v>0.97703266157053503</v>
      </c>
      <c r="AA55" s="6"/>
      <c r="AB55" s="37">
        <v>1.661</v>
      </c>
      <c r="AC55" s="38">
        <v>1.849</v>
      </c>
      <c r="AD55" s="38"/>
      <c r="AE55" s="34">
        <f t="shared" si="7"/>
        <v>1.849</v>
      </c>
      <c r="AF55" s="34">
        <f t="shared" si="8"/>
        <v>1.0474217495724392</v>
      </c>
      <c r="AG55" s="35" t="str">
        <f t="shared" si="1"/>
        <v/>
      </c>
      <c r="AH55" s="36">
        <f t="shared" si="2"/>
        <v>1.1131848284166164</v>
      </c>
    </row>
    <row r="56" spans="1:34" ht="1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29" t="str">
        <f t="shared" si="3"/>
        <v/>
      </c>
      <c r="Q56" s="30"/>
      <c r="R56" s="31"/>
      <c r="S56" s="68"/>
      <c r="T56" s="39">
        <v>28.78</v>
      </c>
      <c r="U56" s="38"/>
      <c r="V56" s="74"/>
      <c r="W56" s="34" t="str">
        <f t="shared" si="4"/>
        <v>FALSE</v>
      </c>
      <c r="X56" s="34" t="str">
        <f t="shared" si="0"/>
        <v>FALSE</v>
      </c>
      <c r="Y56" s="35">
        <f t="shared" si="5"/>
        <v>0</v>
      </c>
      <c r="Z56" s="36" t="str">
        <f t="shared" si="6"/>
        <v/>
      </c>
      <c r="AA56" s="6"/>
      <c r="AB56" s="37">
        <v>1.661</v>
      </c>
      <c r="AC56" s="38"/>
      <c r="AD56" s="38"/>
      <c r="AE56" s="34" t="str">
        <f t="shared" si="7"/>
        <v>FALSE</v>
      </c>
      <c r="AF56" s="34" t="str">
        <f t="shared" si="8"/>
        <v>FALSE</v>
      </c>
      <c r="AG56" s="35">
        <f t="shared" si="1"/>
        <v>0</v>
      </c>
      <c r="AH56" s="36" t="str">
        <f t="shared" si="2"/>
        <v/>
      </c>
    </row>
    <row r="57" spans="1:34" ht="14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29" t="str">
        <f t="shared" si="3"/>
        <v/>
      </c>
      <c r="Q57" s="30"/>
      <c r="R57" s="31"/>
      <c r="S57" s="68"/>
      <c r="T57" s="39">
        <v>28.78</v>
      </c>
      <c r="U57" s="38"/>
      <c r="V57" s="74"/>
      <c r="W57" s="34" t="str">
        <f t="shared" si="4"/>
        <v>FALSE</v>
      </c>
      <c r="X57" s="34" t="str">
        <f t="shared" si="0"/>
        <v>FALSE</v>
      </c>
      <c r="Y57" s="35">
        <f t="shared" si="5"/>
        <v>0</v>
      </c>
      <c r="Z57" s="36" t="str">
        <f t="shared" si="6"/>
        <v/>
      </c>
      <c r="AA57" s="42"/>
      <c r="AB57" s="37">
        <v>1.661</v>
      </c>
      <c r="AC57" s="38"/>
      <c r="AD57" s="38"/>
      <c r="AE57" s="34" t="str">
        <f t="shared" si="7"/>
        <v>FALSE</v>
      </c>
      <c r="AF57" s="34" t="str">
        <f t="shared" si="8"/>
        <v>FALSE</v>
      </c>
      <c r="AG57" s="35">
        <f t="shared" si="1"/>
        <v>0</v>
      </c>
      <c r="AH57" s="36" t="str">
        <f t="shared" si="2"/>
        <v/>
      </c>
    </row>
    <row r="58" spans="1:34" ht="1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29" t="str">
        <f t="shared" si="3"/>
        <v/>
      </c>
      <c r="Q58" s="30"/>
      <c r="R58" s="31"/>
      <c r="S58" s="68"/>
      <c r="T58" s="39">
        <v>28.78</v>
      </c>
      <c r="U58" s="38"/>
      <c r="V58" s="74"/>
      <c r="W58" s="34" t="str">
        <f t="shared" si="4"/>
        <v>FALSE</v>
      </c>
      <c r="X58" s="34" t="str">
        <f t="shared" si="0"/>
        <v>FALSE</v>
      </c>
      <c r="Y58" s="35">
        <f t="shared" si="5"/>
        <v>0</v>
      </c>
      <c r="Z58" s="36" t="str">
        <f t="shared" si="6"/>
        <v/>
      </c>
      <c r="AA58" s="6"/>
      <c r="AB58" s="37">
        <v>1.661</v>
      </c>
      <c r="AC58" s="38"/>
      <c r="AD58" s="38"/>
      <c r="AE58" s="34" t="str">
        <f t="shared" si="7"/>
        <v>FALSE</v>
      </c>
      <c r="AF58" s="34" t="str">
        <f t="shared" si="8"/>
        <v>FALSE</v>
      </c>
      <c r="AG58" s="35">
        <f t="shared" si="1"/>
        <v>0</v>
      </c>
      <c r="AH58" s="36" t="str">
        <f t="shared" si="2"/>
        <v/>
      </c>
    </row>
    <row r="59" spans="1:34" ht="1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29" t="str">
        <f t="shared" si="3"/>
        <v/>
      </c>
      <c r="Q59" s="30"/>
      <c r="R59" s="31"/>
      <c r="S59" s="68"/>
      <c r="T59" s="40"/>
      <c r="U59" s="38"/>
      <c r="V59" s="74"/>
      <c r="W59" s="34" t="str">
        <f t="shared" si="4"/>
        <v>FALSE</v>
      </c>
      <c r="X59" s="34" t="str">
        <f t="shared" si="0"/>
        <v>FALSE</v>
      </c>
      <c r="Y59" s="35">
        <f t="shared" si="5"/>
        <v>0</v>
      </c>
      <c r="Z59" s="36" t="str">
        <f t="shared" si="6"/>
        <v/>
      </c>
      <c r="AA59" s="6"/>
      <c r="AB59" s="41"/>
      <c r="AC59" s="38"/>
      <c r="AD59" s="38"/>
      <c r="AE59" s="34" t="str">
        <f t="shared" si="7"/>
        <v>FALSE</v>
      </c>
      <c r="AF59" s="34" t="str">
        <f t="shared" si="8"/>
        <v>FALSE</v>
      </c>
      <c r="AG59" s="35">
        <f t="shared" si="1"/>
        <v>0</v>
      </c>
      <c r="AH59" s="36" t="str">
        <f t="shared" si="2"/>
        <v/>
      </c>
    </row>
    <row r="60" spans="1:34" ht="1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29" t="str">
        <f t="shared" si="3"/>
        <v/>
      </c>
      <c r="Q60" s="30"/>
      <c r="R60" s="31"/>
      <c r="S60" s="68"/>
      <c r="T60" s="40"/>
      <c r="U60" s="38"/>
      <c r="V60" s="74"/>
      <c r="W60" s="34" t="str">
        <f t="shared" si="4"/>
        <v>FALSE</v>
      </c>
      <c r="X60" s="34" t="str">
        <f t="shared" si="0"/>
        <v>FALSE</v>
      </c>
      <c r="Y60" s="35">
        <f t="shared" si="5"/>
        <v>0</v>
      </c>
      <c r="Z60" s="36" t="str">
        <f t="shared" si="6"/>
        <v/>
      </c>
      <c r="AA60" s="6"/>
      <c r="AB60" s="41"/>
      <c r="AC60" s="38"/>
      <c r="AD60" s="38"/>
      <c r="AE60" s="34" t="str">
        <f t="shared" si="7"/>
        <v>FALSE</v>
      </c>
      <c r="AF60" s="34" t="str">
        <f t="shared" si="8"/>
        <v>FALSE</v>
      </c>
      <c r="AG60" s="35">
        <f t="shared" si="1"/>
        <v>0</v>
      </c>
      <c r="AH60" s="36" t="str">
        <f t="shared" si="2"/>
        <v/>
      </c>
    </row>
    <row r="61" spans="1:34" ht="1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29" t="str">
        <f t="shared" si="3"/>
        <v/>
      </c>
      <c r="Q61" s="30"/>
      <c r="R61" s="31"/>
      <c r="S61" s="68"/>
      <c r="T61" s="40"/>
      <c r="U61" s="38"/>
      <c r="V61" s="74"/>
      <c r="W61" s="34" t="str">
        <f t="shared" si="4"/>
        <v>FALSE</v>
      </c>
      <c r="X61" s="34" t="str">
        <f t="shared" si="0"/>
        <v>FALSE</v>
      </c>
      <c r="Y61" s="35">
        <f t="shared" si="5"/>
        <v>0</v>
      </c>
      <c r="Z61" s="36" t="str">
        <f t="shared" si="6"/>
        <v/>
      </c>
      <c r="AA61" s="6"/>
      <c r="AB61" s="41"/>
      <c r="AC61" s="38"/>
      <c r="AD61" s="38"/>
      <c r="AE61" s="34" t="str">
        <f t="shared" si="7"/>
        <v>FALSE</v>
      </c>
      <c r="AF61" s="34" t="str">
        <f t="shared" si="8"/>
        <v>FALSE</v>
      </c>
      <c r="AG61" s="35">
        <f t="shared" si="1"/>
        <v>0</v>
      </c>
      <c r="AH61" s="36" t="str">
        <f t="shared" si="2"/>
        <v/>
      </c>
    </row>
    <row r="62" spans="1:34" ht="1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29" t="str">
        <f t="shared" si="3"/>
        <v/>
      </c>
      <c r="Q62" s="30"/>
      <c r="R62" s="31"/>
      <c r="S62" s="68"/>
      <c r="T62" s="40"/>
      <c r="U62" s="38"/>
      <c r="V62" s="74"/>
      <c r="W62" s="34" t="str">
        <f t="shared" si="4"/>
        <v>FALSE</v>
      </c>
      <c r="X62" s="34" t="str">
        <f t="shared" si="0"/>
        <v>FALSE</v>
      </c>
      <c r="Y62" s="35">
        <f t="shared" si="5"/>
        <v>0</v>
      </c>
      <c r="Z62" s="36" t="str">
        <f t="shared" si="6"/>
        <v/>
      </c>
      <c r="AA62" s="6"/>
      <c r="AB62" s="41"/>
      <c r="AC62" s="38"/>
      <c r="AD62" s="38"/>
      <c r="AE62" s="34"/>
      <c r="AF62" s="34" t="str">
        <f t="shared" si="8"/>
        <v>FALSE</v>
      </c>
      <c r="AG62" s="35">
        <f t="shared" si="1"/>
        <v>0</v>
      </c>
      <c r="AH62" s="36" t="str">
        <f t="shared" si="2"/>
        <v/>
      </c>
    </row>
    <row r="63" spans="1:34" ht="1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29" t="str">
        <f t="shared" si="3"/>
        <v/>
      </c>
      <c r="Q63" s="30"/>
      <c r="R63" s="31"/>
      <c r="S63" s="68"/>
      <c r="T63" s="40"/>
      <c r="U63" s="38"/>
      <c r="V63" s="74"/>
      <c r="W63" s="34" t="str">
        <f t="shared" si="4"/>
        <v>FALSE</v>
      </c>
      <c r="X63" s="34" t="str">
        <f t="shared" si="0"/>
        <v>FALSE</v>
      </c>
      <c r="Y63" s="35">
        <f t="shared" si="5"/>
        <v>0</v>
      </c>
      <c r="Z63" s="36" t="str">
        <f t="shared" si="6"/>
        <v/>
      </c>
      <c r="AA63" s="6"/>
      <c r="AB63" s="41"/>
      <c r="AC63" s="38"/>
      <c r="AD63" s="38"/>
      <c r="AE63" s="34"/>
      <c r="AF63" s="34" t="str">
        <f t="shared" si="8"/>
        <v>FALSE</v>
      </c>
      <c r="AG63" s="35">
        <f t="shared" si="1"/>
        <v>0</v>
      </c>
      <c r="AH63" s="36" t="str">
        <f t="shared" si="2"/>
        <v/>
      </c>
    </row>
    <row r="64" spans="1:34" ht="1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29" t="str">
        <f t="shared" si="3"/>
        <v/>
      </c>
      <c r="Q64" s="30"/>
      <c r="R64" s="31"/>
      <c r="S64" s="68"/>
      <c r="T64" s="40"/>
      <c r="U64" s="38"/>
      <c r="V64" s="74"/>
      <c r="W64" s="34" t="str">
        <f t="shared" si="4"/>
        <v>FALSE</v>
      </c>
      <c r="X64" s="34" t="str">
        <f t="shared" si="0"/>
        <v>FALSE</v>
      </c>
      <c r="Y64" s="35">
        <f t="shared" si="5"/>
        <v>0</v>
      </c>
      <c r="Z64" s="36" t="str">
        <f t="shared" si="6"/>
        <v/>
      </c>
      <c r="AA64" s="6"/>
      <c r="AB64" s="41"/>
      <c r="AC64" s="38"/>
      <c r="AD64" s="38"/>
      <c r="AE64" s="34"/>
      <c r="AF64" s="34" t="str">
        <f t="shared" si="8"/>
        <v>FALSE</v>
      </c>
      <c r="AG64" s="35">
        <f t="shared" si="1"/>
        <v>0</v>
      </c>
      <c r="AH64" s="36" t="str">
        <f t="shared" si="2"/>
        <v/>
      </c>
    </row>
    <row r="65" spans="1:34" ht="1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29" t="str">
        <f t="shared" si="3"/>
        <v/>
      </c>
      <c r="Q65" s="30"/>
      <c r="R65" s="31"/>
      <c r="S65" s="68"/>
      <c r="T65" s="40"/>
      <c r="U65" s="38"/>
      <c r="V65" s="74"/>
      <c r="W65" s="34" t="str">
        <f t="shared" si="4"/>
        <v>FALSE</v>
      </c>
      <c r="X65" s="34" t="str">
        <f t="shared" si="0"/>
        <v>FALSE</v>
      </c>
      <c r="Y65" s="35">
        <f t="shared" si="5"/>
        <v>0</v>
      </c>
      <c r="Z65" s="36" t="str">
        <f t="shared" si="6"/>
        <v/>
      </c>
      <c r="AA65" s="6"/>
      <c r="AB65" s="41"/>
      <c r="AC65" s="38"/>
      <c r="AD65" s="38"/>
      <c r="AE65" s="34"/>
      <c r="AF65" s="34" t="str">
        <f t="shared" si="8"/>
        <v>FALSE</v>
      </c>
      <c r="AG65" s="35">
        <f t="shared" si="1"/>
        <v>0</v>
      </c>
      <c r="AH65" s="36" t="str">
        <f t="shared" si="2"/>
        <v/>
      </c>
    </row>
    <row r="66" spans="1:34" ht="1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29" t="str">
        <f t="shared" si="3"/>
        <v/>
      </c>
      <c r="Q66" s="30"/>
      <c r="R66" s="31"/>
      <c r="S66" s="68"/>
      <c r="T66" s="40"/>
      <c r="U66" s="38"/>
      <c r="V66" s="74"/>
      <c r="W66" s="34" t="str">
        <f t="shared" si="4"/>
        <v>FALSE</v>
      </c>
      <c r="X66" s="34" t="str">
        <f t="shared" si="0"/>
        <v>FALSE</v>
      </c>
      <c r="Y66" s="35">
        <f t="shared" si="5"/>
        <v>0</v>
      </c>
      <c r="Z66" s="36" t="str">
        <f t="shared" si="6"/>
        <v/>
      </c>
      <c r="AA66" s="6"/>
      <c r="AB66" s="41"/>
      <c r="AC66" s="38"/>
      <c r="AD66" s="38"/>
      <c r="AE66" s="34"/>
      <c r="AF66" s="34" t="str">
        <f t="shared" si="8"/>
        <v>FALSE</v>
      </c>
      <c r="AG66" s="35">
        <f t="shared" si="1"/>
        <v>0</v>
      </c>
      <c r="AH66" s="36" t="str">
        <f t="shared" si="2"/>
        <v/>
      </c>
    </row>
    <row r="67" spans="1:34" ht="1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29" t="str">
        <f t="shared" si="3"/>
        <v/>
      </c>
      <c r="Q67" s="30"/>
      <c r="R67" s="31"/>
      <c r="S67" s="68"/>
      <c r="T67" s="40"/>
      <c r="U67" s="38"/>
      <c r="V67" s="74"/>
      <c r="W67" s="34" t="str">
        <f t="shared" si="4"/>
        <v>FALSE</v>
      </c>
      <c r="X67" s="34" t="str">
        <f t="shared" si="0"/>
        <v>FALSE</v>
      </c>
      <c r="Y67" s="35">
        <f t="shared" si="5"/>
        <v>0</v>
      </c>
      <c r="Z67" s="36" t="str">
        <f t="shared" si="6"/>
        <v/>
      </c>
      <c r="AA67" s="6"/>
      <c r="AB67" s="41"/>
      <c r="AC67" s="38"/>
      <c r="AD67" s="38"/>
      <c r="AE67" s="34"/>
      <c r="AF67" s="34" t="str">
        <f t="shared" si="8"/>
        <v>FALSE</v>
      </c>
      <c r="AG67" s="35">
        <f t="shared" si="1"/>
        <v>0</v>
      </c>
      <c r="AH67" s="36" t="str">
        <f t="shared" si="2"/>
        <v/>
      </c>
    </row>
    <row r="68" spans="1:34" ht="1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29" t="str">
        <f t="shared" si="3"/>
        <v/>
      </c>
      <c r="Q68" s="30"/>
      <c r="R68" s="31"/>
      <c r="S68" s="68"/>
      <c r="T68" s="40"/>
      <c r="U68" s="38"/>
      <c r="V68" s="74"/>
      <c r="W68" s="34" t="str">
        <f t="shared" si="4"/>
        <v>FALSE</v>
      </c>
      <c r="X68" s="34" t="str">
        <f t="shared" si="0"/>
        <v>FALSE</v>
      </c>
      <c r="Y68" s="35">
        <f t="shared" si="5"/>
        <v>0</v>
      </c>
      <c r="Z68" s="36" t="str">
        <f t="shared" si="6"/>
        <v/>
      </c>
      <c r="AA68" s="6"/>
      <c r="AB68" s="41"/>
      <c r="AC68" s="38"/>
      <c r="AD68" s="38"/>
      <c r="AE68" s="34"/>
      <c r="AF68" s="34" t="str">
        <f t="shared" si="8"/>
        <v>FALSE</v>
      </c>
      <c r="AG68" s="35">
        <f t="shared" si="1"/>
        <v>0</v>
      </c>
      <c r="AH68" s="36" t="str">
        <f t="shared" si="2"/>
        <v/>
      </c>
    </row>
    <row r="69" spans="1:34" ht="1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29" t="str">
        <f t="shared" si="3"/>
        <v/>
      </c>
      <c r="Q69" s="30"/>
      <c r="R69" s="31"/>
      <c r="S69" s="68"/>
      <c r="T69" s="40"/>
      <c r="U69" s="38"/>
      <c r="V69" s="74"/>
      <c r="W69" s="34" t="str">
        <f t="shared" si="4"/>
        <v>FALSE</v>
      </c>
      <c r="X69" s="34" t="str">
        <f t="shared" si="0"/>
        <v>FALSE</v>
      </c>
      <c r="Y69" s="35">
        <f t="shared" si="5"/>
        <v>0</v>
      </c>
      <c r="Z69" s="36" t="str">
        <f t="shared" si="6"/>
        <v/>
      </c>
      <c r="AA69" s="6"/>
      <c r="AB69" s="41"/>
      <c r="AC69" s="38"/>
      <c r="AD69" s="38"/>
      <c r="AE69" s="34"/>
      <c r="AF69" s="34" t="str">
        <f t="shared" si="8"/>
        <v>FALSE</v>
      </c>
      <c r="AG69" s="35">
        <f t="shared" si="1"/>
        <v>0</v>
      </c>
      <c r="AH69" s="36" t="str">
        <f t="shared" si="2"/>
        <v/>
      </c>
    </row>
    <row r="70" spans="1:34" ht="1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29" t="str">
        <f t="shared" si="3"/>
        <v/>
      </c>
      <c r="Q70" s="30"/>
      <c r="R70" s="31"/>
      <c r="S70" s="68"/>
      <c r="T70" s="40"/>
      <c r="U70" s="38"/>
      <c r="V70" s="74"/>
      <c r="W70" s="34" t="str">
        <f t="shared" si="4"/>
        <v>FALSE</v>
      </c>
      <c r="X70" s="34" t="str">
        <f t="shared" si="0"/>
        <v>FALSE</v>
      </c>
      <c r="Y70" s="35">
        <f t="shared" si="5"/>
        <v>0</v>
      </c>
      <c r="Z70" s="36" t="str">
        <f t="shared" si="6"/>
        <v/>
      </c>
      <c r="AA70" s="6"/>
      <c r="AB70" s="41"/>
      <c r="AC70" s="38"/>
      <c r="AD70" s="38"/>
      <c r="AE70" s="34"/>
      <c r="AF70" s="34" t="str">
        <f t="shared" si="8"/>
        <v>FALSE</v>
      </c>
      <c r="AG70" s="35">
        <f t="shared" si="1"/>
        <v>0</v>
      </c>
      <c r="AH70" s="36" t="str">
        <f t="shared" si="2"/>
        <v/>
      </c>
    </row>
    <row r="71" spans="1:34" ht="1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29" t="str">
        <f t="shared" si="3"/>
        <v/>
      </c>
      <c r="Q71" s="30"/>
      <c r="R71" s="31"/>
      <c r="S71" s="68"/>
      <c r="T71" s="40"/>
      <c r="U71" s="38"/>
      <c r="V71" s="74"/>
      <c r="W71" s="34" t="str">
        <f t="shared" si="4"/>
        <v>FALSE</v>
      </c>
      <c r="X71" s="34" t="str">
        <f t="shared" si="0"/>
        <v>FALSE</v>
      </c>
      <c r="Y71" s="35">
        <f t="shared" si="5"/>
        <v>0</v>
      </c>
      <c r="Z71" s="36" t="str">
        <f t="shared" si="6"/>
        <v/>
      </c>
      <c r="AA71" s="6"/>
      <c r="AB71" s="41"/>
      <c r="AC71" s="38"/>
      <c r="AD71" s="38"/>
      <c r="AE71" s="34"/>
      <c r="AF71" s="34" t="str">
        <f t="shared" si="8"/>
        <v>FALSE</v>
      </c>
      <c r="AG71" s="35">
        <f t="shared" si="1"/>
        <v>0</v>
      </c>
      <c r="AH71" s="36" t="str">
        <f t="shared" si="2"/>
        <v/>
      </c>
    </row>
    <row r="72" spans="1:34" ht="1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29" t="str">
        <f t="shared" si="3"/>
        <v/>
      </c>
      <c r="Q72" s="30"/>
      <c r="R72" s="31"/>
      <c r="S72" s="68"/>
      <c r="T72" s="40"/>
      <c r="U72" s="38"/>
      <c r="V72" s="74"/>
      <c r="W72" s="34" t="str">
        <f t="shared" si="4"/>
        <v>FALSE</v>
      </c>
      <c r="X72" s="34" t="str">
        <f t="shared" si="0"/>
        <v>FALSE</v>
      </c>
      <c r="Y72" s="35">
        <f t="shared" si="5"/>
        <v>0</v>
      </c>
      <c r="Z72" s="36" t="str">
        <f t="shared" si="6"/>
        <v/>
      </c>
      <c r="AA72" s="6"/>
      <c r="AB72" s="41"/>
      <c r="AC72" s="38"/>
      <c r="AD72" s="38"/>
      <c r="AE72" s="34"/>
      <c r="AF72" s="34" t="str">
        <f t="shared" si="8"/>
        <v>FALSE</v>
      </c>
      <c r="AG72" s="35">
        <f t="shared" si="1"/>
        <v>0</v>
      </c>
      <c r="AH72" s="36" t="str">
        <f t="shared" si="2"/>
        <v/>
      </c>
    </row>
    <row r="73" spans="1:34" ht="1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29" t="str">
        <f t="shared" si="3"/>
        <v/>
      </c>
      <c r="Q73" s="30"/>
      <c r="R73" s="31"/>
      <c r="S73" s="68"/>
      <c r="T73" s="40"/>
      <c r="U73" s="38"/>
      <c r="V73" s="74"/>
      <c r="W73" s="34" t="str">
        <f t="shared" si="4"/>
        <v>FALSE</v>
      </c>
      <c r="X73" s="34" t="str">
        <f t="shared" si="0"/>
        <v>FALSE</v>
      </c>
      <c r="Y73" s="35">
        <f t="shared" si="5"/>
        <v>0</v>
      </c>
      <c r="Z73" s="36" t="str">
        <f t="shared" si="6"/>
        <v/>
      </c>
      <c r="AA73" s="6"/>
      <c r="AB73" s="41"/>
      <c r="AC73" s="38"/>
      <c r="AD73" s="38"/>
      <c r="AE73" s="34"/>
      <c r="AF73" s="34" t="str">
        <f t="shared" si="8"/>
        <v>FALSE</v>
      </c>
      <c r="AG73" s="35">
        <f t="shared" si="1"/>
        <v>0</v>
      </c>
      <c r="AH73" s="36" t="str">
        <f t="shared" si="2"/>
        <v/>
      </c>
    </row>
    <row r="74" spans="1:34" ht="1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29" t="str">
        <f t="shared" si="3"/>
        <v/>
      </c>
      <c r="Q74" s="30"/>
      <c r="R74" s="31"/>
      <c r="S74" s="68"/>
      <c r="T74" s="40"/>
      <c r="U74" s="38"/>
      <c r="V74" s="74"/>
      <c r="W74" s="34" t="str">
        <f t="shared" si="4"/>
        <v>FALSE</v>
      </c>
      <c r="X74" s="34" t="str">
        <f t="shared" si="0"/>
        <v>FALSE</v>
      </c>
      <c r="Y74" s="35">
        <f t="shared" si="5"/>
        <v>0</v>
      </c>
      <c r="Z74" s="36" t="str">
        <f t="shared" si="6"/>
        <v/>
      </c>
      <c r="AA74" s="6"/>
      <c r="AB74" s="41"/>
      <c r="AC74" s="38"/>
      <c r="AD74" s="38"/>
      <c r="AE74" s="34"/>
      <c r="AF74" s="34" t="str">
        <f t="shared" si="8"/>
        <v>FALSE</v>
      </c>
      <c r="AG74" s="35">
        <f t="shared" si="1"/>
        <v>0</v>
      </c>
      <c r="AH74" s="36" t="str">
        <f t="shared" si="2"/>
        <v/>
      </c>
    </row>
    <row r="75" spans="1:34" ht="1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29" t="str">
        <f t="shared" si="3"/>
        <v/>
      </c>
      <c r="Q75" s="30"/>
      <c r="R75" s="31"/>
      <c r="S75" s="68"/>
      <c r="T75" s="40"/>
      <c r="U75" s="38"/>
      <c r="V75" s="74"/>
      <c r="W75" s="34" t="str">
        <f t="shared" si="4"/>
        <v>FALSE</v>
      </c>
      <c r="X75" s="34" t="str">
        <f t="shared" si="0"/>
        <v>FALSE</v>
      </c>
      <c r="Y75" s="35">
        <f t="shared" si="5"/>
        <v>0</v>
      </c>
      <c r="Z75" s="36" t="str">
        <f t="shared" si="6"/>
        <v/>
      </c>
      <c r="AA75" s="6"/>
      <c r="AB75" s="41"/>
      <c r="AC75" s="38"/>
      <c r="AD75" s="38"/>
      <c r="AE75" s="34"/>
      <c r="AF75" s="34" t="str">
        <f t="shared" si="8"/>
        <v>FALSE</v>
      </c>
      <c r="AG75" s="35">
        <f t="shared" si="1"/>
        <v>0</v>
      </c>
      <c r="AH75" s="36" t="str">
        <f t="shared" si="2"/>
        <v/>
      </c>
    </row>
    <row r="76" spans="1:34" ht="1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29" t="str">
        <f t="shared" si="3"/>
        <v/>
      </c>
      <c r="Q76" s="30"/>
      <c r="R76" s="31"/>
      <c r="S76" s="68"/>
      <c r="T76" s="40"/>
      <c r="U76" s="38"/>
      <c r="V76" s="74"/>
      <c r="W76" s="34" t="str">
        <f t="shared" si="4"/>
        <v>FALSE</v>
      </c>
      <c r="X76" s="34" t="str">
        <f t="shared" si="0"/>
        <v>FALSE</v>
      </c>
      <c r="Y76" s="35">
        <f t="shared" si="5"/>
        <v>0</v>
      </c>
      <c r="Z76" s="36" t="str">
        <f t="shared" si="6"/>
        <v/>
      </c>
      <c r="AA76" s="6"/>
      <c r="AB76" s="41"/>
      <c r="AC76" s="38"/>
      <c r="AD76" s="38"/>
      <c r="AE76" s="34"/>
      <c r="AF76" s="34" t="str">
        <f t="shared" si="8"/>
        <v>FALSE</v>
      </c>
      <c r="AG76" s="35">
        <f t="shared" si="1"/>
        <v>0</v>
      </c>
      <c r="AH76" s="36" t="str">
        <f t="shared" si="2"/>
        <v/>
      </c>
    </row>
    <row r="77" spans="1:34" ht="1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29" t="str">
        <f t="shared" si="3"/>
        <v/>
      </c>
      <c r="Q77" s="30"/>
      <c r="R77" s="31"/>
      <c r="S77" s="68"/>
      <c r="T77" s="40"/>
      <c r="U77" s="38"/>
      <c r="V77" s="74"/>
      <c r="W77" s="34" t="str">
        <f t="shared" si="4"/>
        <v>FALSE</v>
      </c>
      <c r="X77" s="34" t="str">
        <f t="shared" si="0"/>
        <v>FALSE</v>
      </c>
      <c r="Y77" s="35">
        <f t="shared" si="5"/>
        <v>0</v>
      </c>
      <c r="Z77" s="36" t="str">
        <f t="shared" si="6"/>
        <v/>
      </c>
      <c r="AA77" s="6"/>
      <c r="AB77" s="41"/>
      <c r="AC77" s="38"/>
      <c r="AD77" s="38"/>
      <c r="AE77" s="34"/>
      <c r="AF77" s="34" t="str">
        <f t="shared" si="8"/>
        <v>FALSE</v>
      </c>
      <c r="AG77" s="35">
        <f t="shared" si="1"/>
        <v>0</v>
      </c>
      <c r="AH77" s="36" t="str">
        <f t="shared" si="2"/>
        <v/>
      </c>
    </row>
    <row r="78" spans="1:34" ht="1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29" t="str">
        <f t="shared" si="3"/>
        <v/>
      </c>
      <c r="Q78" s="30"/>
      <c r="R78" s="31"/>
      <c r="S78" s="68"/>
      <c r="T78" s="40"/>
      <c r="U78" s="38"/>
      <c r="V78" s="74"/>
      <c r="W78" s="34" t="str">
        <f t="shared" si="4"/>
        <v>FALSE</v>
      </c>
      <c r="X78" s="34" t="str">
        <f t="shared" ref="X78:X120" si="9">IF(U78="","FALSE",ABS((U78-AVERAGE($U$14:$U$120))/_xlfn.STDEV.S($U$14:$U$104)))</f>
        <v>FALSE</v>
      </c>
      <c r="Y78" s="35">
        <f t="shared" si="5"/>
        <v>0</v>
      </c>
      <c r="Z78" s="36" t="str">
        <f t="shared" si="6"/>
        <v/>
      </c>
      <c r="AA78" s="6"/>
      <c r="AB78" s="41"/>
      <c r="AC78" s="38"/>
      <c r="AD78" s="38"/>
      <c r="AE78" s="34"/>
      <c r="AF78" s="34" t="str">
        <f t="shared" si="8"/>
        <v>FALSE</v>
      </c>
      <c r="AG78" s="35">
        <f t="shared" ref="AG78:AG120" si="10">IF(OR(AC78&gt;$AG$11,AC78&lt;$AF$11),AC78,"")</f>
        <v>0</v>
      </c>
      <c r="AH78" s="36" t="str">
        <f t="shared" ref="AH78:AH120" si="11">IF(AC78="","",AC78/AB78)</f>
        <v/>
      </c>
    </row>
    <row r="79" spans="1:34" ht="1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29" t="str">
        <f t="shared" ref="P79:P120" si="12">IF(R79&lt;&gt;"",P78+1,"")</f>
        <v/>
      </c>
      <c r="Q79" s="30"/>
      <c r="R79" s="31"/>
      <c r="S79" s="68"/>
      <c r="T79" s="40"/>
      <c r="U79" s="38"/>
      <c r="V79" s="74"/>
      <c r="W79" s="34" t="str">
        <f t="shared" ref="W79:W120" si="13">IF(X79&gt;3,"FALSE",U79)</f>
        <v>FALSE</v>
      </c>
      <c r="X79" s="34" t="str">
        <f t="shared" si="9"/>
        <v>FALSE</v>
      </c>
      <c r="Y79" s="35">
        <f t="shared" ref="Y79:Y120" si="14">IF(OR(U79&gt;$Y$11,U79&lt;$X$11),U79,"")</f>
        <v>0</v>
      </c>
      <c r="Z79" s="36" t="str">
        <f t="shared" ref="Z79:Z120" si="15">IF(U79="","",U79/T79)</f>
        <v/>
      </c>
      <c r="AA79" s="6"/>
      <c r="AB79" s="41"/>
      <c r="AC79" s="38"/>
      <c r="AD79" s="38"/>
      <c r="AE79" s="34"/>
      <c r="AF79" s="34" t="str">
        <f t="shared" ref="AF79:AF120" si="16">IF(AC79="","FALSE",ABS((AC79-AVERAGE($AC$14:$AC$120))/_xlfn.STDEV.S($AC$14:$AC$104)))</f>
        <v>FALSE</v>
      </c>
      <c r="AG79" s="35">
        <f t="shared" si="10"/>
        <v>0</v>
      </c>
      <c r="AH79" s="36" t="str">
        <f t="shared" si="11"/>
        <v/>
      </c>
    </row>
    <row r="80" spans="1:34" ht="1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29" t="str">
        <f t="shared" si="12"/>
        <v/>
      </c>
      <c r="Q80" s="30"/>
      <c r="R80" s="31"/>
      <c r="S80" s="68"/>
      <c r="T80" s="40"/>
      <c r="U80" s="38"/>
      <c r="V80" s="74"/>
      <c r="W80" s="34" t="str">
        <f t="shared" si="13"/>
        <v>FALSE</v>
      </c>
      <c r="X80" s="34" t="str">
        <f t="shared" si="9"/>
        <v>FALSE</v>
      </c>
      <c r="Y80" s="35">
        <f t="shared" si="14"/>
        <v>0</v>
      </c>
      <c r="Z80" s="36" t="str">
        <f t="shared" si="15"/>
        <v/>
      </c>
      <c r="AA80" s="6"/>
      <c r="AB80" s="41"/>
      <c r="AC80" s="38"/>
      <c r="AD80" s="38"/>
      <c r="AE80" s="34"/>
      <c r="AF80" s="34" t="str">
        <f t="shared" si="16"/>
        <v>FALSE</v>
      </c>
      <c r="AG80" s="35">
        <f t="shared" si="10"/>
        <v>0</v>
      </c>
      <c r="AH80" s="36" t="str">
        <f t="shared" si="11"/>
        <v/>
      </c>
    </row>
    <row r="81" spans="1:34" ht="1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29" t="str">
        <f t="shared" si="12"/>
        <v/>
      </c>
      <c r="Q81" s="30"/>
      <c r="R81" s="31"/>
      <c r="S81" s="68"/>
      <c r="T81" s="40"/>
      <c r="U81" s="38"/>
      <c r="V81" s="74"/>
      <c r="W81" s="34" t="str">
        <f t="shared" si="13"/>
        <v>FALSE</v>
      </c>
      <c r="X81" s="34" t="str">
        <f t="shared" si="9"/>
        <v>FALSE</v>
      </c>
      <c r="Y81" s="35">
        <f t="shared" si="14"/>
        <v>0</v>
      </c>
      <c r="Z81" s="36" t="str">
        <f t="shared" si="15"/>
        <v/>
      </c>
      <c r="AA81" s="6"/>
      <c r="AB81" s="41"/>
      <c r="AC81" s="38"/>
      <c r="AD81" s="38"/>
      <c r="AE81" s="34"/>
      <c r="AF81" s="34" t="str">
        <f t="shared" si="16"/>
        <v>FALSE</v>
      </c>
      <c r="AG81" s="35">
        <f t="shared" si="10"/>
        <v>0</v>
      </c>
      <c r="AH81" s="36" t="str">
        <f t="shared" si="11"/>
        <v/>
      </c>
    </row>
    <row r="82" spans="1:34" ht="1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29" t="str">
        <f t="shared" si="12"/>
        <v/>
      </c>
      <c r="Q82" s="30"/>
      <c r="R82" s="31"/>
      <c r="S82" s="68"/>
      <c r="T82" s="40"/>
      <c r="U82" s="38"/>
      <c r="V82" s="74"/>
      <c r="W82" s="34" t="str">
        <f t="shared" si="13"/>
        <v>FALSE</v>
      </c>
      <c r="X82" s="34" t="str">
        <f t="shared" si="9"/>
        <v>FALSE</v>
      </c>
      <c r="Y82" s="35">
        <f t="shared" si="14"/>
        <v>0</v>
      </c>
      <c r="Z82" s="36" t="str">
        <f t="shared" si="15"/>
        <v/>
      </c>
      <c r="AA82" s="6"/>
      <c r="AB82" s="41"/>
      <c r="AC82" s="38"/>
      <c r="AD82" s="38"/>
      <c r="AE82" s="34"/>
      <c r="AF82" s="34" t="str">
        <f t="shared" si="16"/>
        <v>FALSE</v>
      </c>
      <c r="AG82" s="35">
        <f t="shared" si="10"/>
        <v>0</v>
      </c>
      <c r="AH82" s="36" t="str">
        <f t="shared" si="11"/>
        <v/>
      </c>
    </row>
    <row r="83" spans="1:34" ht="1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29" t="str">
        <f t="shared" si="12"/>
        <v/>
      </c>
      <c r="Q83" s="30"/>
      <c r="R83" s="31"/>
      <c r="S83" s="68"/>
      <c r="T83" s="40"/>
      <c r="U83" s="38"/>
      <c r="V83" s="74"/>
      <c r="W83" s="34" t="str">
        <f t="shared" si="13"/>
        <v>FALSE</v>
      </c>
      <c r="X83" s="34" t="str">
        <f t="shared" si="9"/>
        <v>FALSE</v>
      </c>
      <c r="Y83" s="35">
        <f t="shared" si="14"/>
        <v>0</v>
      </c>
      <c r="Z83" s="36" t="str">
        <f t="shared" si="15"/>
        <v/>
      </c>
      <c r="AA83" s="6"/>
      <c r="AB83" s="41"/>
      <c r="AC83" s="38"/>
      <c r="AD83" s="38"/>
      <c r="AE83" s="34"/>
      <c r="AF83" s="34" t="str">
        <f t="shared" si="16"/>
        <v>FALSE</v>
      </c>
      <c r="AG83" s="35">
        <f t="shared" si="10"/>
        <v>0</v>
      </c>
      <c r="AH83" s="36" t="str">
        <f t="shared" si="11"/>
        <v/>
      </c>
    </row>
    <row r="84" spans="1:34" ht="1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29" t="str">
        <f t="shared" si="12"/>
        <v/>
      </c>
      <c r="Q84" s="30"/>
      <c r="R84" s="31"/>
      <c r="S84" s="68"/>
      <c r="T84" s="40"/>
      <c r="U84" s="38"/>
      <c r="V84" s="74"/>
      <c r="W84" s="34" t="str">
        <f t="shared" si="13"/>
        <v>FALSE</v>
      </c>
      <c r="X84" s="34" t="str">
        <f t="shared" si="9"/>
        <v>FALSE</v>
      </c>
      <c r="Y84" s="35">
        <f t="shared" si="14"/>
        <v>0</v>
      </c>
      <c r="Z84" s="36" t="str">
        <f t="shared" si="15"/>
        <v/>
      </c>
      <c r="AA84" s="6"/>
      <c r="AB84" s="41"/>
      <c r="AC84" s="38"/>
      <c r="AD84" s="38"/>
      <c r="AE84" s="34"/>
      <c r="AF84" s="34" t="str">
        <f t="shared" si="16"/>
        <v>FALSE</v>
      </c>
      <c r="AG84" s="35">
        <f t="shared" si="10"/>
        <v>0</v>
      </c>
      <c r="AH84" s="36" t="str">
        <f t="shared" si="11"/>
        <v/>
      </c>
    </row>
    <row r="85" spans="1:34" ht="1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29" t="str">
        <f t="shared" si="12"/>
        <v/>
      </c>
      <c r="Q85" s="30"/>
      <c r="R85" s="31"/>
      <c r="S85" s="68"/>
      <c r="T85" s="40"/>
      <c r="U85" s="38"/>
      <c r="V85" s="74"/>
      <c r="W85" s="34" t="str">
        <f t="shared" si="13"/>
        <v>FALSE</v>
      </c>
      <c r="X85" s="34" t="str">
        <f t="shared" si="9"/>
        <v>FALSE</v>
      </c>
      <c r="Y85" s="35">
        <f t="shared" si="14"/>
        <v>0</v>
      </c>
      <c r="Z85" s="36" t="str">
        <f t="shared" si="15"/>
        <v/>
      </c>
      <c r="AA85" s="6"/>
      <c r="AB85" s="41"/>
      <c r="AC85" s="38"/>
      <c r="AD85" s="38"/>
      <c r="AE85" s="34"/>
      <c r="AF85" s="34" t="str">
        <f t="shared" si="16"/>
        <v>FALSE</v>
      </c>
      <c r="AG85" s="35">
        <f t="shared" si="10"/>
        <v>0</v>
      </c>
      <c r="AH85" s="36" t="str">
        <f t="shared" si="11"/>
        <v/>
      </c>
    </row>
    <row r="86" spans="1:34" ht="1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29" t="str">
        <f t="shared" si="12"/>
        <v/>
      </c>
      <c r="Q86" s="30"/>
      <c r="R86" s="31"/>
      <c r="S86" s="68"/>
      <c r="T86" s="40"/>
      <c r="U86" s="38"/>
      <c r="V86" s="74"/>
      <c r="W86" s="34" t="str">
        <f t="shared" si="13"/>
        <v>FALSE</v>
      </c>
      <c r="X86" s="34" t="str">
        <f t="shared" si="9"/>
        <v>FALSE</v>
      </c>
      <c r="Y86" s="35">
        <f t="shared" si="14"/>
        <v>0</v>
      </c>
      <c r="Z86" s="36" t="str">
        <f t="shared" si="15"/>
        <v/>
      </c>
      <c r="AA86" s="6"/>
      <c r="AB86" s="41"/>
      <c r="AC86" s="38"/>
      <c r="AD86" s="38"/>
      <c r="AE86" s="34"/>
      <c r="AF86" s="34" t="str">
        <f t="shared" si="16"/>
        <v>FALSE</v>
      </c>
      <c r="AG86" s="35">
        <f t="shared" si="10"/>
        <v>0</v>
      </c>
      <c r="AH86" s="36" t="str">
        <f t="shared" si="11"/>
        <v/>
      </c>
    </row>
    <row r="87" spans="1:34" ht="1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29" t="str">
        <f t="shared" si="12"/>
        <v/>
      </c>
      <c r="Q87" s="30"/>
      <c r="R87" s="31"/>
      <c r="S87" s="68"/>
      <c r="T87" s="40"/>
      <c r="U87" s="38"/>
      <c r="V87" s="74"/>
      <c r="W87" s="34" t="str">
        <f t="shared" si="13"/>
        <v>FALSE</v>
      </c>
      <c r="X87" s="34" t="str">
        <f t="shared" si="9"/>
        <v>FALSE</v>
      </c>
      <c r="Y87" s="35">
        <f t="shared" si="14"/>
        <v>0</v>
      </c>
      <c r="Z87" s="36" t="str">
        <f t="shared" si="15"/>
        <v/>
      </c>
      <c r="AA87" s="6"/>
      <c r="AB87" s="41"/>
      <c r="AC87" s="38"/>
      <c r="AD87" s="38"/>
      <c r="AE87" s="34"/>
      <c r="AF87" s="34" t="str">
        <f t="shared" si="16"/>
        <v>FALSE</v>
      </c>
      <c r="AG87" s="35">
        <f t="shared" si="10"/>
        <v>0</v>
      </c>
      <c r="AH87" s="36" t="str">
        <f t="shared" si="11"/>
        <v/>
      </c>
    </row>
    <row r="88" spans="1:34" ht="1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29" t="str">
        <f t="shared" si="12"/>
        <v/>
      </c>
      <c r="Q88" s="30"/>
      <c r="R88" s="31"/>
      <c r="S88" s="68"/>
      <c r="T88" s="40"/>
      <c r="U88" s="38"/>
      <c r="V88" s="74"/>
      <c r="W88" s="34" t="str">
        <f t="shared" si="13"/>
        <v>FALSE</v>
      </c>
      <c r="X88" s="34" t="str">
        <f t="shared" si="9"/>
        <v>FALSE</v>
      </c>
      <c r="Y88" s="35">
        <f t="shared" si="14"/>
        <v>0</v>
      </c>
      <c r="Z88" s="36" t="str">
        <f t="shared" si="15"/>
        <v/>
      </c>
      <c r="AA88" s="6"/>
      <c r="AB88" s="41"/>
      <c r="AC88" s="38"/>
      <c r="AD88" s="38"/>
      <c r="AE88" s="34"/>
      <c r="AF88" s="34" t="str">
        <f t="shared" si="16"/>
        <v>FALSE</v>
      </c>
      <c r="AG88" s="35">
        <f t="shared" si="10"/>
        <v>0</v>
      </c>
      <c r="AH88" s="36" t="str">
        <f t="shared" si="11"/>
        <v/>
      </c>
    </row>
    <row r="89" spans="1:34" ht="1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29" t="str">
        <f t="shared" si="12"/>
        <v/>
      </c>
      <c r="Q89" s="30"/>
      <c r="R89" s="31"/>
      <c r="S89" s="68"/>
      <c r="T89" s="40"/>
      <c r="U89" s="38"/>
      <c r="V89" s="74"/>
      <c r="W89" s="34" t="str">
        <f t="shared" si="13"/>
        <v>FALSE</v>
      </c>
      <c r="X89" s="34" t="str">
        <f t="shared" si="9"/>
        <v>FALSE</v>
      </c>
      <c r="Y89" s="35">
        <f t="shared" si="14"/>
        <v>0</v>
      </c>
      <c r="Z89" s="36" t="str">
        <f t="shared" si="15"/>
        <v/>
      </c>
      <c r="AA89" s="6"/>
      <c r="AB89" s="41"/>
      <c r="AC89" s="38"/>
      <c r="AD89" s="38"/>
      <c r="AE89" s="34"/>
      <c r="AF89" s="34" t="str">
        <f t="shared" si="16"/>
        <v>FALSE</v>
      </c>
      <c r="AG89" s="35">
        <f t="shared" si="10"/>
        <v>0</v>
      </c>
      <c r="AH89" s="36" t="str">
        <f t="shared" si="11"/>
        <v/>
      </c>
    </row>
    <row r="90" spans="1:34" ht="1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29" t="str">
        <f t="shared" si="12"/>
        <v/>
      </c>
      <c r="Q90" s="30"/>
      <c r="R90" s="31"/>
      <c r="S90" s="68"/>
      <c r="T90" s="40"/>
      <c r="U90" s="38"/>
      <c r="V90" s="74"/>
      <c r="W90" s="34" t="str">
        <f t="shared" si="13"/>
        <v>FALSE</v>
      </c>
      <c r="X90" s="34" t="str">
        <f t="shared" si="9"/>
        <v>FALSE</v>
      </c>
      <c r="Y90" s="35">
        <f t="shared" si="14"/>
        <v>0</v>
      </c>
      <c r="Z90" s="36" t="str">
        <f t="shared" si="15"/>
        <v/>
      </c>
      <c r="AA90" s="6"/>
      <c r="AB90" s="41"/>
      <c r="AC90" s="38"/>
      <c r="AD90" s="38"/>
      <c r="AE90" s="34"/>
      <c r="AF90" s="34" t="str">
        <f t="shared" si="16"/>
        <v>FALSE</v>
      </c>
      <c r="AG90" s="35">
        <f t="shared" si="10"/>
        <v>0</v>
      </c>
      <c r="AH90" s="36" t="str">
        <f t="shared" si="11"/>
        <v/>
      </c>
    </row>
    <row r="91" spans="1:34" ht="1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29" t="str">
        <f t="shared" si="12"/>
        <v/>
      </c>
      <c r="Q91" s="30"/>
      <c r="R91" s="31"/>
      <c r="S91" s="68"/>
      <c r="T91" s="40"/>
      <c r="U91" s="38"/>
      <c r="V91" s="74"/>
      <c r="W91" s="34" t="str">
        <f t="shared" si="13"/>
        <v>FALSE</v>
      </c>
      <c r="X91" s="34" t="str">
        <f t="shared" si="9"/>
        <v>FALSE</v>
      </c>
      <c r="Y91" s="35">
        <f t="shared" si="14"/>
        <v>0</v>
      </c>
      <c r="Z91" s="36" t="str">
        <f t="shared" si="15"/>
        <v/>
      </c>
      <c r="AA91" s="6"/>
      <c r="AB91" s="41"/>
      <c r="AC91" s="38"/>
      <c r="AD91" s="38"/>
      <c r="AE91" s="34"/>
      <c r="AF91" s="34" t="str">
        <f t="shared" si="16"/>
        <v>FALSE</v>
      </c>
      <c r="AG91" s="35">
        <f t="shared" si="10"/>
        <v>0</v>
      </c>
      <c r="AH91" s="36" t="str">
        <f t="shared" si="11"/>
        <v/>
      </c>
    </row>
    <row r="92" spans="1:34" ht="1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29" t="str">
        <f t="shared" si="12"/>
        <v/>
      </c>
      <c r="Q92" s="30"/>
      <c r="R92" s="31"/>
      <c r="S92" s="68"/>
      <c r="T92" s="40"/>
      <c r="U92" s="38"/>
      <c r="V92" s="74"/>
      <c r="W92" s="34" t="str">
        <f t="shared" si="13"/>
        <v>FALSE</v>
      </c>
      <c r="X92" s="34" t="str">
        <f t="shared" si="9"/>
        <v>FALSE</v>
      </c>
      <c r="Y92" s="35">
        <f t="shared" si="14"/>
        <v>0</v>
      </c>
      <c r="Z92" s="36" t="str">
        <f t="shared" si="15"/>
        <v/>
      </c>
      <c r="AA92" s="6"/>
      <c r="AB92" s="41"/>
      <c r="AC92" s="38"/>
      <c r="AD92" s="38"/>
      <c r="AE92" s="34"/>
      <c r="AF92" s="34" t="str">
        <f t="shared" si="16"/>
        <v>FALSE</v>
      </c>
      <c r="AG92" s="35">
        <f t="shared" si="10"/>
        <v>0</v>
      </c>
      <c r="AH92" s="36" t="str">
        <f t="shared" si="11"/>
        <v/>
      </c>
    </row>
    <row r="93" spans="1:34" ht="1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29" t="str">
        <f t="shared" si="12"/>
        <v/>
      </c>
      <c r="Q93" s="30"/>
      <c r="R93" s="31"/>
      <c r="S93" s="68"/>
      <c r="T93" s="40"/>
      <c r="U93" s="38"/>
      <c r="V93" s="74"/>
      <c r="W93" s="34" t="str">
        <f t="shared" si="13"/>
        <v>FALSE</v>
      </c>
      <c r="X93" s="34" t="str">
        <f t="shared" si="9"/>
        <v>FALSE</v>
      </c>
      <c r="Y93" s="35">
        <f t="shared" si="14"/>
        <v>0</v>
      </c>
      <c r="Z93" s="36" t="str">
        <f t="shared" si="15"/>
        <v/>
      </c>
      <c r="AA93" s="6"/>
      <c r="AB93" s="41"/>
      <c r="AC93" s="38"/>
      <c r="AD93" s="38"/>
      <c r="AE93" s="34"/>
      <c r="AF93" s="34" t="str">
        <f t="shared" si="16"/>
        <v>FALSE</v>
      </c>
      <c r="AG93" s="35">
        <f t="shared" si="10"/>
        <v>0</v>
      </c>
      <c r="AH93" s="36" t="str">
        <f t="shared" si="11"/>
        <v/>
      </c>
    </row>
    <row r="94" spans="1:34" ht="1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29" t="str">
        <f t="shared" si="12"/>
        <v/>
      </c>
      <c r="Q94" s="30"/>
      <c r="R94" s="31"/>
      <c r="S94" s="68"/>
      <c r="T94" s="40"/>
      <c r="U94" s="38"/>
      <c r="V94" s="74"/>
      <c r="W94" s="34" t="str">
        <f t="shared" si="13"/>
        <v>FALSE</v>
      </c>
      <c r="X94" s="34" t="str">
        <f t="shared" si="9"/>
        <v>FALSE</v>
      </c>
      <c r="Y94" s="35">
        <f t="shared" si="14"/>
        <v>0</v>
      </c>
      <c r="Z94" s="36" t="str">
        <f t="shared" si="15"/>
        <v/>
      </c>
      <c r="AA94" s="6"/>
      <c r="AB94" s="41"/>
      <c r="AC94" s="38"/>
      <c r="AD94" s="38"/>
      <c r="AE94" s="34"/>
      <c r="AF94" s="34" t="str">
        <f t="shared" si="16"/>
        <v>FALSE</v>
      </c>
      <c r="AG94" s="35">
        <f t="shared" si="10"/>
        <v>0</v>
      </c>
      <c r="AH94" s="36" t="str">
        <f t="shared" si="11"/>
        <v/>
      </c>
    </row>
    <row r="95" spans="1:34" ht="1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29" t="str">
        <f t="shared" si="12"/>
        <v/>
      </c>
      <c r="Q95" s="30"/>
      <c r="R95" s="31"/>
      <c r="S95" s="68"/>
      <c r="T95" s="40"/>
      <c r="U95" s="38"/>
      <c r="V95" s="74"/>
      <c r="W95" s="34" t="str">
        <f t="shared" si="13"/>
        <v>FALSE</v>
      </c>
      <c r="X95" s="34" t="str">
        <f t="shared" si="9"/>
        <v>FALSE</v>
      </c>
      <c r="Y95" s="35">
        <f t="shared" si="14"/>
        <v>0</v>
      </c>
      <c r="Z95" s="36" t="str">
        <f t="shared" si="15"/>
        <v/>
      </c>
      <c r="AA95" s="6"/>
      <c r="AB95" s="41"/>
      <c r="AC95" s="38"/>
      <c r="AD95" s="38"/>
      <c r="AE95" s="34"/>
      <c r="AF95" s="34" t="str">
        <f t="shared" si="16"/>
        <v>FALSE</v>
      </c>
      <c r="AG95" s="35">
        <f t="shared" si="10"/>
        <v>0</v>
      </c>
      <c r="AH95" s="36" t="str">
        <f t="shared" si="11"/>
        <v/>
      </c>
    </row>
    <row r="96" spans="1:34" ht="1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29" t="str">
        <f t="shared" si="12"/>
        <v/>
      </c>
      <c r="Q96" s="30"/>
      <c r="R96" s="31"/>
      <c r="S96" s="68"/>
      <c r="T96" s="40"/>
      <c r="U96" s="38"/>
      <c r="V96" s="74"/>
      <c r="W96" s="34" t="str">
        <f t="shared" si="13"/>
        <v>FALSE</v>
      </c>
      <c r="X96" s="34" t="str">
        <f t="shared" si="9"/>
        <v>FALSE</v>
      </c>
      <c r="Y96" s="35">
        <f t="shared" si="14"/>
        <v>0</v>
      </c>
      <c r="Z96" s="36" t="str">
        <f t="shared" si="15"/>
        <v/>
      </c>
      <c r="AA96" s="6"/>
      <c r="AB96" s="41"/>
      <c r="AC96" s="38"/>
      <c r="AD96" s="38"/>
      <c r="AE96" s="34"/>
      <c r="AF96" s="34" t="str">
        <f t="shared" si="16"/>
        <v>FALSE</v>
      </c>
      <c r="AG96" s="35">
        <f t="shared" si="10"/>
        <v>0</v>
      </c>
      <c r="AH96" s="36" t="str">
        <f t="shared" si="11"/>
        <v/>
      </c>
    </row>
    <row r="97" spans="1:34" ht="1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29" t="str">
        <f t="shared" si="12"/>
        <v/>
      </c>
      <c r="Q97" s="30"/>
      <c r="R97" s="31"/>
      <c r="S97" s="68"/>
      <c r="T97" s="40"/>
      <c r="U97" s="38"/>
      <c r="V97" s="74"/>
      <c r="W97" s="34" t="str">
        <f t="shared" si="13"/>
        <v>FALSE</v>
      </c>
      <c r="X97" s="34" t="str">
        <f t="shared" si="9"/>
        <v>FALSE</v>
      </c>
      <c r="Y97" s="35">
        <f t="shared" si="14"/>
        <v>0</v>
      </c>
      <c r="Z97" s="36" t="str">
        <f t="shared" si="15"/>
        <v/>
      </c>
      <c r="AA97" s="6"/>
      <c r="AB97" s="41"/>
      <c r="AC97" s="38"/>
      <c r="AD97" s="38"/>
      <c r="AE97" s="34"/>
      <c r="AF97" s="34" t="str">
        <f t="shared" si="16"/>
        <v>FALSE</v>
      </c>
      <c r="AG97" s="35">
        <f t="shared" si="10"/>
        <v>0</v>
      </c>
      <c r="AH97" s="36" t="str">
        <f t="shared" si="11"/>
        <v/>
      </c>
    </row>
    <row r="98" spans="1:34" ht="1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29" t="str">
        <f t="shared" si="12"/>
        <v/>
      </c>
      <c r="Q98" s="30"/>
      <c r="R98" s="31"/>
      <c r="S98" s="68"/>
      <c r="T98" s="40"/>
      <c r="U98" s="38"/>
      <c r="V98" s="74"/>
      <c r="W98" s="34" t="str">
        <f t="shared" si="13"/>
        <v>FALSE</v>
      </c>
      <c r="X98" s="34" t="str">
        <f t="shared" si="9"/>
        <v>FALSE</v>
      </c>
      <c r="Y98" s="35">
        <f t="shared" si="14"/>
        <v>0</v>
      </c>
      <c r="Z98" s="36" t="str">
        <f t="shared" si="15"/>
        <v/>
      </c>
      <c r="AA98" s="6"/>
      <c r="AB98" s="41"/>
      <c r="AC98" s="38"/>
      <c r="AD98" s="38"/>
      <c r="AE98" s="34"/>
      <c r="AF98" s="34" t="str">
        <f t="shared" si="16"/>
        <v>FALSE</v>
      </c>
      <c r="AG98" s="35">
        <f t="shared" si="10"/>
        <v>0</v>
      </c>
      <c r="AH98" s="36" t="str">
        <f t="shared" si="11"/>
        <v/>
      </c>
    </row>
    <row r="99" spans="1:34" ht="1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29" t="str">
        <f t="shared" si="12"/>
        <v/>
      </c>
      <c r="Q99" s="30"/>
      <c r="R99" s="31"/>
      <c r="S99" s="68"/>
      <c r="T99" s="40"/>
      <c r="U99" s="38"/>
      <c r="V99" s="74"/>
      <c r="W99" s="34" t="str">
        <f t="shared" si="13"/>
        <v>FALSE</v>
      </c>
      <c r="X99" s="34" t="str">
        <f t="shared" si="9"/>
        <v>FALSE</v>
      </c>
      <c r="Y99" s="35">
        <f t="shared" si="14"/>
        <v>0</v>
      </c>
      <c r="Z99" s="36" t="str">
        <f t="shared" si="15"/>
        <v/>
      </c>
      <c r="AA99" s="6"/>
      <c r="AB99" s="41"/>
      <c r="AC99" s="38"/>
      <c r="AD99" s="38"/>
      <c r="AE99" s="34"/>
      <c r="AF99" s="34" t="str">
        <f t="shared" si="16"/>
        <v>FALSE</v>
      </c>
      <c r="AG99" s="35">
        <f t="shared" si="10"/>
        <v>0</v>
      </c>
      <c r="AH99" s="36" t="str">
        <f t="shared" si="11"/>
        <v/>
      </c>
    </row>
    <row r="100" spans="1:34" ht="1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29" t="str">
        <f t="shared" si="12"/>
        <v/>
      </c>
      <c r="Q100" s="30"/>
      <c r="R100" s="31"/>
      <c r="S100" s="68"/>
      <c r="T100" s="40"/>
      <c r="U100" s="38"/>
      <c r="V100" s="74"/>
      <c r="W100" s="34" t="str">
        <f t="shared" si="13"/>
        <v>FALSE</v>
      </c>
      <c r="X100" s="34" t="str">
        <f t="shared" si="9"/>
        <v>FALSE</v>
      </c>
      <c r="Y100" s="35">
        <f t="shared" si="14"/>
        <v>0</v>
      </c>
      <c r="Z100" s="36" t="str">
        <f t="shared" si="15"/>
        <v/>
      </c>
      <c r="AA100" s="6"/>
      <c r="AB100" s="41"/>
      <c r="AC100" s="38"/>
      <c r="AD100" s="38"/>
      <c r="AE100" s="34"/>
      <c r="AF100" s="34" t="str">
        <f t="shared" si="16"/>
        <v>FALSE</v>
      </c>
      <c r="AG100" s="35">
        <f t="shared" si="10"/>
        <v>0</v>
      </c>
      <c r="AH100" s="36" t="str">
        <f t="shared" si="11"/>
        <v/>
      </c>
    </row>
    <row r="101" spans="1:34" ht="1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29" t="str">
        <f t="shared" si="12"/>
        <v/>
      </c>
      <c r="Q101" s="30"/>
      <c r="R101" s="31"/>
      <c r="S101" s="68"/>
      <c r="T101" s="40"/>
      <c r="U101" s="38"/>
      <c r="V101" s="74"/>
      <c r="W101" s="34" t="str">
        <f t="shared" si="13"/>
        <v>FALSE</v>
      </c>
      <c r="X101" s="34" t="str">
        <f t="shared" si="9"/>
        <v>FALSE</v>
      </c>
      <c r="Y101" s="35">
        <f t="shared" si="14"/>
        <v>0</v>
      </c>
      <c r="Z101" s="36" t="str">
        <f t="shared" si="15"/>
        <v/>
      </c>
      <c r="AA101" s="6"/>
      <c r="AB101" s="41"/>
      <c r="AC101" s="38"/>
      <c r="AD101" s="38"/>
      <c r="AE101" s="34"/>
      <c r="AF101" s="34" t="str">
        <f t="shared" si="16"/>
        <v>FALSE</v>
      </c>
      <c r="AG101" s="35">
        <f t="shared" si="10"/>
        <v>0</v>
      </c>
      <c r="AH101" s="36" t="str">
        <f t="shared" si="11"/>
        <v/>
      </c>
    </row>
    <row r="102" spans="1:34" ht="1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29" t="str">
        <f t="shared" si="12"/>
        <v/>
      </c>
      <c r="Q102" s="30"/>
      <c r="R102" s="31"/>
      <c r="S102" s="68"/>
      <c r="T102" s="40"/>
      <c r="U102" s="38"/>
      <c r="V102" s="74"/>
      <c r="W102" s="34" t="str">
        <f t="shared" si="13"/>
        <v>FALSE</v>
      </c>
      <c r="X102" s="34" t="str">
        <f t="shared" si="9"/>
        <v>FALSE</v>
      </c>
      <c r="Y102" s="35">
        <f t="shared" si="14"/>
        <v>0</v>
      </c>
      <c r="Z102" s="36" t="str">
        <f t="shared" si="15"/>
        <v/>
      </c>
      <c r="AA102" s="6"/>
      <c r="AB102" s="41"/>
      <c r="AC102" s="38"/>
      <c r="AD102" s="38"/>
      <c r="AE102" s="34"/>
      <c r="AF102" s="34" t="str">
        <f t="shared" si="16"/>
        <v>FALSE</v>
      </c>
      <c r="AG102" s="35">
        <f t="shared" si="10"/>
        <v>0</v>
      </c>
      <c r="AH102" s="36" t="str">
        <f t="shared" si="11"/>
        <v/>
      </c>
    </row>
    <row r="103" spans="1:34" ht="1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29" t="str">
        <f t="shared" si="12"/>
        <v/>
      </c>
      <c r="Q103" s="30"/>
      <c r="R103" s="31"/>
      <c r="S103" s="68"/>
      <c r="T103" s="40"/>
      <c r="U103" s="38"/>
      <c r="V103" s="74"/>
      <c r="W103" s="34" t="str">
        <f t="shared" si="13"/>
        <v>FALSE</v>
      </c>
      <c r="X103" s="34" t="str">
        <f t="shared" si="9"/>
        <v>FALSE</v>
      </c>
      <c r="Y103" s="35">
        <f t="shared" si="14"/>
        <v>0</v>
      </c>
      <c r="Z103" s="36" t="str">
        <f t="shared" si="15"/>
        <v/>
      </c>
      <c r="AA103" s="6"/>
      <c r="AB103" s="41"/>
      <c r="AC103" s="38"/>
      <c r="AD103" s="38"/>
      <c r="AE103" s="34"/>
      <c r="AF103" s="34" t="str">
        <f t="shared" si="16"/>
        <v>FALSE</v>
      </c>
      <c r="AG103" s="35">
        <f t="shared" si="10"/>
        <v>0</v>
      </c>
      <c r="AH103" s="36" t="str">
        <f t="shared" si="11"/>
        <v/>
      </c>
    </row>
    <row r="104" spans="1:34" ht="1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29" t="str">
        <f t="shared" si="12"/>
        <v/>
      </c>
      <c r="Q104" s="30"/>
      <c r="R104" s="31"/>
      <c r="S104" s="68"/>
      <c r="T104" s="40"/>
      <c r="U104" s="38"/>
      <c r="V104" s="74"/>
      <c r="W104" s="34" t="str">
        <f t="shared" si="13"/>
        <v>FALSE</v>
      </c>
      <c r="X104" s="34" t="str">
        <f t="shared" si="9"/>
        <v>FALSE</v>
      </c>
      <c r="Y104" s="35">
        <f t="shared" si="14"/>
        <v>0</v>
      </c>
      <c r="Z104" s="36" t="str">
        <f t="shared" si="15"/>
        <v/>
      </c>
      <c r="AA104" s="6"/>
      <c r="AB104" s="41"/>
      <c r="AC104" s="38"/>
      <c r="AD104" s="38"/>
      <c r="AE104" s="34"/>
      <c r="AF104" s="34" t="str">
        <f t="shared" si="16"/>
        <v>FALSE</v>
      </c>
      <c r="AG104" s="35">
        <f t="shared" si="10"/>
        <v>0</v>
      </c>
      <c r="AH104" s="36" t="str">
        <f t="shared" si="11"/>
        <v/>
      </c>
    </row>
    <row r="105" spans="1:34" ht="1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29" t="str">
        <f t="shared" si="12"/>
        <v/>
      </c>
      <c r="Q105" s="30"/>
      <c r="R105" s="31"/>
      <c r="S105" s="68"/>
      <c r="T105" s="40"/>
      <c r="U105" s="38"/>
      <c r="V105" s="74"/>
      <c r="W105" s="34" t="str">
        <f t="shared" si="13"/>
        <v>FALSE</v>
      </c>
      <c r="X105" s="34" t="str">
        <f t="shared" si="9"/>
        <v>FALSE</v>
      </c>
      <c r="Y105" s="35">
        <f t="shared" si="14"/>
        <v>0</v>
      </c>
      <c r="Z105" s="36" t="str">
        <f t="shared" si="15"/>
        <v/>
      </c>
      <c r="AA105" s="6"/>
      <c r="AB105" s="41"/>
      <c r="AC105" s="38"/>
      <c r="AD105" s="38"/>
      <c r="AE105" s="34"/>
      <c r="AF105" s="34" t="str">
        <f t="shared" si="16"/>
        <v>FALSE</v>
      </c>
      <c r="AG105" s="35">
        <f t="shared" si="10"/>
        <v>0</v>
      </c>
      <c r="AH105" s="36" t="str">
        <f t="shared" si="11"/>
        <v/>
      </c>
    </row>
    <row r="106" spans="1:34" ht="1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29" t="str">
        <f t="shared" si="12"/>
        <v/>
      </c>
      <c r="Q106" s="30"/>
      <c r="R106" s="31"/>
      <c r="S106" s="68"/>
      <c r="T106" s="40"/>
      <c r="U106" s="38"/>
      <c r="V106" s="74"/>
      <c r="W106" s="34" t="str">
        <f t="shared" si="13"/>
        <v>FALSE</v>
      </c>
      <c r="X106" s="34" t="str">
        <f t="shared" si="9"/>
        <v>FALSE</v>
      </c>
      <c r="Y106" s="35">
        <f t="shared" si="14"/>
        <v>0</v>
      </c>
      <c r="Z106" s="36" t="str">
        <f t="shared" si="15"/>
        <v/>
      </c>
      <c r="AA106" s="6"/>
      <c r="AB106" s="41"/>
      <c r="AC106" s="38"/>
      <c r="AD106" s="38"/>
      <c r="AE106" s="34"/>
      <c r="AF106" s="34" t="str">
        <f t="shared" si="16"/>
        <v>FALSE</v>
      </c>
      <c r="AG106" s="35">
        <f t="shared" si="10"/>
        <v>0</v>
      </c>
      <c r="AH106" s="36" t="str">
        <f t="shared" si="11"/>
        <v/>
      </c>
    </row>
    <row r="107" spans="1:34" ht="1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29" t="str">
        <f t="shared" si="12"/>
        <v/>
      </c>
      <c r="Q107" s="30"/>
      <c r="R107" s="31"/>
      <c r="S107" s="68"/>
      <c r="T107" s="40"/>
      <c r="U107" s="38"/>
      <c r="V107" s="74"/>
      <c r="W107" s="34" t="str">
        <f t="shared" si="13"/>
        <v>FALSE</v>
      </c>
      <c r="X107" s="34" t="str">
        <f t="shared" si="9"/>
        <v>FALSE</v>
      </c>
      <c r="Y107" s="35">
        <f t="shared" si="14"/>
        <v>0</v>
      </c>
      <c r="Z107" s="36" t="str">
        <f t="shared" si="15"/>
        <v/>
      </c>
      <c r="AA107" s="6"/>
      <c r="AB107" s="41"/>
      <c r="AC107" s="38"/>
      <c r="AD107" s="38"/>
      <c r="AE107" s="34"/>
      <c r="AF107" s="34" t="str">
        <f t="shared" si="16"/>
        <v>FALSE</v>
      </c>
      <c r="AG107" s="35">
        <f t="shared" si="10"/>
        <v>0</v>
      </c>
      <c r="AH107" s="36" t="str">
        <f t="shared" si="11"/>
        <v/>
      </c>
    </row>
    <row r="108" spans="1:34" ht="1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29" t="str">
        <f t="shared" si="12"/>
        <v/>
      </c>
      <c r="Q108" s="30"/>
      <c r="R108" s="31"/>
      <c r="S108" s="68"/>
      <c r="T108" s="40"/>
      <c r="U108" s="38"/>
      <c r="V108" s="74"/>
      <c r="W108" s="34" t="str">
        <f t="shared" si="13"/>
        <v>FALSE</v>
      </c>
      <c r="X108" s="34" t="str">
        <f t="shared" si="9"/>
        <v>FALSE</v>
      </c>
      <c r="Y108" s="35">
        <f t="shared" si="14"/>
        <v>0</v>
      </c>
      <c r="Z108" s="36" t="str">
        <f t="shared" si="15"/>
        <v/>
      </c>
      <c r="AA108" s="6"/>
      <c r="AB108" s="41"/>
      <c r="AC108" s="38"/>
      <c r="AD108" s="38"/>
      <c r="AE108" s="34"/>
      <c r="AF108" s="34" t="str">
        <f t="shared" si="16"/>
        <v>FALSE</v>
      </c>
      <c r="AG108" s="35">
        <f t="shared" si="10"/>
        <v>0</v>
      </c>
      <c r="AH108" s="36" t="str">
        <f t="shared" si="11"/>
        <v/>
      </c>
    </row>
    <row r="109" spans="1:34" ht="1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29" t="str">
        <f t="shared" si="12"/>
        <v/>
      </c>
      <c r="Q109" s="30"/>
      <c r="R109" s="31"/>
      <c r="S109" s="68"/>
      <c r="T109" s="40"/>
      <c r="U109" s="38"/>
      <c r="V109" s="74"/>
      <c r="W109" s="34" t="str">
        <f t="shared" si="13"/>
        <v>FALSE</v>
      </c>
      <c r="X109" s="34" t="str">
        <f t="shared" si="9"/>
        <v>FALSE</v>
      </c>
      <c r="Y109" s="35">
        <f t="shared" si="14"/>
        <v>0</v>
      </c>
      <c r="Z109" s="36" t="str">
        <f t="shared" si="15"/>
        <v/>
      </c>
      <c r="AA109" s="6"/>
      <c r="AB109" s="41"/>
      <c r="AC109" s="38"/>
      <c r="AD109" s="38"/>
      <c r="AE109" s="34"/>
      <c r="AF109" s="34" t="str">
        <f t="shared" si="16"/>
        <v>FALSE</v>
      </c>
      <c r="AG109" s="35">
        <f t="shared" si="10"/>
        <v>0</v>
      </c>
      <c r="AH109" s="36" t="str">
        <f t="shared" si="11"/>
        <v/>
      </c>
    </row>
    <row r="110" spans="1:34" ht="1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29" t="str">
        <f t="shared" si="12"/>
        <v/>
      </c>
      <c r="Q110" s="30"/>
      <c r="R110" s="31"/>
      <c r="S110" s="68"/>
      <c r="T110" s="40"/>
      <c r="U110" s="38"/>
      <c r="V110" s="74"/>
      <c r="W110" s="34" t="str">
        <f t="shared" si="13"/>
        <v>FALSE</v>
      </c>
      <c r="X110" s="34" t="str">
        <f t="shared" si="9"/>
        <v>FALSE</v>
      </c>
      <c r="Y110" s="35">
        <f t="shared" si="14"/>
        <v>0</v>
      </c>
      <c r="Z110" s="36" t="str">
        <f t="shared" si="15"/>
        <v/>
      </c>
      <c r="AA110" s="6"/>
      <c r="AB110" s="41"/>
      <c r="AC110" s="38"/>
      <c r="AD110" s="38"/>
      <c r="AE110" s="34"/>
      <c r="AF110" s="34" t="str">
        <f t="shared" si="16"/>
        <v>FALSE</v>
      </c>
      <c r="AG110" s="35">
        <f t="shared" si="10"/>
        <v>0</v>
      </c>
      <c r="AH110" s="36" t="str">
        <f t="shared" si="11"/>
        <v/>
      </c>
    </row>
    <row r="111" spans="1:34" ht="1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29" t="str">
        <f t="shared" si="12"/>
        <v/>
      </c>
      <c r="Q111" s="30"/>
      <c r="R111" s="31"/>
      <c r="S111" s="68"/>
      <c r="T111" s="40"/>
      <c r="U111" s="38"/>
      <c r="V111" s="74"/>
      <c r="W111" s="34" t="str">
        <f t="shared" si="13"/>
        <v>FALSE</v>
      </c>
      <c r="X111" s="34" t="str">
        <f t="shared" si="9"/>
        <v>FALSE</v>
      </c>
      <c r="Y111" s="35">
        <f t="shared" si="14"/>
        <v>0</v>
      </c>
      <c r="Z111" s="36" t="str">
        <f t="shared" si="15"/>
        <v/>
      </c>
      <c r="AA111" s="6"/>
      <c r="AB111" s="41"/>
      <c r="AC111" s="38"/>
      <c r="AD111" s="38"/>
      <c r="AE111" s="34"/>
      <c r="AF111" s="34" t="str">
        <f t="shared" si="16"/>
        <v>FALSE</v>
      </c>
      <c r="AG111" s="35">
        <f t="shared" si="10"/>
        <v>0</v>
      </c>
      <c r="AH111" s="36" t="str">
        <f t="shared" si="11"/>
        <v/>
      </c>
    </row>
    <row r="112" spans="1:34" ht="1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29" t="str">
        <f t="shared" si="12"/>
        <v/>
      </c>
      <c r="Q112" s="30"/>
      <c r="R112" s="31"/>
      <c r="S112" s="68"/>
      <c r="T112" s="40"/>
      <c r="U112" s="38"/>
      <c r="V112" s="74"/>
      <c r="W112" s="34" t="str">
        <f t="shared" si="13"/>
        <v>FALSE</v>
      </c>
      <c r="X112" s="34" t="str">
        <f t="shared" si="9"/>
        <v>FALSE</v>
      </c>
      <c r="Y112" s="35">
        <f t="shared" si="14"/>
        <v>0</v>
      </c>
      <c r="Z112" s="36" t="str">
        <f t="shared" si="15"/>
        <v/>
      </c>
      <c r="AA112" s="6"/>
      <c r="AB112" s="41"/>
      <c r="AC112" s="38"/>
      <c r="AD112" s="38"/>
      <c r="AE112" s="34"/>
      <c r="AF112" s="34" t="str">
        <f t="shared" si="16"/>
        <v>FALSE</v>
      </c>
      <c r="AG112" s="35">
        <f t="shared" si="10"/>
        <v>0</v>
      </c>
      <c r="AH112" s="36" t="str">
        <f t="shared" si="11"/>
        <v/>
      </c>
    </row>
    <row r="113" spans="1:34" ht="1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29" t="str">
        <f t="shared" si="12"/>
        <v/>
      </c>
      <c r="Q113" s="30"/>
      <c r="R113" s="31"/>
      <c r="S113" s="68"/>
      <c r="T113" s="40"/>
      <c r="U113" s="38"/>
      <c r="V113" s="74"/>
      <c r="W113" s="34" t="str">
        <f t="shared" si="13"/>
        <v>FALSE</v>
      </c>
      <c r="X113" s="34" t="str">
        <f t="shared" si="9"/>
        <v>FALSE</v>
      </c>
      <c r="Y113" s="35">
        <f t="shared" si="14"/>
        <v>0</v>
      </c>
      <c r="Z113" s="36" t="str">
        <f t="shared" si="15"/>
        <v/>
      </c>
      <c r="AA113" s="6"/>
      <c r="AB113" s="41"/>
      <c r="AC113" s="38"/>
      <c r="AD113" s="38"/>
      <c r="AE113" s="34"/>
      <c r="AF113" s="34" t="str">
        <f t="shared" si="16"/>
        <v>FALSE</v>
      </c>
      <c r="AG113" s="35">
        <f t="shared" si="10"/>
        <v>0</v>
      </c>
      <c r="AH113" s="36" t="str">
        <f t="shared" si="11"/>
        <v/>
      </c>
    </row>
    <row r="114" spans="1:34" ht="1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29" t="str">
        <f t="shared" si="12"/>
        <v/>
      </c>
      <c r="Q114" s="30"/>
      <c r="R114" s="31"/>
      <c r="S114" s="68"/>
      <c r="T114" s="40"/>
      <c r="U114" s="38"/>
      <c r="V114" s="74"/>
      <c r="W114" s="34" t="str">
        <f t="shared" si="13"/>
        <v>FALSE</v>
      </c>
      <c r="X114" s="34" t="str">
        <f t="shared" si="9"/>
        <v>FALSE</v>
      </c>
      <c r="Y114" s="35">
        <f t="shared" si="14"/>
        <v>0</v>
      </c>
      <c r="Z114" s="36" t="str">
        <f t="shared" si="15"/>
        <v/>
      </c>
      <c r="AA114" s="6"/>
      <c r="AB114" s="41"/>
      <c r="AC114" s="38"/>
      <c r="AD114" s="38"/>
      <c r="AE114" s="34"/>
      <c r="AF114" s="34" t="str">
        <f t="shared" si="16"/>
        <v>FALSE</v>
      </c>
      <c r="AG114" s="35">
        <f t="shared" si="10"/>
        <v>0</v>
      </c>
      <c r="AH114" s="36" t="str">
        <f t="shared" si="11"/>
        <v/>
      </c>
    </row>
    <row r="115" spans="1:34" ht="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29" t="str">
        <f t="shared" si="12"/>
        <v/>
      </c>
      <c r="Q115" s="30"/>
      <c r="R115" s="31"/>
      <c r="S115" s="68"/>
      <c r="T115" s="40"/>
      <c r="U115" s="38"/>
      <c r="V115" s="74"/>
      <c r="W115" s="34" t="str">
        <f t="shared" si="13"/>
        <v>FALSE</v>
      </c>
      <c r="X115" s="34" t="str">
        <f t="shared" si="9"/>
        <v>FALSE</v>
      </c>
      <c r="Y115" s="35">
        <f t="shared" si="14"/>
        <v>0</v>
      </c>
      <c r="Z115" s="36" t="str">
        <f t="shared" si="15"/>
        <v/>
      </c>
      <c r="AA115" s="6"/>
      <c r="AB115" s="41"/>
      <c r="AC115" s="38"/>
      <c r="AD115" s="38"/>
      <c r="AE115" s="34"/>
      <c r="AF115" s="34" t="str">
        <f t="shared" si="16"/>
        <v>FALSE</v>
      </c>
      <c r="AG115" s="35">
        <f t="shared" si="10"/>
        <v>0</v>
      </c>
      <c r="AH115" s="36" t="str">
        <f t="shared" si="11"/>
        <v/>
      </c>
    </row>
    <row r="116" spans="1:34" ht="1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29" t="str">
        <f t="shared" si="12"/>
        <v/>
      </c>
      <c r="Q116" s="30"/>
      <c r="R116" s="31"/>
      <c r="S116" s="68"/>
      <c r="T116" s="40"/>
      <c r="U116" s="38"/>
      <c r="V116" s="74"/>
      <c r="W116" s="34" t="str">
        <f t="shared" si="13"/>
        <v>FALSE</v>
      </c>
      <c r="X116" s="34" t="str">
        <f t="shared" si="9"/>
        <v>FALSE</v>
      </c>
      <c r="Y116" s="35">
        <f t="shared" si="14"/>
        <v>0</v>
      </c>
      <c r="Z116" s="36" t="str">
        <f t="shared" si="15"/>
        <v/>
      </c>
      <c r="AA116" s="6"/>
      <c r="AB116" s="41"/>
      <c r="AC116" s="38"/>
      <c r="AD116" s="38"/>
      <c r="AE116" s="34"/>
      <c r="AF116" s="34" t="str">
        <f t="shared" si="16"/>
        <v>FALSE</v>
      </c>
      <c r="AG116" s="35">
        <f t="shared" si="10"/>
        <v>0</v>
      </c>
      <c r="AH116" s="36" t="str">
        <f t="shared" si="11"/>
        <v/>
      </c>
    </row>
    <row r="117" spans="1:34" ht="1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29" t="str">
        <f t="shared" si="12"/>
        <v/>
      </c>
      <c r="Q117" s="30"/>
      <c r="R117" s="31"/>
      <c r="S117" s="68"/>
      <c r="T117" s="40"/>
      <c r="U117" s="38"/>
      <c r="V117" s="74"/>
      <c r="W117" s="34" t="str">
        <f t="shared" si="13"/>
        <v>FALSE</v>
      </c>
      <c r="X117" s="34" t="str">
        <f t="shared" si="9"/>
        <v>FALSE</v>
      </c>
      <c r="Y117" s="35">
        <f t="shared" si="14"/>
        <v>0</v>
      </c>
      <c r="Z117" s="36" t="str">
        <f t="shared" si="15"/>
        <v/>
      </c>
      <c r="AA117" s="6"/>
      <c r="AB117" s="41"/>
      <c r="AC117" s="38"/>
      <c r="AD117" s="38"/>
      <c r="AE117" s="34"/>
      <c r="AF117" s="34" t="str">
        <f t="shared" si="16"/>
        <v>FALSE</v>
      </c>
      <c r="AG117" s="35">
        <f t="shared" si="10"/>
        <v>0</v>
      </c>
      <c r="AH117" s="36" t="str">
        <f t="shared" si="11"/>
        <v/>
      </c>
    </row>
    <row r="118" spans="1:34" ht="1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29" t="str">
        <f t="shared" si="12"/>
        <v/>
      </c>
      <c r="Q118" s="30"/>
      <c r="R118" s="31"/>
      <c r="S118" s="68"/>
      <c r="T118" s="40"/>
      <c r="U118" s="38"/>
      <c r="V118" s="74"/>
      <c r="W118" s="34" t="str">
        <f t="shared" si="13"/>
        <v>FALSE</v>
      </c>
      <c r="X118" s="34" t="str">
        <f t="shared" si="9"/>
        <v>FALSE</v>
      </c>
      <c r="Y118" s="35">
        <f t="shared" si="14"/>
        <v>0</v>
      </c>
      <c r="Z118" s="36" t="str">
        <f t="shared" si="15"/>
        <v/>
      </c>
      <c r="AA118" s="6"/>
      <c r="AB118" s="41"/>
      <c r="AC118" s="38"/>
      <c r="AD118" s="38"/>
      <c r="AE118" s="34"/>
      <c r="AF118" s="34" t="str">
        <f t="shared" si="16"/>
        <v>FALSE</v>
      </c>
      <c r="AG118" s="35">
        <f t="shared" si="10"/>
        <v>0</v>
      </c>
      <c r="AH118" s="36" t="str">
        <f t="shared" si="11"/>
        <v/>
      </c>
    </row>
    <row r="119" spans="1:34" ht="1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29" t="str">
        <f t="shared" si="12"/>
        <v/>
      </c>
      <c r="Q119" s="30"/>
      <c r="R119" s="31"/>
      <c r="S119" s="68"/>
      <c r="T119" s="40"/>
      <c r="U119" s="38"/>
      <c r="V119" s="74"/>
      <c r="W119" s="34" t="str">
        <f t="shared" si="13"/>
        <v>FALSE</v>
      </c>
      <c r="X119" s="34" t="str">
        <f t="shared" si="9"/>
        <v>FALSE</v>
      </c>
      <c r="Y119" s="35">
        <f t="shared" si="14"/>
        <v>0</v>
      </c>
      <c r="Z119" s="36" t="str">
        <f t="shared" si="15"/>
        <v/>
      </c>
      <c r="AA119" s="6"/>
      <c r="AB119" s="41"/>
      <c r="AC119" s="38"/>
      <c r="AD119" s="38"/>
      <c r="AE119" s="34"/>
      <c r="AF119" s="34" t="str">
        <f t="shared" si="16"/>
        <v>FALSE</v>
      </c>
      <c r="AG119" s="35">
        <f t="shared" si="10"/>
        <v>0</v>
      </c>
      <c r="AH119" s="36" t="str">
        <f t="shared" si="11"/>
        <v/>
      </c>
    </row>
    <row r="120" spans="1:34" ht="1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29" t="str">
        <f t="shared" si="12"/>
        <v/>
      </c>
      <c r="Q120" s="30"/>
      <c r="R120" s="31"/>
      <c r="S120" s="68"/>
      <c r="T120" s="40"/>
      <c r="U120" s="38"/>
      <c r="V120" s="74"/>
      <c r="W120" s="34" t="str">
        <f t="shared" si="13"/>
        <v>FALSE</v>
      </c>
      <c r="X120" s="34" t="str">
        <f t="shared" si="9"/>
        <v>FALSE</v>
      </c>
      <c r="Y120" s="35">
        <f t="shared" si="14"/>
        <v>0</v>
      </c>
      <c r="Z120" s="36" t="str">
        <f t="shared" si="15"/>
        <v/>
      </c>
      <c r="AA120" s="6"/>
      <c r="AB120" s="41"/>
      <c r="AC120" s="38"/>
      <c r="AD120" s="38"/>
      <c r="AE120" s="34"/>
      <c r="AF120" s="34" t="str">
        <f t="shared" si="16"/>
        <v>FALSE</v>
      </c>
      <c r="AG120" s="35">
        <f t="shared" si="10"/>
        <v>0</v>
      </c>
      <c r="AH120" s="36" t="str">
        <f t="shared" si="11"/>
        <v/>
      </c>
    </row>
  </sheetData>
  <mergeCells count="11">
    <mergeCell ref="P6:U6"/>
    <mergeCell ref="X6:AA6"/>
    <mergeCell ref="Q8:Z8"/>
    <mergeCell ref="AB8:AH8"/>
    <mergeCell ref="D1:L2"/>
    <mergeCell ref="X2:AA2"/>
    <mergeCell ref="AC2:AG2"/>
    <mergeCell ref="P3:R3"/>
    <mergeCell ref="T3:U3"/>
    <mergeCell ref="X3:AA3"/>
    <mergeCell ref="AC3:AG3"/>
  </mergeCells>
  <conditionalFormatting sqref="U14:U120">
    <cfRule type="containsBlanks" dxfId="259" priority="1">
      <formula>LEN(TRIM(U14))=0</formula>
    </cfRule>
    <cfRule type="expression" dxfId="258" priority="2">
      <formula>AND(X14&gt;=2,X14&lt;3)</formula>
    </cfRule>
    <cfRule type="expression" dxfId="257" priority="3">
      <formula>X14&gt;3</formula>
    </cfRule>
  </conditionalFormatting>
  <conditionalFormatting sqref="W14:W120">
    <cfRule type="expression" dxfId="256" priority="15">
      <formula>X14="FALSE"</formula>
    </cfRule>
  </conditionalFormatting>
  <conditionalFormatting sqref="X14:X120">
    <cfRule type="expression" dxfId="255" priority="14">
      <formula>X14="FALSE"</formula>
    </cfRule>
    <cfRule type="expression" dxfId="254" priority="16">
      <formula>AND(X14&gt;2,X14&lt;3)</formula>
    </cfRule>
  </conditionalFormatting>
  <conditionalFormatting sqref="X14:Y50 X51:X120">
    <cfRule type="expression" dxfId="253" priority="20">
      <formula>X14&gt;=3</formula>
    </cfRule>
  </conditionalFormatting>
  <conditionalFormatting sqref="Y14:Y50">
    <cfRule type="expression" dxfId="252" priority="19">
      <formula>AND(X14&gt;=2,X14&lt;3)</formula>
    </cfRule>
  </conditionalFormatting>
  <conditionalFormatting sqref="Z14:Z120">
    <cfRule type="cellIs" dxfId="251" priority="17" operator="notBetween">
      <formula>0.8</formula>
      <formula>1.15</formula>
    </cfRule>
  </conditionalFormatting>
  <conditionalFormatting sqref="AC14:AC120">
    <cfRule type="containsBlanks" dxfId="250" priority="4">
      <formula>LEN(TRIM(AC14))=0</formula>
    </cfRule>
    <cfRule type="expression" dxfId="249" priority="5">
      <formula>AND(AF14&gt;=2,AF14&lt;3)</formula>
    </cfRule>
    <cfRule type="expression" dxfId="248" priority="6">
      <formula>AF14&gt;3</formula>
    </cfRule>
  </conditionalFormatting>
  <conditionalFormatting sqref="AE14:AE120">
    <cfRule type="expression" dxfId="247" priority="13">
      <formula>AF14="FALSE"</formula>
    </cfRule>
  </conditionalFormatting>
  <conditionalFormatting sqref="AF14:AF120">
    <cfRule type="expression" dxfId="246" priority="10">
      <formula>AF14="FALSE"</formula>
    </cfRule>
    <cfRule type="expression" dxfId="245" priority="11">
      <formula>AND(AF14&gt;2,AF14&lt;3)</formula>
    </cfRule>
    <cfRule type="expression" dxfId="244" priority="12">
      <formula>AF14&gt;=3</formula>
    </cfRule>
  </conditionalFormatting>
  <conditionalFormatting sqref="AG14:AG120">
    <cfRule type="expression" dxfId="243" priority="7">
      <formula>AF14=0</formula>
    </cfRule>
    <cfRule type="expression" dxfId="242" priority="8">
      <formula>AND(AF14&gt;=2,AF14&lt;3)</formula>
    </cfRule>
    <cfRule type="expression" dxfId="241" priority="9">
      <formula>AG14&gt;=3</formula>
    </cfRule>
  </conditionalFormatting>
  <conditionalFormatting sqref="AH14:AH120">
    <cfRule type="cellIs" dxfId="240" priority="18" operator="notBetween">
      <formula>0.8</formula>
      <formula>1.15</formula>
    </cfRule>
  </conditionalFormatting>
  <pageMargins left="0.4" right="0.4" top="0.4" bottom="0.4" header="0" footer="0"/>
  <pageSetup scale="10" fitToHeight="0" orientation="landscape" horizontalDpi="4294967292" verticalDpi="4294967292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EC46F-3A76-4313-A745-BA0FAA268778}">
  <sheetPr>
    <tabColor rgb="FFFFFFFF"/>
    <pageSetUpPr fitToPage="1"/>
  </sheetPr>
  <dimension ref="A1:AH120"/>
  <sheetViews>
    <sheetView showGridLines="0" topLeftCell="E76" zoomScale="70" zoomScaleNormal="70" workbookViewId="0">
      <selection activeCell="Q55" sqref="Q55:R55"/>
    </sheetView>
  </sheetViews>
  <sheetFormatPr defaultColWidth="11" defaultRowHeight="13.5" customHeight="1"/>
  <cols>
    <col min="1" max="2" width="3.125" style="12" customWidth="1"/>
    <col min="3" max="8" width="11" style="12"/>
    <col min="9" max="9" width="9" style="12" customWidth="1"/>
    <col min="10" max="13" width="11" style="12"/>
    <col min="14" max="15" width="4" style="12" customWidth="1"/>
    <col min="16" max="16" width="6.125" style="43" customWidth="1"/>
    <col min="17" max="17" width="13" style="12" customWidth="1"/>
    <col min="18" max="18" width="12.875" style="44" customWidth="1"/>
    <col min="19" max="19" width="3" style="44" customWidth="1"/>
    <col min="20" max="20" width="12" style="45" customWidth="1"/>
    <col min="21" max="21" width="14.875" style="8" customWidth="1"/>
    <col min="22" max="22" width="2.375" style="12" customWidth="1"/>
    <col min="23" max="23" width="12.875" style="6" customWidth="1"/>
    <col min="24" max="24" width="11.5" style="6" customWidth="1"/>
    <col min="25" max="25" width="13" style="12" customWidth="1"/>
    <col min="26" max="26" width="11.625" style="12" customWidth="1"/>
    <col min="27" max="27" width="9.125" style="12" customWidth="1"/>
    <col min="28" max="28" width="13.375" style="8" customWidth="1"/>
    <col min="29" max="29" width="13.75" style="12" customWidth="1"/>
    <col min="30" max="30" width="2" style="12" customWidth="1"/>
    <col min="31" max="31" width="12.75" style="12" customWidth="1"/>
    <col min="32" max="32" width="12.375" style="12" customWidth="1"/>
    <col min="33" max="33" width="13.125" style="12" customWidth="1"/>
    <col min="34" max="34" width="15.25" style="12" customWidth="1"/>
    <col min="35" max="16384" width="11" style="12"/>
  </cols>
  <sheetData>
    <row r="1" spans="1:34" s="7" customFormat="1" ht="31.5" customHeight="1">
      <c r="A1" s="1"/>
      <c r="B1" s="1"/>
      <c r="C1" s="1"/>
      <c r="D1" s="162" t="s">
        <v>18</v>
      </c>
      <c r="E1" s="162"/>
      <c r="F1" s="162"/>
      <c r="G1" s="162"/>
      <c r="H1" s="162"/>
      <c r="I1" s="162"/>
      <c r="J1" s="162"/>
      <c r="K1" s="162"/>
      <c r="L1" s="162"/>
      <c r="M1" s="1"/>
      <c r="N1" s="1"/>
      <c r="O1" s="1"/>
      <c r="P1" s="2"/>
      <c r="Q1" s="3" t="s">
        <v>74</v>
      </c>
      <c r="R1" s="4"/>
      <c r="S1" s="4"/>
      <c r="T1" s="4"/>
      <c r="U1" s="5"/>
      <c r="V1" s="6"/>
      <c r="W1" s="6"/>
      <c r="X1" s="6"/>
      <c r="Y1" s="5"/>
      <c r="Z1" s="5"/>
      <c r="AA1" s="5"/>
      <c r="AB1" s="5"/>
      <c r="AC1" s="5"/>
      <c r="AD1" s="5"/>
      <c r="AE1" s="5"/>
      <c r="AF1" s="5"/>
      <c r="AG1" s="5"/>
      <c r="AH1"/>
    </row>
    <row r="2" spans="1:34" ht="15.75" customHeight="1">
      <c r="A2" s="8"/>
      <c r="B2" s="8"/>
      <c r="C2" s="8"/>
      <c r="D2" s="162"/>
      <c r="E2" s="162"/>
      <c r="F2" s="162"/>
      <c r="G2" s="162"/>
      <c r="H2" s="162"/>
      <c r="I2" s="162"/>
      <c r="J2" s="162"/>
      <c r="K2" s="162"/>
      <c r="L2" s="162"/>
      <c r="M2" s="8"/>
      <c r="N2" s="8"/>
      <c r="O2" s="8"/>
      <c r="P2" s="9"/>
      <c r="Q2" s="10" t="s">
        <v>75</v>
      </c>
      <c r="R2" s="11"/>
      <c r="S2" s="11"/>
      <c r="T2" s="10" t="s">
        <v>76</v>
      </c>
      <c r="X2" s="163" t="s">
        <v>77</v>
      </c>
      <c r="Y2" s="163"/>
      <c r="Z2" s="163"/>
      <c r="AA2" s="163"/>
      <c r="AC2" s="163" t="s">
        <v>78</v>
      </c>
      <c r="AD2" s="163"/>
      <c r="AE2" s="163"/>
      <c r="AF2" s="163"/>
      <c r="AG2" s="163"/>
      <c r="AH2"/>
    </row>
    <row r="3" spans="1:34" ht="26.2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164">
        <f>MIN(R14:R16)</f>
        <v>45677</v>
      </c>
      <c r="Q3" s="165"/>
      <c r="R3" s="166"/>
      <c r="S3" s="65"/>
      <c r="T3" s="167">
        <f>MAX(R14:R116)</f>
        <v>46065</v>
      </c>
      <c r="U3" s="168"/>
      <c r="X3" s="164" t="s">
        <v>79</v>
      </c>
      <c r="Y3" s="165"/>
      <c r="Z3" s="165"/>
      <c r="AA3" s="168"/>
      <c r="AC3" s="169" t="s">
        <v>80</v>
      </c>
      <c r="AD3" s="170"/>
      <c r="AE3" s="170"/>
      <c r="AF3" s="170"/>
      <c r="AG3" s="171"/>
      <c r="AH3"/>
    </row>
    <row r="4" spans="1:34" ht="15.7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13"/>
      <c r="Q4" s="14"/>
      <c r="R4" s="15">
        <f>MIN(P14:P120)</f>
        <v>1</v>
      </c>
      <c r="S4" s="15"/>
      <c r="T4" s="16">
        <f>MAX(P14:P120)</f>
        <v>42</v>
      </c>
      <c r="U4" s="14"/>
      <c r="V4" s="6"/>
      <c r="X4" s="14"/>
      <c r="Y4" s="14"/>
      <c r="Z4" s="14"/>
      <c r="AA4" s="14"/>
      <c r="AB4"/>
      <c r="AC4" s="14"/>
      <c r="AD4" s="14"/>
      <c r="AE4" s="14"/>
      <c r="AF4" s="14"/>
      <c r="AH4" s="8"/>
    </row>
    <row r="5" spans="1:34" ht="20.2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17"/>
      <c r="Q5" s="17" t="s">
        <v>81</v>
      </c>
      <c r="R5" s="11"/>
      <c r="S5" s="11"/>
      <c r="T5" s="18"/>
      <c r="U5" s="17"/>
      <c r="V5" s="6"/>
      <c r="X5" s="17" t="s">
        <v>82</v>
      </c>
      <c r="Y5" s="17"/>
      <c r="Z5" s="17"/>
      <c r="AA5" s="14"/>
      <c r="AB5"/>
      <c r="AC5" s="10"/>
      <c r="AD5" s="10"/>
    </row>
    <row r="6" spans="1:34" ht="25.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158" t="s">
        <v>83</v>
      </c>
      <c r="Q6" s="158"/>
      <c r="R6" s="158"/>
      <c r="S6" s="158"/>
      <c r="T6" s="158"/>
      <c r="U6" s="158"/>
      <c r="V6" s="6"/>
      <c r="X6" s="159"/>
      <c r="Y6" s="159"/>
      <c r="Z6" s="159"/>
      <c r="AA6" s="159"/>
      <c r="AB6"/>
      <c r="AC6" s="6"/>
      <c r="AD6" s="6"/>
    </row>
    <row r="7" spans="1:34" ht="23.2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19"/>
      <c r="Q7" s="20" t="s">
        <v>84</v>
      </c>
      <c r="R7" s="21"/>
      <c r="S7" s="21"/>
      <c r="T7" s="22"/>
      <c r="V7" s="8"/>
      <c r="Y7" s="8"/>
      <c r="Z7" s="8"/>
      <c r="AA7" s="8"/>
      <c r="AC7" s="8"/>
      <c r="AD7" s="8"/>
      <c r="AE7" s="8"/>
      <c r="AF7" s="8"/>
      <c r="AG7" s="8"/>
      <c r="AH7" s="8"/>
    </row>
    <row r="8" spans="1:34" ht="31.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19"/>
      <c r="Q8" s="160" t="s">
        <v>85</v>
      </c>
      <c r="R8" s="160"/>
      <c r="S8" s="160"/>
      <c r="T8" s="160"/>
      <c r="U8" s="160"/>
      <c r="V8" s="160"/>
      <c r="W8" s="160"/>
      <c r="X8" s="160"/>
      <c r="Y8" s="160"/>
      <c r="Z8" s="160"/>
      <c r="AA8" s="6"/>
      <c r="AB8" s="161" t="s">
        <v>86</v>
      </c>
      <c r="AC8" s="161"/>
      <c r="AD8" s="161"/>
      <c r="AE8" s="161"/>
      <c r="AF8" s="161"/>
      <c r="AG8" s="161"/>
      <c r="AH8" s="161"/>
    </row>
    <row r="9" spans="1:34" customFormat="1" ht="11.25" customHeight="1"/>
    <row r="10" spans="1:34" s="52" customFormat="1" ht="27.75" customHeight="1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Q10" s="73" t="s">
        <v>87</v>
      </c>
      <c r="R10" s="73" t="s">
        <v>88</v>
      </c>
      <c r="S10" s="66"/>
      <c r="T10" s="49" t="s">
        <v>89</v>
      </c>
      <c r="U10" s="46" t="s">
        <v>90</v>
      </c>
      <c r="V10" s="50"/>
      <c r="W10" s="47" t="s">
        <v>91</v>
      </c>
      <c r="X10" s="61" t="s">
        <v>92</v>
      </c>
      <c r="Y10" s="61" t="s">
        <v>93</v>
      </c>
      <c r="Z10" s="48" t="s">
        <v>94</v>
      </c>
      <c r="AA10" s="53"/>
      <c r="AB10" s="49" t="s">
        <v>95</v>
      </c>
      <c r="AC10" s="46" t="s">
        <v>90</v>
      </c>
      <c r="AE10" s="47" t="s">
        <v>91</v>
      </c>
      <c r="AF10" s="61" t="s">
        <v>92</v>
      </c>
      <c r="AG10" s="61" t="s">
        <v>93</v>
      </c>
      <c r="AH10" s="48" t="s">
        <v>94</v>
      </c>
    </row>
    <row r="11" spans="1:34" s="55" customFormat="1" ht="27.75" customHeight="1" thickBot="1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Q11" s="64">
        <f>IF(U11="","",1.15)</f>
        <v>1.1499999999999999</v>
      </c>
      <c r="R11" s="64">
        <f>IF(U11="","",0.8)</f>
        <v>0.8</v>
      </c>
      <c r="S11" s="67"/>
      <c r="T11" s="62">
        <f>_xlfn.STDEV.P($U$14:$U$120)/$U$11</f>
        <v>0.10894108084764473</v>
      </c>
      <c r="U11" s="63">
        <f>AVERAGE($W$14:$W$120)</f>
        <v>77.574440476190489</v>
      </c>
      <c r="V11" s="56"/>
      <c r="W11" s="60">
        <f>$U$11-(3*_xlfn.STDEV.S($W$14:$W$120))</f>
        <v>51.913988411891999</v>
      </c>
      <c r="X11" s="59">
        <f>$U$11-(2*_xlfn.STDEV.S($W$14:$W$120))</f>
        <v>60.467472433324829</v>
      </c>
      <c r="Y11" s="59">
        <f>$U$11+(2*_xlfn.STDEV.S($W$14:$W$120))</f>
        <v>94.681408519056149</v>
      </c>
      <c r="Z11" s="58">
        <f>$U$11+(3*_xlfn.STDEV.S($W$14:$W$120))</f>
        <v>103.23489254048897</v>
      </c>
      <c r="AA11" s="57"/>
      <c r="AB11" s="62">
        <f>_xlfn.STDEV.P($AC$14:$AC$120)/$AC$11</f>
        <v>9.7112795644406655E-2</v>
      </c>
      <c r="AC11" s="63">
        <f>AVERAGE($AC$14:$AC$120)</f>
        <v>4.0768357142857132</v>
      </c>
      <c r="AE11" s="60">
        <f>$AC$11-(3*_xlfn.STDEV.S($AE$14:$AE$120))</f>
        <v>2.8746996146102823</v>
      </c>
      <c r="AF11" s="59">
        <f>$AC$11-(2*_xlfn.STDEV.S($AE$14:$AE$120))</f>
        <v>3.2754116478354263</v>
      </c>
      <c r="AG11" s="59">
        <f>$AC$11+(2*_xlfn.STDEV.S($AE$14:$AE$120))</f>
        <v>4.8782597807360002</v>
      </c>
      <c r="AH11" s="58">
        <f>$AC$11+(3*_xlfn.STDEV.S($AE$14:$AE$120))</f>
        <v>5.2789718139611441</v>
      </c>
    </row>
    <row r="12" spans="1:34" ht="11.2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19"/>
      <c r="Q12" s="20"/>
      <c r="R12" s="21"/>
      <c r="S12" s="21"/>
      <c r="T12" s="22"/>
      <c r="V12" s="8"/>
      <c r="Y12" s="8"/>
      <c r="Z12" s="8"/>
      <c r="AA12" s="6"/>
      <c r="AC12" s="8"/>
      <c r="AD12" s="8"/>
      <c r="AE12" s="8"/>
      <c r="AF12" s="8"/>
      <c r="AG12" s="8"/>
      <c r="AH12" s="8"/>
    </row>
    <row r="13" spans="1:34" ht="4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70" t="s">
        <v>96</v>
      </c>
      <c r="Q13" s="71" t="s">
        <v>97</v>
      </c>
      <c r="R13" s="71" t="s">
        <v>98</v>
      </c>
      <c r="S13" s="69"/>
      <c r="T13" s="72" t="s">
        <v>99</v>
      </c>
      <c r="U13" s="71" t="s">
        <v>100</v>
      </c>
      <c r="V13" s="69"/>
      <c r="W13" s="75" t="s">
        <v>101</v>
      </c>
      <c r="X13" s="75" t="s">
        <v>102</v>
      </c>
      <c r="Y13" s="76" t="s">
        <v>103</v>
      </c>
      <c r="Z13" s="77" t="s">
        <v>104</v>
      </c>
      <c r="AA13" s="6"/>
      <c r="AB13" s="26" t="s">
        <v>99</v>
      </c>
      <c r="AC13" s="27" t="s">
        <v>100</v>
      </c>
      <c r="AD13" s="28"/>
      <c r="AE13" s="23" t="s">
        <v>101</v>
      </c>
      <c r="AF13" s="23" t="s">
        <v>102</v>
      </c>
      <c r="AG13" s="24" t="s">
        <v>105</v>
      </c>
      <c r="AH13" s="25" t="s">
        <v>104</v>
      </c>
    </row>
    <row r="14" spans="1:34" ht="1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29">
        <v>1</v>
      </c>
      <c r="Q14" s="30" t="s">
        <v>106</v>
      </c>
      <c r="R14" s="31">
        <v>45677</v>
      </c>
      <c r="S14" s="68"/>
      <c r="T14" s="32">
        <v>77.5</v>
      </c>
      <c r="U14" s="38">
        <v>67.978999999999999</v>
      </c>
      <c r="V14" s="74"/>
      <c r="W14" s="34">
        <f>IF(X14&gt;3,"FALSE",U14)</f>
        <v>67.978999999999999</v>
      </c>
      <c r="X14" s="34">
        <f t="shared" ref="X14:X77" si="0">IF(U14="","FALSE",ABS((U14-AVERAGE($U$14:$U$120))/_xlfn.STDEV.S($U$14:$U$104)))</f>
        <v>1.1218166132241301</v>
      </c>
      <c r="Y14" s="35" t="str">
        <f>IF(OR(U14&gt;$Y$11,U14&lt;$X$11),U14,"")</f>
        <v/>
      </c>
      <c r="Z14" s="36">
        <f>IF(U14="","",U14/T14)</f>
        <v>0.87714838709677423</v>
      </c>
      <c r="AA14" s="6"/>
      <c r="AB14" s="37">
        <v>4.1100000000000003</v>
      </c>
      <c r="AC14" s="38">
        <v>4.4960000000000004</v>
      </c>
      <c r="AD14" s="38"/>
      <c r="AE14" s="34">
        <f>IF(AF14&gt;3,"FALSE",AC14)</f>
        <v>4.4960000000000004</v>
      </c>
      <c r="AF14" s="34">
        <f>IF(AC14="","FALSE",ABS((AC14-AVERAGE($AC$14:$AC$120))/_xlfn.STDEV.S($AC$14:$AC$104)))</f>
        <v>1.0460486607817341</v>
      </c>
      <c r="AG14" s="35" t="str">
        <f t="shared" ref="AG14:AG77" si="1">IF(OR(AC14&gt;$AG$11,AC14&lt;$AF$11),AC14,"")</f>
        <v/>
      </c>
      <c r="AH14" s="36">
        <f t="shared" ref="AH14:AH77" si="2">IF(AC14="","",AC14/AB14)</f>
        <v>1.0939172749391728</v>
      </c>
    </row>
    <row r="15" spans="1:34" ht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29">
        <f t="shared" ref="P15:P78" si="3">IF(R15&lt;&gt;"",P14+1,"")</f>
        <v>2</v>
      </c>
      <c r="Q15" s="30" t="s">
        <v>106</v>
      </c>
      <c r="R15" s="31">
        <v>45677</v>
      </c>
      <c r="S15" s="68"/>
      <c r="T15" s="32">
        <v>77.5</v>
      </c>
      <c r="U15" s="38">
        <v>67.108999999999995</v>
      </c>
      <c r="V15" s="74"/>
      <c r="W15" s="34">
        <f t="shared" ref="W15:W78" si="4">IF(X15&gt;3,"FALSE",U15)</f>
        <v>67.108999999999995</v>
      </c>
      <c r="X15" s="34">
        <f t="shared" si="0"/>
        <v>1.2235295523983905</v>
      </c>
      <c r="Y15" s="35" t="str">
        <f t="shared" ref="Y15:Y78" si="5">IF(OR(U15&gt;$Y$11,U15&lt;$X$11),U15,"")</f>
        <v/>
      </c>
      <c r="Z15" s="36">
        <f t="shared" ref="Z15:Z78" si="6">IF(U15="","",U15/T15)</f>
        <v>0.86592258064516126</v>
      </c>
      <c r="AA15" s="6"/>
      <c r="AB15" s="37">
        <v>4.1100000000000003</v>
      </c>
      <c r="AC15" s="38">
        <v>4.5069999999999997</v>
      </c>
      <c r="AD15" s="38"/>
      <c r="AE15" s="34">
        <f t="shared" ref="AE15:AE59" si="7">IF(AF15&gt;3,"FALSE",AC15)</f>
        <v>4.5069999999999997</v>
      </c>
      <c r="AF15" s="34">
        <f t="shared" ref="AF15:AF78" si="8">IF(AC15="","FALSE",ABS((AC15-AVERAGE($AC$14:$AC$120))/_xlfn.STDEV.S($AC$14:$AC$104)))</f>
        <v>1.0734997954817964</v>
      </c>
      <c r="AG15" s="35" t="str">
        <f t="shared" si="1"/>
        <v/>
      </c>
      <c r="AH15" s="36">
        <f t="shared" si="2"/>
        <v>1.0965936739659365</v>
      </c>
    </row>
    <row r="16" spans="1:34" ht="1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29">
        <f t="shared" si="3"/>
        <v>3</v>
      </c>
      <c r="Q16" s="30" t="s">
        <v>106</v>
      </c>
      <c r="R16" s="31">
        <v>45677</v>
      </c>
      <c r="S16" s="68"/>
      <c r="T16" s="32">
        <v>77.5</v>
      </c>
      <c r="U16" s="38">
        <v>65.004000000000005</v>
      </c>
      <c r="V16" s="74"/>
      <c r="W16" s="34">
        <f t="shared" si="4"/>
        <v>65.004000000000005</v>
      </c>
      <c r="X16" s="34">
        <f t="shared" si="0"/>
        <v>1.4696281006303624</v>
      </c>
      <c r="Y16" s="35" t="str">
        <f t="shared" si="5"/>
        <v/>
      </c>
      <c r="Z16" s="36">
        <f t="shared" si="6"/>
        <v>0.83876129032258073</v>
      </c>
      <c r="AA16" s="6"/>
      <c r="AB16" s="37">
        <v>4.1100000000000003</v>
      </c>
      <c r="AC16" s="38">
        <v>4.6790000000000003</v>
      </c>
      <c r="AD16" s="38"/>
      <c r="AE16" s="34">
        <f t="shared" si="7"/>
        <v>4.6790000000000003</v>
      </c>
      <c r="AF16" s="34">
        <f t="shared" si="8"/>
        <v>1.5027357198828011</v>
      </c>
      <c r="AG16" s="35" t="str">
        <f t="shared" si="1"/>
        <v/>
      </c>
      <c r="AH16" s="36">
        <f t="shared" si="2"/>
        <v>1.1384428223844283</v>
      </c>
    </row>
    <row r="17" spans="1:34" ht="1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29">
        <f t="shared" si="3"/>
        <v>4</v>
      </c>
      <c r="Q17" s="30" t="s">
        <v>106</v>
      </c>
      <c r="R17" s="31">
        <v>45677</v>
      </c>
      <c r="S17" s="68"/>
      <c r="T17" s="32">
        <v>77.5</v>
      </c>
      <c r="U17" s="38">
        <v>80.521000000000001</v>
      </c>
      <c r="V17" s="74"/>
      <c r="W17" s="34">
        <f t="shared" si="4"/>
        <v>80.521000000000001</v>
      </c>
      <c r="X17" s="34">
        <f t="shared" si="0"/>
        <v>0.34448647082594552</v>
      </c>
      <c r="Y17" s="35" t="str">
        <f t="shared" si="5"/>
        <v/>
      </c>
      <c r="Z17" s="36">
        <f t="shared" si="6"/>
        <v>1.0389806451612904</v>
      </c>
      <c r="AA17" s="6"/>
      <c r="AB17" s="37">
        <v>4.1100000000000003</v>
      </c>
      <c r="AC17" s="38">
        <v>4.4139999999999997</v>
      </c>
      <c r="AD17" s="38"/>
      <c r="AE17" s="34">
        <f t="shared" si="7"/>
        <v>4.4139999999999997</v>
      </c>
      <c r="AF17" s="34">
        <f t="shared" si="8"/>
        <v>0.841412929381254</v>
      </c>
      <c r="AG17" s="35" t="str">
        <f t="shared" si="1"/>
        <v/>
      </c>
      <c r="AH17" s="36">
        <f t="shared" si="2"/>
        <v>1.0739659367396592</v>
      </c>
    </row>
    <row r="18" spans="1:34" ht="1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29">
        <f t="shared" si="3"/>
        <v>5</v>
      </c>
      <c r="Q18" s="30" t="s">
        <v>106</v>
      </c>
      <c r="R18" s="31">
        <v>45677</v>
      </c>
      <c r="S18" s="68"/>
      <c r="T18" s="32">
        <v>77.5</v>
      </c>
      <c r="U18" s="38">
        <v>70.67</v>
      </c>
      <c r="V18" s="74"/>
      <c r="W18" s="34">
        <f t="shared" si="4"/>
        <v>70.67</v>
      </c>
      <c r="X18" s="34">
        <f t="shared" si="0"/>
        <v>0.80720797032995395</v>
      </c>
      <c r="Y18" s="35" t="str">
        <f t="shared" si="5"/>
        <v/>
      </c>
      <c r="Z18" s="36">
        <f t="shared" si="6"/>
        <v>0.91187096774193555</v>
      </c>
      <c r="AA18" s="6"/>
      <c r="AB18" s="37">
        <v>4.1100000000000003</v>
      </c>
      <c r="AC18" s="38">
        <v>3.63</v>
      </c>
      <c r="AD18" s="38"/>
      <c r="AE18" s="34">
        <f t="shared" si="7"/>
        <v>3.63</v>
      </c>
      <c r="AF18" s="34">
        <f t="shared" si="8"/>
        <v>1.115104307423318</v>
      </c>
      <c r="AG18" s="35" t="str">
        <f t="shared" si="1"/>
        <v/>
      </c>
      <c r="AH18" s="36">
        <f t="shared" si="2"/>
        <v>0.88321167883211671</v>
      </c>
    </row>
    <row r="19" spans="1:34" ht="1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29">
        <f t="shared" si="3"/>
        <v>6</v>
      </c>
      <c r="Q19" s="30" t="s">
        <v>106</v>
      </c>
      <c r="R19" s="31">
        <v>45678</v>
      </c>
      <c r="S19" s="68"/>
      <c r="T19" s="32">
        <v>77.5</v>
      </c>
      <c r="U19" s="38">
        <v>69.665999999999997</v>
      </c>
      <c r="V19" s="74"/>
      <c r="W19" s="34">
        <f t="shared" si="4"/>
        <v>69.665999999999997</v>
      </c>
      <c r="X19" s="34">
        <f t="shared" si="0"/>
        <v>0.92458704036553707</v>
      </c>
      <c r="Y19" s="35" t="str">
        <f t="shared" si="5"/>
        <v/>
      </c>
      <c r="Z19" s="36">
        <f t="shared" si="6"/>
        <v>0.89891612903225804</v>
      </c>
      <c r="AA19" s="6"/>
      <c r="AB19" s="37">
        <v>4.1100000000000003</v>
      </c>
      <c r="AC19" s="38">
        <v>4.1079999999999997</v>
      </c>
      <c r="AD19" s="38"/>
      <c r="AE19" s="34">
        <f t="shared" si="7"/>
        <v>4.1079999999999997</v>
      </c>
      <c r="AF19" s="34">
        <f t="shared" si="8"/>
        <v>7.7772273179469234E-2</v>
      </c>
      <c r="AG19" s="35" t="str">
        <f t="shared" si="1"/>
        <v/>
      </c>
      <c r="AH19" s="36">
        <f t="shared" si="2"/>
        <v>0.99951338199513362</v>
      </c>
    </row>
    <row r="20" spans="1:34" ht="1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29">
        <f t="shared" si="3"/>
        <v>7</v>
      </c>
      <c r="Q20" s="30" t="s">
        <v>106</v>
      </c>
      <c r="R20" s="31">
        <v>45678</v>
      </c>
      <c r="S20" s="68"/>
      <c r="T20" s="32">
        <v>77.5</v>
      </c>
      <c r="U20" s="38">
        <v>79.846000000000004</v>
      </c>
      <c r="V20" s="74"/>
      <c r="W20" s="34">
        <f t="shared" si="4"/>
        <v>79.846000000000004</v>
      </c>
      <c r="X20" s="34">
        <f t="shared" si="0"/>
        <v>0.26557125939764092</v>
      </c>
      <c r="Y20" s="35" t="str">
        <f t="shared" si="5"/>
        <v/>
      </c>
      <c r="Z20" s="36">
        <f t="shared" si="6"/>
        <v>1.0302709677419355</v>
      </c>
      <c r="AA20" s="6"/>
      <c r="AB20" s="37">
        <v>4.1100000000000003</v>
      </c>
      <c r="AC20" s="38">
        <v>3.7949999999999999</v>
      </c>
      <c r="AD20" s="38"/>
      <c r="AE20" s="34">
        <f t="shared" si="7"/>
        <v>3.7949999999999999</v>
      </c>
      <c r="AF20" s="34">
        <f t="shared" si="8"/>
        <v>0.70333728692235553</v>
      </c>
      <c r="AG20" s="35" t="str">
        <f t="shared" si="1"/>
        <v/>
      </c>
      <c r="AH20" s="36">
        <f t="shared" si="2"/>
        <v>0.92335766423357657</v>
      </c>
    </row>
    <row r="21" spans="1:34" ht="1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29">
        <f t="shared" si="3"/>
        <v>8</v>
      </c>
      <c r="Q21" s="30" t="s">
        <v>106</v>
      </c>
      <c r="R21" s="31">
        <v>45678</v>
      </c>
      <c r="S21" s="68"/>
      <c r="T21" s="32">
        <v>77.5</v>
      </c>
      <c r="U21" s="38">
        <v>64.337999999999994</v>
      </c>
      <c r="V21" s="74"/>
      <c r="W21" s="34">
        <f t="shared" si="4"/>
        <v>64.337999999999994</v>
      </c>
      <c r="X21" s="34">
        <f t="shared" si="0"/>
        <v>1.5474911092396246</v>
      </c>
      <c r="Y21" s="35" t="str">
        <f t="shared" si="5"/>
        <v/>
      </c>
      <c r="Z21" s="36">
        <f t="shared" si="6"/>
        <v>0.83016774193548382</v>
      </c>
      <c r="AA21" s="6"/>
      <c r="AB21" s="37">
        <v>4.1100000000000003</v>
      </c>
      <c r="AC21" s="38">
        <v>3.5960000000000001</v>
      </c>
      <c r="AD21" s="38"/>
      <c r="AE21" s="34">
        <f t="shared" si="7"/>
        <v>3.5960000000000001</v>
      </c>
      <c r="AF21" s="34">
        <f t="shared" si="8"/>
        <v>1.1999532692235158</v>
      </c>
      <c r="AG21" s="35" t="str">
        <f t="shared" si="1"/>
        <v/>
      </c>
      <c r="AH21" s="36">
        <f t="shared" si="2"/>
        <v>0.8749391727493917</v>
      </c>
    </row>
    <row r="22" spans="1:34" ht="1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29">
        <f t="shared" si="3"/>
        <v>9</v>
      </c>
      <c r="Q22" s="30" t="s">
        <v>106</v>
      </c>
      <c r="R22" s="31">
        <v>45678</v>
      </c>
      <c r="S22" s="68"/>
      <c r="T22" s="32">
        <v>77.5</v>
      </c>
      <c r="U22" s="38">
        <v>70.763999999999996</v>
      </c>
      <c r="V22" s="74"/>
      <c r="W22" s="34">
        <f t="shared" si="4"/>
        <v>70.763999999999996</v>
      </c>
      <c r="X22" s="34">
        <f t="shared" si="0"/>
        <v>0.79621829644216113</v>
      </c>
      <c r="Y22" s="35" t="str">
        <f t="shared" si="5"/>
        <v/>
      </c>
      <c r="Z22" s="36">
        <f t="shared" si="6"/>
        <v>0.91308387096774191</v>
      </c>
      <c r="AA22" s="6"/>
      <c r="AB22" s="37">
        <v>4.1100000000000003</v>
      </c>
      <c r="AC22" s="38">
        <v>4.0279999999999996</v>
      </c>
      <c r="AD22" s="38"/>
      <c r="AE22" s="34">
        <f t="shared" si="7"/>
        <v>4.0279999999999996</v>
      </c>
      <c r="AF22" s="34">
        <f t="shared" si="8"/>
        <v>0.12187234282099753</v>
      </c>
      <c r="AG22" s="35" t="str">
        <f t="shared" si="1"/>
        <v/>
      </c>
      <c r="AH22" s="36">
        <f t="shared" si="2"/>
        <v>0.98004866180048644</v>
      </c>
    </row>
    <row r="23" spans="1:34" ht="1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29">
        <f t="shared" si="3"/>
        <v>10</v>
      </c>
      <c r="Q23" s="30" t="s">
        <v>106</v>
      </c>
      <c r="R23" s="31">
        <v>45678</v>
      </c>
      <c r="S23" s="68"/>
      <c r="T23" s="32">
        <v>77.5</v>
      </c>
      <c r="U23" s="38">
        <v>77.158000000000001</v>
      </c>
      <c r="V23" s="74"/>
      <c r="W23" s="34">
        <f t="shared" si="4"/>
        <v>77.158000000000001</v>
      </c>
      <c r="X23" s="34">
        <f t="shared" si="0"/>
        <v>4.8686649223520492E-2</v>
      </c>
      <c r="Y23" s="35" t="str">
        <f t="shared" si="5"/>
        <v/>
      </c>
      <c r="Z23" s="36">
        <f t="shared" si="6"/>
        <v>0.99558709677419355</v>
      </c>
      <c r="AA23" s="6"/>
      <c r="AB23" s="37">
        <v>4.1100000000000003</v>
      </c>
      <c r="AC23" s="38">
        <v>4.1829999999999998</v>
      </c>
      <c r="AD23" s="38"/>
      <c r="AE23" s="34">
        <f t="shared" si="7"/>
        <v>4.1829999999999998</v>
      </c>
      <c r="AF23" s="34">
        <f t="shared" si="8"/>
        <v>0.26493910067990711</v>
      </c>
      <c r="AG23" s="35" t="str">
        <f t="shared" si="1"/>
        <v/>
      </c>
      <c r="AH23" s="36">
        <f t="shared" si="2"/>
        <v>1.0177615571776155</v>
      </c>
    </row>
    <row r="24" spans="1:34" ht="1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29">
        <f t="shared" si="3"/>
        <v>11</v>
      </c>
      <c r="Q24" s="30" t="s">
        <v>106</v>
      </c>
      <c r="R24" s="31">
        <v>45679</v>
      </c>
      <c r="S24" s="68"/>
      <c r="T24" s="32">
        <v>77.5</v>
      </c>
      <c r="U24" s="38">
        <v>95.944999999999993</v>
      </c>
      <c r="V24" s="74"/>
      <c r="W24" s="34">
        <f t="shared" si="4"/>
        <v>95.944999999999993</v>
      </c>
      <c r="X24" s="34">
        <f t="shared" si="0"/>
        <v>2.1477282798187978</v>
      </c>
      <c r="Y24" s="35">
        <f t="shared" si="5"/>
        <v>95.944999999999993</v>
      </c>
      <c r="Z24" s="36">
        <f t="shared" si="6"/>
        <v>1.238</v>
      </c>
      <c r="AA24" s="6"/>
      <c r="AB24" s="37">
        <v>4.1100000000000003</v>
      </c>
      <c r="AC24" s="38">
        <v>3.97</v>
      </c>
      <c r="AD24" s="38"/>
      <c r="AE24" s="34">
        <f t="shared" si="7"/>
        <v>3.97</v>
      </c>
      <c r="AF24" s="34">
        <f t="shared" si="8"/>
        <v>0.26661468942133426</v>
      </c>
      <c r="AG24" s="35" t="str">
        <f t="shared" si="1"/>
        <v/>
      </c>
      <c r="AH24" s="36">
        <f t="shared" si="2"/>
        <v>0.96593673965936733</v>
      </c>
    </row>
    <row r="25" spans="1:34" ht="1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29">
        <f t="shared" si="3"/>
        <v>12</v>
      </c>
      <c r="Q25" s="30" t="s">
        <v>106</v>
      </c>
      <c r="R25" s="31">
        <v>45679</v>
      </c>
      <c r="S25" s="68"/>
      <c r="T25" s="32">
        <v>77.5</v>
      </c>
      <c r="U25" s="38">
        <v>71.128</v>
      </c>
      <c r="V25" s="74"/>
      <c r="W25" s="34">
        <f t="shared" si="4"/>
        <v>71.128</v>
      </c>
      <c r="X25" s="34">
        <f t="shared" si="0"/>
        <v>0.75366253798304506</v>
      </c>
      <c r="Y25" s="35" t="str">
        <f t="shared" si="5"/>
        <v/>
      </c>
      <c r="Z25" s="36">
        <f t="shared" si="6"/>
        <v>0.91778064516129032</v>
      </c>
      <c r="AA25" s="6"/>
      <c r="AB25" s="37">
        <v>4.1100000000000003</v>
      </c>
      <c r="AC25" s="38">
        <v>4.117</v>
      </c>
      <c r="AD25" s="38"/>
      <c r="AE25" s="34">
        <f t="shared" si="7"/>
        <v>4.117</v>
      </c>
      <c r="AF25" s="34">
        <f t="shared" si="8"/>
        <v>0.10023229247952258</v>
      </c>
      <c r="AG25" s="35" t="str">
        <f t="shared" si="1"/>
        <v/>
      </c>
      <c r="AH25" s="36">
        <f t="shared" si="2"/>
        <v>1.0017031630170317</v>
      </c>
    </row>
    <row r="26" spans="1:34" ht="1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29">
        <f t="shared" si="3"/>
        <v>13</v>
      </c>
      <c r="Q26" s="30" t="s">
        <v>106</v>
      </c>
      <c r="R26" s="31">
        <v>45679</v>
      </c>
      <c r="S26" s="68"/>
      <c r="T26" s="32">
        <v>77.5</v>
      </c>
      <c r="U26" s="38">
        <v>86.948999999999998</v>
      </c>
      <c r="V26" s="74"/>
      <c r="W26" s="34">
        <f t="shared" si="4"/>
        <v>86.948999999999998</v>
      </c>
      <c r="X26" s="34">
        <f t="shared" si="0"/>
        <v>1.0959931064720849</v>
      </c>
      <c r="Y26" s="35" t="str">
        <f t="shared" si="5"/>
        <v/>
      </c>
      <c r="Z26" s="36">
        <f t="shared" si="6"/>
        <v>1.1219225806451614</v>
      </c>
      <c r="AA26" s="6"/>
      <c r="AB26" s="37">
        <v>4.1100000000000003</v>
      </c>
      <c r="AC26" s="38">
        <v>4.2300000000000004</v>
      </c>
      <c r="AD26" s="38"/>
      <c r="AE26" s="34">
        <f t="shared" si="7"/>
        <v>4.2300000000000004</v>
      </c>
      <c r="AF26" s="34">
        <f t="shared" si="8"/>
        <v>0.3822303125801827</v>
      </c>
      <c r="AG26" s="35" t="str">
        <f t="shared" si="1"/>
        <v/>
      </c>
      <c r="AH26" s="36">
        <f t="shared" si="2"/>
        <v>1.0291970802919708</v>
      </c>
    </row>
    <row r="27" spans="1:34" ht="1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29">
        <f t="shared" si="3"/>
        <v>14</v>
      </c>
      <c r="Q27" s="30" t="s">
        <v>106</v>
      </c>
      <c r="R27" s="31">
        <v>45679</v>
      </c>
      <c r="S27" s="68"/>
      <c r="T27" s="32">
        <v>77.5</v>
      </c>
      <c r="U27" s="38">
        <v>70.932000000000002</v>
      </c>
      <c r="V27" s="74"/>
      <c r="W27" s="34">
        <f t="shared" si="4"/>
        <v>70.932000000000002</v>
      </c>
      <c r="X27" s="34">
        <f t="shared" si="0"/>
        <v>0.77657717715333774</v>
      </c>
      <c r="Y27" s="35" t="str">
        <f t="shared" si="5"/>
        <v/>
      </c>
      <c r="Z27" s="36">
        <f t="shared" si="6"/>
        <v>0.91525161290322588</v>
      </c>
      <c r="AA27" s="6"/>
      <c r="AB27" s="37">
        <v>4.1100000000000003</v>
      </c>
      <c r="AC27" s="38">
        <v>4.5250000000000004</v>
      </c>
      <c r="AD27" s="38"/>
      <c r="AE27" s="34">
        <f t="shared" si="7"/>
        <v>4.5250000000000004</v>
      </c>
      <c r="AF27" s="34">
        <f t="shared" si="8"/>
        <v>1.1184198340819032</v>
      </c>
      <c r="AG27" s="35" t="str">
        <f t="shared" si="1"/>
        <v/>
      </c>
      <c r="AH27" s="36">
        <f t="shared" si="2"/>
        <v>1.1009732360097324</v>
      </c>
    </row>
    <row r="28" spans="1:34" ht="1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29">
        <f t="shared" si="3"/>
        <v>15</v>
      </c>
      <c r="Q28" s="30" t="s">
        <v>106</v>
      </c>
      <c r="R28" s="31">
        <v>45679</v>
      </c>
      <c r="S28" s="68"/>
      <c r="T28" s="32">
        <v>77.5</v>
      </c>
      <c r="U28" s="38">
        <v>64.430999999999997</v>
      </c>
      <c r="V28" s="74"/>
      <c r="W28" s="34">
        <f t="shared" si="4"/>
        <v>64.430999999999997</v>
      </c>
      <c r="X28" s="34">
        <f t="shared" si="0"/>
        <v>1.5366183467761689</v>
      </c>
      <c r="Y28" s="35" t="str">
        <f t="shared" si="5"/>
        <v/>
      </c>
      <c r="Z28" s="36">
        <f t="shared" si="6"/>
        <v>0.83136774193548379</v>
      </c>
      <c r="AA28" s="6"/>
      <c r="AB28" s="37">
        <v>4.1100000000000003</v>
      </c>
      <c r="AC28" s="38">
        <v>4.4749999999999996</v>
      </c>
      <c r="AD28" s="38"/>
      <c r="AE28" s="34">
        <f t="shared" si="7"/>
        <v>4.4749999999999996</v>
      </c>
      <c r="AF28" s="34">
        <f t="shared" si="8"/>
        <v>0.99364194908160963</v>
      </c>
      <c r="AG28" s="35" t="str">
        <f t="shared" si="1"/>
        <v/>
      </c>
      <c r="AH28" s="36">
        <f t="shared" si="2"/>
        <v>1.0888077858880776</v>
      </c>
    </row>
    <row r="29" spans="1:34" ht="1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 t="s">
        <v>107</v>
      </c>
      <c r="O29" s="8"/>
      <c r="P29" s="29">
        <f t="shared" si="3"/>
        <v>16</v>
      </c>
      <c r="Q29" s="30" t="s">
        <v>106</v>
      </c>
      <c r="R29" s="31">
        <v>45681</v>
      </c>
      <c r="S29" s="68"/>
      <c r="T29" s="32">
        <v>77.5</v>
      </c>
      <c r="U29" s="38">
        <v>95.957999999999998</v>
      </c>
      <c r="V29" s="74"/>
      <c r="W29" s="34">
        <f t="shared" si="4"/>
        <v>95.957999999999998</v>
      </c>
      <c r="X29" s="34">
        <f t="shared" si="0"/>
        <v>2.1492481283351954</v>
      </c>
      <c r="Y29" s="35">
        <f t="shared" si="5"/>
        <v>95.957999999999998</v>
      </c>
      <c r="Z29" s="36">
        <f t="shared" si="6"/>
        <v>1.238167741935484</v>
      </c>
      <c r="AA29" s="6"/>
      <c r="AB29" s="37">
        <v>4.1100000000000003</v>
      </c>
      <c r="AC29" s="38">
        <v>4.5270000000000001</v>
      </c>
      <c r="AD29" s="38"/>
      <c r="AE29" s="34">
        <f t="shared" si="7"/>
        <v>4.5270000000000001</v>
      </c>
      <c r="AF29" s="34">
        <f t="shared" si="8"/>
        <v>1.1234109494819142</v>
      </c>
      <c r="AG29" s="35" t="str">
        <f t="shared" si="1"/>
        <v/>
      </c>
      <c r="AH29" s="36">
        <f t="shared" si="2"/>
        <v>1.1014598540145986</v>
      </c>
    </row>
    <row r="30" spans="1:34" ht="1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29">
        <f t="shared" si="3"/>
        <v>17</v>
      </c>
      <c r="Q30" s="30" t="s">
        <v>106</v>
      </c>
      <c r="R30" s="31">
        <v>45681</v>
      </c>
      <c r="S30" s="68"/>
      <c r="T30" s="32">
        <v>77.5</v>
      </c>
      <c r="U30" s="38">
        <v>89.893000000000001</v>
      </c>
      <c r="V30" s="74"/>
      <c r="W30" s="34">
        <f t="shared" si="4"/>
        <v>89.893000000000001</v>
      </c>
      <c r="X30" s="34">
        <f t="shared" si="0"/>
        <v>1.4401803397238333</v>
      </c>
      <c r="Y30" s="35" t="str">
        <f t="shared" si="5"/>
        <v/>
      </c>
      <c r="Z30" s="36">
        <f t="shared" si="6"/>
        <v>1.1599096774193549</v>
      </c>
      <c r="AA30" s="6"/>
      <c r="AB30" s="37">
        <v>4.1100000000000003</v>
      </c>
      <c r="AC30" s="38">
        <v>3.669</v>
      </c>
      <c r="AD30" s="38"/>
      <c r="AE30" s="34">
        <f t="shared" si="7"/>
        <v>3.669</v>
      </c>
      <c r="AF30" s="34">
        <f t="shared" si="8"/>
        <v>1.0177775571230903</v>
      </c>
      <c r="AG30" s="35" t="str">
        <f t="shared" si="1"/>
        <v/>
      </c>
      <c r="AH30" s="36">
        <f t="shared" si="2"/>
        <v>0.89270072992700722</v>
      </c>
    </row>
    <row r="31" spans="1:34" ht="1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29">
        <f t="shared" si="3"/>
        <v>18</v>
      </c>
      <c r="Q31" s="30" t="s">
        <v>106</v>
      </c>
      <c r="R31" s="31">
        <v>45681</v>
      </c>
      <c r="S31" s="68"/>
      <c r="T31" s="32">
        <v>77.5</v>
      </c>
      <c r="U31" s="38">
        <v>86.727999999999994</v>
      </c>
      <c r="V31" s="74"/>
      <c r="W31" s="34">
        <f t="shared" si="4"/>
        <v>86.727999999999994</v>
      </c>
      <c r="X31" s="34">
        <f t="shared" si="0"/>
        <v>1.0701556816933357</v>
      </c>
      <c r="Y31" s="35" t="str">
        <f t="shared" si="5"/>
        <v/>
      </c>
      <c r="Z31" s="36">
        <f t="shared" si="6"/>
        <v>1.1190709677419355</v>
      </c>
      <c r="AA31" s="6"/>
      <c r="AB31" s="37">
        <v>4.1100000000000003</v>
      </c>
      <c r="AC31" s="38">
        <v>3.3580000000000001</v>
      </c>
      <c r="AD31" s="38"/>
      <c r="AE31" s="34">
        <f t="shared" si="7"/>
        <v>3.3580000000000001</v>
      </c>
      <c r="AF31" s="34">
        <f t="shared" si="8"/>
        <v>1.7938960018249039</v>
      </c>
      <c r="AG31" s="35" t="str">
        <f t="shared" si="1"/>
        <v/>
      </c>
      <c r="AH31" s="36">
        <f t="shared" si="2"/>
        <v>0.81703163017031621</v>
      </c>
    </row>
    <row r="32" spans="1:34" ht="1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29">
        <f t="shared" si="3"/>
        <v>19</v>
      </c>
      <c r="Q32" s="30" t="s">
        <v>106</v>
      </c>
      <c r="R32" s="31">
        <v>45681</v>
      </c>
      <c r="S32" s="68"/>
      <c r="T32" s="32">
        <v>77.5</v>
      </c>
      <c r="U32" s="38">
        <v>80.290000000000006</v>
      </c>
      <c r="V32" s="74"/>
      <c r="W32" s="34">
        <f t="shared" si="4"/>
        <v>80.290000000000006</v>
      </c>
      <c r="X32" s="34">
        <f t="shared" si="0"/>
        <v>0.31747993180381517</v>
      </c>
      <c r="Y32" s="35" t="str">
        <f t="shared" si="5"/>
        <v/>
      </c>
      <c r="Z32" s="36">
        <f t="shared" si="6"/>
        <v>1.036</v>
      </c>
      <c r="AA32" s="6"/>
      <c r="AB32" s="37">
        <v>4.1100000000000003</v>
      </c>
      <c r="AC32" s="38">
        <v>4.6879999999999997</v>
      </c>
      <c r="AD32" s="38"/>
      <c r="AE32" s="34">
        <f t="shared" si="7"/>
        <v>4.6879999999999997</v>
      </c>
      <c r="AF32" s="34">
        <f t="shared" si="8"/>
        <v>1.5251957391828521</v>
      </c>
      <c r="AG32" s="35" t="str">
        <f t="shared" si="1"/>
        <v/>
      </c>
      <c r="AH32" s="36">
        <f t="shared" si="2"/>
        <v>1.1406326034063259</v>
      </c>
    </row>
    <row r="33" spans="1:34" ht="1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29">
        <f t="shared" si="3"/>
        <v>20</v>
      </c>
      <c r="Q33" s="30" t="s">
        <v>106</v>
      </c>
      <c r="R33" s="31">
        <v>45681</v>
      </c>
      <c r="S33" s="68"/>
      <c r="T33" s="32">
        <v>77.5</v>
      </c>
      <c r="U33" s="38">
        <v>86.932000000000002</v>
      </c>
      <c r="V33" s="74"/>
      <c r="W33" s="34">
        <f t="shared" si="4"/>
        <v>86.932000000000002</v>
      </c>
      <c r="X33" s="34">
        <f t="shared" si="0"/>
        <v>1.0940056122583355</v>
      </c>
      <c r="Y33" s="35" t="str">
        <f t="shared" si="5"/>
        <v/>
      </c>
      <c r="Z33" s="36">
        <f t="shared" si="6"/>
        <v>1.1217032258064517</v>
      </c>
      <c r="AA33" s="6"/>
      <c r="AB33" s="37">
        <v>4.1100000000000003</v>
      </c>
      <c r="AC33" s="38">
        <v>4.0860000000000003</v>
      </c>
      <c r="AD33" s="38"/>
      <c r="AE33" s="34">
        <f t="shared" si="7"/>
        <v>4.0860000000000003</v>
      </c>
      <c r="AF33" s="34">
        <f t="shared" si="8"/>
        <v>2.2870003779342542E-2</v>
      </c>
      <c r="AG33" s="35" t="str">
        <f t="shared" si="1"/>
        <v/>
      </c>
      <c r="AH33" s="36">
        <f t="shared" si="2"/>
        <v>0.99416058394160578</v>
      </c>
    </row>
    <row r="34" spans="1:34" ht="1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29">
        <f t="shared" si="3"/>
        <v>21</v>
      </c>
      <c r="Q34" s="30" t="s">
        <v>108</v>
      </c>
      <c r="R34" s="31">
        <v>45743</v>
      </c>
      <c r="S34" s="68"/>
      <c r="T34" s="39">
        <v>78.2</v>
      </c>
      <c r="U34" s="38">
        <v>84.900999999999996</v>
      </c>
      <c r="V34" s="74"/>
      <c r="W34" s="34">
        <f t="shared" si="4"/>
        <v>84.900999999999996</v>
      </c>
      <c r="X34" s="34">
        <f t="shared" si="0"/>
        <v>0.85655850942739065</v>
      </c>
      <c r="Y34" s="35" t="str">
        <f t="shared" si="5"/>
        <v/>
      </c>
      <c r="Z34" s="36">
        <f t="shared" si="6"/>
        <v>1.085690537084399</v>
      </c>
      <c r="AA34" s="6"/>
      <c r="AB34" s="37">
        <v>4.09</v>
      </c>
      <c r="AC34" s="38">
        <v>3.9369999999999998</v>
      </c>
      <c r="AD34" s="38"/>
      <c r="AE34" s="34">
        <f t="shared" si="7"/>
        <v>3.9369999999999998</v>
      </c>
      <c r="AF34" s="34">
        <f t="shared" si="8"/>
        <v>0.34896809352152763</v>
      </c>
      <c r="AG34" s="35" t="str">
        <f t="shared" si="1"/>
        <v/>
      </c>
      <c r="AH34" s="36">
        <f t="shared" si="2"/>
        <v>0.96259168704156484</v>
      </c>
    </row>
    <row r="35" spans="1:34" ht="1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29">
        <f t="shared" si="3"/>
        <v>22</v>
      </c>
      <c r="Q35" s="30" t="s">
        <v>108</v>
      </c>
      <c r="R35" s="31">
        <v>45743</v>
      </c>
      <c r="S35" s="68"/>
      <c r="T35" s="39">
        <v>78.2</v>
      </c>
      <c r="U35" s="38">
        <v>70.731999999999999</v>
      </c>
      <c r="V35" s="74"/>
      <c r="W35" s="34">
        <f t="shared" si="4"/>
        <v>70.731999999999999</v>
      </c>
      <c r="X35" s="34">
        <f t="shared" si="0"/>
        <v>0.799959462020984</v>
      </c>
      <c r="Y35" s="35" t="str">
        <f t="shared" si="5"/>
        <v/>
      </c>
      <c r="Z35" s="36">
        <f t="shared" si="6"/>
        <v>0.90450127877237851</v>
      </c>
      <c r="AA35" s="6"/>
      <c r="AB35" s="37">
        <v>4.09</v>
      </c>
      <c r="AC35" s="38">
        <v>3.5739999999999998</v>
      </c>
      <c r="AD35" s="38"/>
      <c r="AE35" s="34">
        <f t="shared" si="7"/>
        <v>3.5739999999999998</v>
      </c>
      <c r="AF35" s="34">
        <f t="shared" si="8"/>
        <v>1.2548555386236446</v>
      </c>
      <c r="AG35" s="35" t="str">
        <f t="shared" si="1"/>
        <v/>
      </c>
      <c r="AH35" s="36">
        <f t="shared" si="2"/>
        <v>0.87383863080684598</v>
      </c>
    </row>
    <row r="36" spans="1:34" ht="1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29">
        <f t="shared" si="3"/>
        <v>23</v>
      </c>
      <c r="Q36" s="30" t="s">
        <v>108</v>
      </c>
      <c r="R36" s="31">
        <v>45772</v>
      </c>
      <c r="S36" s="68"/>
      <c r="T36" s="39">
        <v>78.2</v>
      </c>
      <c r="U36" s="38">
        <v>86.025000000000006</v>
      </c>
      <c r="V36" s="74"/>
      <c r="W36" s="34">
        <f t="shared" si="4"/>
        <v>86.025000000000006</v>
      </c>
      <c r="X36" s="34">
        <f t="shared" si="0"/>
        <v>0.98796695038356175</v>
      </c>
      <c r="Y36" s="35" t="str">
        <f t="shared" si="5"/>
        <v/>
      </c>
      <c r="Z36" s="36">
        <f t="shared" si="6"/>
        <v>1.1000639386189259</v>
      </c>
      <c r="AA36" s="6"/>
      <c r="AB36" s="37">
        <v>4.09</v>
      </c>
      <c r="AC36" s="38">
        <v>4.694</v>
      </c>
      <c r="AD36" s="38"/>
      <c r="AE36" s="34">
        <f t="shared" si="7"/>
        <v>4.694</v>
      </c>
      <c r="AF36" s="34">
        <f t="shared" si="8"/>
        <v>1.5401690853828878</v>
      </c>
      <c r="AG36" s="35" t="str">
        <f t="shared" si="1"/>
        <v/>
      </c>
      <c r="AH36" s="36">
        <f t="shared" si="2"/>
        <v>1.1476772616136919</v>
      </c>
    </row>
    <row r="37" spans="1:34" ht="1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29">
        <f t="shared" si="3"/>
        <v>24</v>
      </c>
      <c r="Q37" s="30" t="s">
        <v>108</v>
      </c>
      <c r="R37" s="31">
        <v>45772</v>
      </c>
      <c r="S37" s="68"/>
      <c r="T37" s="39">
        <v>78.2</v>
      </c>
      <c r="U37" s="38">
        <v>65.864000000000004</v>
      </c>
      <c r="V37" s="74"/>
      <c r="W37" s="34">
        <f t="shared" si="4"/>
        <v>65.864000000000004</v>
      </c>
      <c r="X37" s="34">
        <f t="shared" si="0"/>
        <v>1.369084275699485</v>
      </c>
      <c r="Y37" s="35" t="str">
        <f t="shared" si="5"/>
        <v/>
      </c>
      <c r="Z37" s="36">
        <f t="shared" si="6"/>
        <v>0.84225063938618927</v>
      </c>
      <c r="AA37" s="6"/>
      <c r="AB37" s="37">
        <v>4.09</v>
      </c>
      <c r="AC37" s="38">
        <v>3.589</v>
      </c>
      <c r="AD37" s="38"/>
      <c r="AE37" s="34">
        <f t="shared" si="7"/>
        <v>3.589</v>
      </c>
      <c r="AF37" s="34">
        <f t="shared" si="8"/>
        <v>1.2174221731235568</v>
      </c>
      <c r="AG37" s="35" t="str">
        <f t="shared" si="1"/>
        <v/>
      </c>
      <c r="AH37" s="36">
        <f t="shared" si="2"/>
        <v>0.87750611246943766</v>
      </c>
    </row>
    <row r="38" spans="1:34" ht="1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29">
        <f t="shared" si="3"/>
        <v>25</v>
      </c>
      <c r="Q38" s="30" t="s">
        <v>108</v>
      </c>
      <c r="R38" s="31">
        <v>45785</v>
      </c>
      <c r="S38" s="68"/>
      <c r="T38" s="39">
        <v>78.2</v>
      </c>
      <c r="U38" s="38">
        <v>68.337999999999994</v>
      </c>
      <c r="V38" s="74"/>
      <c r="W38" s="34">
        <f t="shared" si="4"/>
        <v>68.337999999999994</v>
      </c>
      <c r="X38" s="34">
        <f t="shared" si="0"/>
        <v>1.0798454118867062</v>
      </c>
      <c r="Y38" s="35" t="str">
        <f t="shared" si="5"/>
        <v/>
      </c>
      <c r="Z38" s="36">
        <f t="shared" si="6"/>
        <v>0.8738874680306904</v>
      </c>
      <c r="AA38" s="6"/>
      <c r="AB38" s="37">
        <v>4.09</v>
      </c>
      <c r="AC38" s="38">
        <v>4.3860000000000001</v>
      </c>
      <c r="AD38" s="38"/>
      <c r="AE38" s="34">
        <f t="shared" si="7"/>
        <v>4.3860000000000001</v>
      </c>
      <c r="AF38" s="34">
        <f t="shared" si="8"/>
        <v>0.7715373137810918</v>
      </c>
      <c r="AG38" s="35" t="str">
        <f t="shared" si="1"/>
        <v/>
      </c>
      <c r="AH38" s="36">
        <f t="shared" si="2"/>
        <v>1.0723716381418094</v>
      </c>
    </row>
    <row r="39" spans="1:34" ht="1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29">
        <f t="shared" si="3"/>
        <v>26</v>
      </c>
      <c r="Q39" s="30" t="s">
        <v>108</v>
      </c>
      <c r="R39" s="31">
        <v>45785</v>
      </c>
      <c r="S39" s="68"/>
      <c r="T39" s="39">
        <v>78.2</v>
      </c>
      <c r="U39" s="38">
        <v>69.189499999999995</v>
      </c>
      <c r="V39" s="74"/>
      <c r="W39" s="34">
        <f t="shared" si="4"/>
        <v>69.189499999999995</v>
      </c>
      <c r="X39" s="34">
        <f t="shared" si="0"/>
        <v>0.98029533406270364</v>
      </c>
      <c r="Y39" s="35" t="str">
        <f t="shared" si="5"/>
        <v/>
      </c>
      <c r="Z39" s="36">
        <f t="shared" si="6"/>
        <v>0.88477621483375946</v>
      </c>
      <c r="AA39" s="6"/>
      <c r="AB39" s="37">
        <v>4.09</v>
      </c>
      <c r="AC39" s="38">
        <v>3.4051</v>
      </c>
      <c r="AD39" s="38"/>
      <c r="AE39" s="34">
        <f t="shared" si="7"/>
        <v>3.4051</v>
      </c>
      <c r="AF39" s="34">
        <f t="shared" si="8"/>
        <v>1.6763552341546293</v>
      </c>
      <c r="AG39" s="35" t="str">
        <f t="shared" si="1"/>
        <v/>
      </c>
      <c r="AH39" s="36">
        <f t="shared" si="2"/>
        <v>0.83254278728606357</v>
      </c>
    </row>
    <row r="40" spans="1:34" ht="1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29">
        <f t="shared" si="3"/>
        <v>27</v>
      </c>
      <c r="Q40" s="30" t="s">
        <v>109</v>
      </c>
      <c r="R40" s="31">
        <v>45793</v>
      </c>
      <c r="S40" s="68"/>
      <c r="T40" s="39">
        <v>78.2</v>
      </c>
      <c r="U40" s="38">
        <v>81.706999999999994</v>
      </c>
      <c r="V40" s="74"/>
      <c r="W40" s="34">
        <f t="shared" si="4"/>
        <v>81.706999999999994</v>
      </c>
      <c r="X40" s="34">
        <f t="shared" si="0"/>
        <v>0.48314342009108502</v>
      </c>
      <c r="Y40" s="35" t="str">
        <f t="shared" si="5"/>
        <v/>
      </c>
      <c r="Z40" s="36">
        <f t="shared" si="6"/>
        <v>1.0448465473145778</v>
      </c>
      <c r="AA40" s="6"/>
      <c r="AB40" s="37">
        <v>4.09</v>
      </c>
      <c r="AC40" s="38">
        <v>3.8530000000000002</v>
      </c>
      <c r="AD40" s="38"/>
      <c r="AE40" s="34">
        <f t="shared" si="7"/>
        <v>3.8530000000000002</v>
      </c>
      <c r="AF40" s="34">
        <f t="shared" si="8"/>
        <v>0.55859494032201662</v>
      </c>
      <c r="AG40" s="35" t="str">
        <f t="shared" si="1"/>
        <v/>
      </c>
      <c r="AH40" s="36">
        <f t="shared" si="2"/>
        <v>0.94205378973105147</v>
      </c>
    </row>
    <row r="41" spans="1:34" ht="1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29">
        <f t="shared" si="3"/>
        <v>28</v>
      </c>
      <c r="Q41" s="30" t="s">
        <v>109</v>
      </c>
      <c r="R41" s="31">
        <v>45793</v>
      </c>
      <c r="S41" s="68"/>
      <c r="T41" s="39">
        <v>78.2</v>
      </c>
      <c r="U41" s="38">
        <v>85.882999999999996</v>
      </c>
      <c r="V41" s="74"/>
      <c r="W41" s="34">
        <f t="shared" si="4"/>
        <v>85.882999999999996</v>
      </c>
      <c r="X41" s="34">
        <f t="shared" si="0"/>
        <v>0.97136552812753196</v>
      </c>
      <c r="Y41" s="35" t="str">
        <f t="shared" si="5"/>
        <v/>
      </c>
      <c r="Z41" s="36">
        <f t="shared" si="6"/>
        <v>1.0982480818414322</v>
      </c>
      <c r="AA41" s="6"/>
      <c r="AB41" s="37">
        <v>4.09</v>
      </c>
      <c r="AC41" s="38">
        <v>3.7709999999999999</v>
      </c>
      <c r="AD41" s="38"/>
      <c r="AE41" s="34">
        <f t="shared" si="7"/>
        <v>3.7709999999999999</v>
      </c>
      <c r="AF41" s="34">
        <f t="shared" si="8"/>
        <v>0.76323067172249559</v>
      </c>
      <c r="AG41" s="35" t="str">
        <f t="shared" si="1"/>
        <v/>
      </c>
      <c r="AH41" s="36">
        <f t="shared" si="2"/>
        <v>0.92200488997555008</v>
      </c>
    </row>
    <row r="42" spans="1:34" ht="1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29">
        <f t="shared" si="3"/>
        <v>29</v>
      </c>
      <c r="Q42" s="30" t="s">
        <v>108</v>
      </c>
      <c r="R42" s="31">
        <v>45804</v>
      </c>
      <c r="S42" s="68"/>
      <c r="T42" s="39">
        <v>78.2</v>
      </c>
      <c r="U42" s="38">
        <v>69.021000000000001</v>
      </c>
      <c r="V42" s="74"/>
      <c r="W42" s="34">
        <f t="shared" si="4"/>
        <v>69.021000000000001</v>
      </c>
      <c r="X42" s="34">
        <f t="shared" si="0"/>
        <v>0.9999949090636947</v>
      </c>
      <c r="Y42" s="35" t="str">
        <f t="shared" si="5"/>
        <v/>
      </c>
      <c r="Z42" s="36">
        <f t="shared" si="6"/>
        <v>0.88262148337595903</v>
      </c>
      <c r="AA42" s="6"/>
      <c r="AB42" s="37">
        <v>4.09</v>
      </c>
      <c r="AC42" s="38">
        <v>3.4260000000000002</v>
      </c>
      <c r="AD42" s="38"/>
      <c r="AE42" s="34">
        <f t="shared" si="7"/>
        <v>3.4260000000000002</v>
      </c>
      <c r="AF42" s="34">
        <f t="shared" si="8"/>
        <v>1.6241980782245071</v>
      </c>
      <c r="AG42" s="35" t="str">
        <f t="shared" si="1"/>
        <v/>
      </c>
      <c r="AH42" s="36">
        <f t="shared" si="2"/>
        <v>0.83765281173594142</v>
      </c>
    </row>
    <row r="43" spans="1:34" ht="1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29">
        <f t="shared" si="3"/>
        <v>30</v>
      </c>
      <c r="Q43" s="30" t="s">
        <v>108</v>
      </c>
      <c r="R43" s="31">
        <v>45804</v>
      </c>
      <c r="S43" s="68"/>
      <c r="T43" s="39">
        <v>78.2</v>
      </c>
      <c r="U43" s="38">
        <v>82.872</v>
      </c>
      <c r="V43" s="74"/>
      <c r="W43" s="34">
        <f t="shared" si="4"/>
        <v>82.872</v>
      </c>
      <c r="X43" s="34">
        <f t="shared" si="0"/>
        <v>0.61934522944512316</v>
      </c>
      <c r="Y43" s="35" t="str">
        <f t="shared" si="5"/>
        <v/>
      </c>
      <c r="Z43" s="36">
        <f t="shared" si="6"/>
        <v>1.0597442455242967</v>
      </c>
      <c r="AA43" s="6"/>
      <c r="AB43" s="37">
        <v>4.09</v>
      </c>
      <c r="AC43" s="38">
        <v>4.7910000000000004</v>
      </c>
      <c r="AD43" s="38"/>
      <c r="AE43" s="34">
        <f t="shared" si="7"/>
        <v>4.7910000000000004</v>
      </c>
      <c r="AF43" s="34">
        <f t="shared" si="8"/>
        <v>1.7822381822834545</v>
      </c>
      <c r="AG43" s="35" t="str">
        <f t="shared" si="1"/>
        <v/>
      </c>
      <c r="AH43" s="36">
        <f t="shared" si="2"/>
        <v>1.1713936430317851</v>
      </c>
    </row>
    <row r="44" spans="1:34" ht="1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29">
        <f t="shared" si="3"/>
        <v>31</v>
      </c>
      <c r="Q44" s="30" t="s">
        <v>108</v>
      </c>
      <c r="R44" s="31">
        <v>45825</v>
      </c>
      <c r="S44" s="68"/>
      <c r="T44" s="39">
        <v>78.2</v>
      </c>
      <c r="U44" s="38">
        <v>76.507999999999996</v>
      </c>
      <c r="V44" s="74"/>
      <c r="W44" s="34">
        <f t="shared" si="4"/>
        <v>76.507999999999996</v>
      </c>
      <c r="X44" s="34">
        <f t="shared" si="0"/>
        <v>0.12467907504337039</v>
      </c>
      <c r="Y44" s="35" t="str">
        <f t="shared" si="5"/>
        <v/>
      </c>
      <c r="Z44" s="36">
        <f t="shared" si="6"/>
        <v>0.97836317135549866</v>
      </c>
      <c r="AA44" s="6"/>
      <c r="AB44" s="37">
        <v>4.09</v>
      </c>
      <c r="AC44" s="38">
        <v>3.9249999999999998</v>
      </c>
      <c r="AD44" s="38"/>
      <c r="AE44" s="34">
        <f t="shared" si="7"/>
        <v>3.9249999999999998</v>
      </c>
      <c r="AF44" s="34">
        <f t="shared" si="8"/>
        <v>0.37891478592159766</v>
      </c>
      <c r="AG44" s="35" t="str">
        <f t="shared" si="1"/>
        <v/>
      </c>
      <c r="AH44" s="36">
        <f t="shared" si="2"/>
        <v>0.95965770171149145</v>
      </c>
    </row>
    <row r="45" spans="1:34" ht="1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29">
        <f t="shared" si="3"/>
        <v>32</v>
      </c>
      <c r="Q45" s="30" t="s">
        <v>108</v>
      </c>
      <c r="R45" s="31">
        <v>45825</v>
      </c>
      <c r="S45" s="68"/>
      <c r="T45" s="39">
        <v>78.2</v>
      </c>
      <c r="U45" s="38">
        <v>77.006</v>
      </c>
      <c r="V45" s="74"/>
      <c r="W45" s="34">
        <f t="shared" si="4"/>
        <v>77.006</v>
      </c>
      <c r="X45" s="34">
        <f t="shared" si="0"/>
        <v>6.6457185722931508E-2</v>
      </c>
      <c r="Y45" s="35" t="str">
        <f t="shared" si="5"/>
        <v/>
      </c>
      <c r="Z45" s="36">
        <f t="shared" si="6"/>
        <v>0.98473145780051152</v>
      </c>
      <c r="AA45" s="6"/>
      <c r="AB45" s="37">
        <v>4.09</v>
      </c>
      <c r="AC45" s="38">
        <v>4.2130000000000001</v>
      </c>
      <c r="AD45" s="38"/>
      <c r="AE45" s="34">
        <f t="shared" si="7"/>
        <v>4.2130000000000001</v>
      </c>
      <c r="AF45" s="34">
        <f t="shared" si="8"/>
        <v>0.33980583168008271</v>
      </c>
      <c r="AG45" s="35" t="str">
        <f t="shared" si="1"/>
        <v/>
      </c>
      <c r="AH45" s="36">
        <f t="shared" si="2"/>
        <v>1.0300733496332519</v>
      </c>
    </row>
    <row r="46" spans="1:34" ht="1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29">
        <f t="shared" si="3"/>
        <v>33</v>
      </c>
      <c r="Q46" s="30" t="s">
        <v>108</v>
      </c>
      <c r="R46" s="31">
        <v>45825</v>
      </c>
      <c r="S46" s="68"/>
      <c r="T46" s="39">
        <v>78.2</v>
      </c>
      <c r="U46" s="38">
        <v>84.783000000000001</v>
      </c>
      <c r="V46" s="74"/>
      <c r="W46" s="34">
        <f t="shared" si="4"/>
        <v>84.783000000000001</v>
      </c>
      <c r="X46" s="34">
        <f t="shared" si="0"/>
        <v>0.84276296135548012</v>
      </c>
      <c r="Y46" s="35" t="str">
        <f t="shared" si="5"/>
        <v/>
      </c>
      <c r="Z46" s="36">
        <f t="shared" si="6"/>
        <v>1.0841815856777492</v>
      </c>
      <c r="AA46" s="6"/>
      <c r="AB46" s="37">
        <v>4.09</v>
      </c>
      <c r="AC46" s="38">
        <v>3.4969999999999999</v>
      </c>
      <c r="AD46" s="38"/>
      <c r="AE46" s="34">
        <f t="shared" si="7"/>
        <v>3.4969999999999999</v>
      </c>
      <c r="AF46" s="34">
        <f t="shared" si="8"/>
        <v>1.4470134815240938</v>
      </c>
      <c r="AG46" s="35" t="str">
        <f t="shared" si="1"/>
        <v/>
      </c>
      <c r="AH46" s="36">
        <f t="shared" si="2"/>
        <v>0.8550122249388753</v>
      </c>
    </row>
    <row r="47" spans="1:34" ht="1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29">
        <f t="shared" si="3"/>
        <v>34</v>
      </c>
      <c r="Q47" s="30" t="s">
        <v>108</v>
      </c>
      <c r="R47" s="31">
        <v>45825</v>
      </c>
      <c r="S47" s="68"/>
      <c r="T47" s="39">
        <v>78.2</v>
      </c>
      <c r="U47" s="38">
        <v>77.346000000000004</v>
      </c>
      <c r="V47" s="74"/>
      <c r="W47" s="34">
        <f t="shared" si="4"/>
        <v>77.346000000000004</v>
      </c>
      <c r="X47" s="34">
        <f t="shared" si="0"/>
        <v>2.6707301447933051E-2</v>
      </c>
      <c r="Y47" s="35" t="str">
        <f t="shared" si="5"/>
        <v/>
      </c>
      <c r="Z47" s="36">
        <f t="shared" si="6"/>
        <v>0.98907928388746802</v>
      </c>
      <c r="AA47" s="6"/>
      <c r="AB47" s="37">
        <v>4.09</v>
      </c>
      <c r="AC47" s="38">
        <v>3.819</v>
      </c>
      <c r="AD47" s="38"/>
      <c r="AE47" s="34">
        <f t="shared" si="7"/>
        <v>3.819</v>
      </c>
      <c r="AF47" s="34">
        <f t="shared" si="8"/>
        <v>0.64344390212221558</v>
      </c>
      <c r="AG47" s="35" t="str">
        <f t="shared" si="1"/>
        <v/>
      </c>
      <c r="AH47" s="36">
        <f t="shared" si="2"/>
        <v>0.93374083129584351</v>
      </c>
    </row>
    <row r="48" spans="1:34" ht="1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29">
        <f t="shared" si="3"/>
        <v>35</v>
      </c>
      <c r="Q48" s="30" t="s">
        <v>106</v>
      </c>
      <c r="R48" s="31">
        <v>45860</v>
      </c>
      <c r="S48" s="68"/>
      <c r="T48" s="39">
        <v>78.2</v>
      </c>
      <c r="U48" s="38">
        <v>78.897000000000006</v>
      </c>
      <c r="V48" s="74"/>
      <c r="W48" s="34">
        <f t="shared" si="4"/>
        <v>78.897000000000006</v>
      </c>
      <c r="X48" s="34">
        <f t="shared" si="0"/>
        <v>0.15462231770066126</v>
      </c>
      <c r="Y48" s="35" t="str">
        <f t="shared" si="5"/>
        <v/>
      </c>
      <c r="Z48" s="36">
        <f t="shared" si="6"/>
        <v>1.0089130434782609</v>
      </c>
      <c r="AA48" s="6"/>
      <c r="AB48" s="37">
        <v>4.09</v>
      </c>
      <c r="AC48" s="38">
        <v>3.8969999999999998</v>
      </c>
      <c r="AD48" s="38"/>
      <c r="AE48" s="34">
        <f t="shared" si="7"/>
        <v>3.8969999999999998</v>
      </c>
      <c r="AF48" s="34">
        <f t="shared" si="8"/>
        <v>0.44879040152176103</v>
      </c>
      <c r="AG48" s="35" t="str">
        <f t="shared" si="1"/>
        <v/>
      </c>
      <c r="AH48" s="36">
        <f t="shared" si="2"/>
        <v>0.95281173594132029</v>
      </c>
    </row>
    <row r="49" spans="1:34" ht="1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29">
        <f t="shared" si="3"/>
        <v>36</v>
      </c>
      <c r="Q49" s="30" t="s">
        <v>106</v>
      </c>
      <c r="R49" s="31">
        <v>45860</v>
      </c>
      <c r="S49" s="68"/>
      <c r="T49" s="39">
        <v>78.2</v>
      </c>
      <c r="U49" s="38">
        <v>70.052000000000007</v>
      </c>
      <c r="V49" s="74"/>
      <c r="W49" s="34">
        <f t="shared" si="4"/>
        <v>70.052000000000007</v>
      </c>
      <c r="X49" s="34">
        <f t="shared" si="0"/>
        <v>0.8794592305709793</v>
      </c>
      <c r="Y49" s="35" t="str">
        <f t="shared" si="5"/>
        <v/>
      </c>
      <c r="Z49" s="36">
        <f t="shared" si="6"/>
        <v>0.89580562659846552</v>
      </c>
      <c r="AA49" s="6"/>
      <c r="AB49" s="37">
        <v>4.09</v>
      </c>
      <c r="AC49" s="38">
        <v>4.4269999999999996</v>
      </c>
      <c r="AD49" s="38"/>
      <c r="AE49" s="34">
        <f t="shared" si="7"/>
        <v>4.4269999999999996</v>
      </c>
      <c r="AF49" s="34">
        <f t="shared" si="8"/>
        <v>0.87385517948132962</v>
      </c>
      <c r="AG49" s="35" t="str">
        <f t="shared" si="1"/>
        <v/>
      </c>
      <c r="AH49" s="36">
        <f t="shared" si="2"/>
        <v>1.0823960880195598</v>
      </c>
    </row>
    <row r="50" spans="1:34" ht="1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29">
        <f t="shared" si="3"/>
        <v>37</v>
      </c>
      <c r="Q50" s="30" t="s">
        <v>106</v>
      </c>
      <c r="R50" s="31">
        <v>45912</v>
      </c>
      <c r="S50" s="68"/>
      <c r="T50" s="39">
        <v>78.2</v>
      </c>
      <c r="U50" s="38">
        <v>84.765000000000001</v>
      </c>
      <c r="V50" s="74"/>
      <c r="W50" s="34">
        <f t="shared" si="4"/>
        <v>84.765000000000001</v>
      </c>
      <c r="X50" s="34">
        <f t="shared" si="0"/>
        <v>0.8406585557173919</v>
      </c>
      <c r="Y50" s="35" t="str">
        <f t="shared" si="5"/>
        <v/>
      </c>
      <c r="Z50" s="36">
        <f t="shared" si="6"/>
        <v>1.0839514066496163</v>
      </c>
      <c r="AA50" s="6"/>
      <c r="AB50" s="37">
        <v>4.09</v>
      </c>
      <c r="AC50" s="38">
        <v>3.9980000000000002</v>
      </c>
      <c r="AD50" s="38"/>
      <c r="AE50" s="34">
        <f t="shared" si="7"/>
        <v>3.9980000000000002</v>
      </c>
      <c r="AF50" s="34">
        <f t="shared" si="8"/>
        <v>0.1967390738211709</v>
      </c>
      <c r="AG50" s="35" t="str">
        <f t="shared" si="1"/>
        <v/>
      </c>
      <c r="AH50" s="36">
        <f t="shared" si="2"/>
        <v>0.97750611246943775</v>
      </c>
    </row>
    <row r="51" spans="1:34" ht="1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29">
        <f t="shared" si="3"/>
        <v>38</v>
      </c>
      <c r="Q51" s="30" t="s">
        <v>106</v>
      </c>
      <c r="R51" s="31">
        <v>46044</v>
      </c>
      <c r="S51" s="68"/>
      <c r="T51" s="39">
        <v>78.2</v>
      </c>
      <c r="U51" s="38">
        <v>78.930999999999997</v>
      </c>
      <c r="V51" s="74"/>
      <c r="W51" s="34">
        <f t="shared" si="4"/>
        <v>78.930999999999997</v>
      </c>
      <c r="X51" s="34">
        <f t="shared" si="0"/>
        <v>0.15859730612816011</v>
      </c>
      <c r="Y51" s="35" t="str">
        <f t="shared" si="5"/>
        <v/>
      </c>
      <c r="Z51" s="36">
        <f t="shared" si="6"/>
        <v>1.0093478260869564</v>
      </c>
      <c r="AA51" s="6"/>
      <c r="AB51" s="37">
        <v>4.09</v>
      </c>
      <c r="AC51" s="38">
        <v>4.101</v>
      </c>
      <c r="AD51" s="38"/>
      <c r="AE51" s="34">
        <f t="shared" si="7"/>
        <v>4.101</v>
      </c>
      <c r="AF51" s="34">
        <f t="shared" si="8"/>
        <v>6.0303369279429225E-2</v>
      </c>
      <c r="AG51" s="35" t="str">
        <f t="shared" si="1"/>
        <v/>
      </c>
      <c r="AH51" s="36">
        <f t="shared" si="2"/>
        <v>1.0026894865525673</v>
      </c>
    </row>
    <row r="52" spans="1:34" ht="1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29">
        <f t="shared" si="3"/>
        <v>39</v>
      </c>
      <c r="Q52" s="30" t="s">
        <v>106</v>
      </c>
      <c r="R52" s="31">
        <v>46044</v>
      </c>
      <c r="S52" s="68"/>
      <c r="T52" s="39">
        <v>78.2</v>
      </c>
      <c r="U52" s="38">
        <v>73.668000000000006</v>
      </c>
      <c r="V52" s="74"/>
      <c r="W52" s="34">
        <f t="shared" si="4"/>
        <v>73.668000000000006</v>
      </c>
      <c r="X52" s="34">
        <f t="shared" si="0"/>
        <v>0.45670752016394117</v>
      </c>
      <c r="Y52" s="35" t="str">
        <f t="shared" si="5"/>
        <v/>
      </c>
      <c r="Z52" s="36">
        <f t="shared" si="6"/>
        <v>0.94204603580562662</v>
      </c>
      <c r="AA52" s="6"/>
      <c r="AB52" s="37">
        <v>4.09</v>
      </c>
      <c r="AC52" s="38">
        <v>4.3879999999999999</v>
      </c>
      <c r="AD52" s="38"/>
      <c r="AE52" s="34">
        <f t="shared" si="7"/>
        <v>4.3879999999999999</v>
      </c>
      <c r="AF52" s="34">
        <f t="shared" si="8"/>
        <v>0.77652842918110287</v>
      </c>
      <c r="AG52" s="35" t="str">
        <f t="shared" si="1"/>
        <v/>
      </c>
      <c r="AH52" s="36">
        <f t="shared" si="2"/>
        <v>1.0728606356968216</v>
      </c>
    </row>
    <row r="53" spans="1:34" ht="1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29">
        <f t="shared" si="3"/>
        <v>40</v>
      </c>
      <c r="Q53" s="30" t="s">
        <v>106</v>
      </c>
      <c r="R53" s="31">
        <v>46048</v>
      </c>
      <c r="S53" s="68"/>
      <c r="T53" s="39">
        <v>78.2</v>
      </c>
      <c r="U53" s="38">
        <v>83.406999999999996</v>
      </c>
      <c r="V53" s="74"/>
      <c r="W53" s="34">
        <f t="shared" si="4"/>
        <v>83.406999999999996</v>
      </c>
      <c r="X53" s="34">
        <f t="shared" si="0"/>
        <v>0.68189284146607565</v>
      </c>
      <c r="Y53" s="35" t="str">
        <f t="shared" si="5"/>
        <v/>
      </c>
      <c r="Z53" s="36">
        <f t="shared" si="6"/>
        <v>1.0665856777493605</v>
      </c>
      <c r="AA53" s="6"/>
      <c r="AB53" s="37">
        <v>4.09</v>
      </c>
      <c r="AC53" s="38">
        <v>4.4790000000000001</v>
      </c>
      <c r="AD53" s="38"/>
      <c r="AE53" s="34">
        <f t="shared" si="7"/>
        <v>4.4790000000000001</v>
      </c>
      <c r="AF53" s="34">
        <f t="shared" si="8"/>
        <v>1.0036241798816341</v>
      </c>
      <c r="AG53" s="35" t="str">
        <f t="shared" si="1"/>
        <v/>
      </c>
      <c r="AH53" s="36">
        <f t="shared" si="2"/>
        <v>1.0951100244498777</v>
      </c>
    </row>
    <row r="54" spans="1:34" ht="1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29">
        <f t="shared" si="3"/>
        <v>41</v>
      </c>
      <c r="Q54" s="30" t="s">
        <v>106</v>
      </c>
      <c r="R54" s="31">
        <v>46048</v>
      </c>
      <c r="S54" s="68"/>
      <c r="T54" s="39">
        <v>78.2</v>
      </c>
      <c r="U54" s="38">
        <v>85.876000000000005</v>
      </c>
      <c r="V54" s="74"/>
      <c r="W54" s="34">
        <f t="shared" si="4"/>
        <v>85.876000000000005</v>
      </c>
      <c r="X54" s="34">
        <f t="shared" si="0"/>
        <v>0.97054714815716547</v>
      </c>
      <c r="Y54" s="35" t="str">
        <f t="shared" si="5"/>
        <v/>
      </c>
      <c r="Z54" s="36">
        <f t="shared" si="6"/>
        <v>1.0981585677749361</v>
      </c>
      <c r="AA54" s="6"/>
      <c r="AB54" s="37">
        <v>4.09</v>
      </c>
      <c r="AC54" s="38">
        <v>4.28</v>
      </c>
      <c r="AD54" s="38"/>
      <c r="AE54" s="34">
        <f t="shared" si="7"/>
        <v>4.28</v>
      </c>
      <c r="AF54" s="34">
        <f t="shared" si="8"/>
        <v>0.50700819758047388</v>
      </c>
      <c r="AG54" s="35" t="str">
        <f t="shared" si="1"/>
        <v/>
      </c>
      <c r="AH54" s="36">
        <f t="shared" si="2"/>
        <v>1.0464547677261615</v>
      </c>
    </row>
    <row r="55" spans="1:34" ht="1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29">
        <f t="shared" si="3"/>
        <v>42</v>
      </c>
      <c r="Q55" s="30" t="s">
        <v>106</v>
      </c>
      <c r="R55" s="31">
        <v>46065</v>
      </c>
      <c r="S55" s="68"/>
      <c r="T55" s="39">
        <v>78.2</v>
      </c>
      <c r="U55" s="38">
        <v>80.114000000000004</v>
      </c>
      <c r="V55" s="74"/>
      <c r="W55" s="34">
        <f t="shared" si="4"/>
        <v>80.114000000000004</v>
      </c>
      <c r="X55" s="34">
        <f t="shared" si="0"/>
        <v>0.29690352112028651</v>
      </c>
      <c r="Y55" s="35" t="str">
        <f t="shared" si="5"/>
        <v/>
      </c>
      <c r="Z55" s="36">
        <f t="shared" si="6"/>
        <v>1.0244757033248082</v>
      </c>
      <c r="AA55" s="6"/>
      <c r="AB55" s="37">
        <v>4.09</v>
      </c>
      <c r="AC55" s="38">
        <v>3.6960000000000002</v>
      </c>
      <c r="AD55" s="38"/>
      <c r="AE55" s="34">
        <f t="shared" si="7"/>
        <v>3.6960000000000002</v>
      </c>
      <c r="AF55" s="34">
        <f t="shared" si="8"/>
        <v>0.95039749922293237</v>
      </c>
      <c r="AG55" s="35" t="str">
        <f t="shared" si="1"/>
        <v/>
      </c>
      <c r="AH55" s="36">
        <f t="shared" si="2"/>
        <v>0.90366748166259181</v>
      </c>
    </row>
    <row r="56" spans="1:34" ht="1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29" t="str">
        <f t="shared" si="3"/>
        <v/>
      </c>
      <c r="Q56" s="30"/>
      <c r="R56" s="31"/>
      <c r="S56" s="68"/>
      <c r="T56" s="39">
        <v>78.2</v>
      </c>
      <c r="U56" s="38"/>
      <c r="V56" s="74"/>
      <c r="W56" s="34" t="str">
        <f t="shared" si="4"/>
        <v>FALSE</v>
      </c>
      <c r="X56" s="34" t="str">
        <f t="shared" si="0"/>
        <v>FALSE</v>
      </c>
      <c r="Y56" s="35">
        <f t="shared" si="5"/>
        <v>0</v>
      </c>
      <c r="Z56" s="36" t="str">
        <f t="shared" si="6"/>
        <v/>
      </c>
      <c r="AA56" s="6"/>
      <c r="AB56" s="37">
        <v>4.09</v>
      </c>
      <c r="AC56" s="38"/>
      <c r="AD56" s="38"/>
      <c r="AE56" s="34" t="str">
        <f t="shared" si="7"/>
        <v>FALSE</v>
      </c>
      <c r="AF56" s="34" t="str">
        <f t="shared" si="8"/>
        <v>FALSE</v>
      </c>
      <c r="AG56" s="35">
        <f t="shared" si="1"/>
        <v>0</v>
      </c>
      <c r="AH56" s="36" t="str">
        <f t="shared" si="2"/>
        <v/>
      </c>
    </row>
    <row r="57" spans="1:34" ht="14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29" t="str">
        <f t="shared" si="3"/>
        <v/>
      </c>
      <c r="Q57" s="30"/>
      <c r="R57" s="31"/>
      <c r="S57" s="68"/>
      <c r="T57" s="39">
        <v>78.2</v>
      </c>
      <c r="U57" s="38"/>
      <c r="V57" s="74"/>
      <c r="W57" s="34" t="str">
        <f t="shared" si="4"/>
        <v>FALSE</v>
      </c>
      <c r="X57" s="34" t="str">
        <f t="shared" si="0"/>
        <v>FALSE</v>
      </c>
      <c r="Y57" s="35">
        <f t="shared" si="5"/>
        <v>0</v>
      </c>
      <c r="Z57" s="36" t="str">
        <f t="shared" si="6"/>
        <v/>
      </c>
      <c r="AA57" s="42"/>
      <c r="AB57" s="37">
        <v>4.09</v>
      </c>
      <c r="AC57" s="38"/>
      <c r="AD57" s="38"/>
      <c r="AE57" s="34" t="str">
        <f t="shared" si="7"/>
        <v>FALSE</v>
      </c>
      <c r="AF57" s="34" t="str">
        <f t="shared" si="8"/>
        <v>FALSE</v>
      </c>
      <c r="AG57" s="35">
        <f t="shared" si="1"/>
        <v>0</v>
      </c>
      <c r="AH57" s="36" t="str">
        <f t="shared" si="2"/>
        <v/>
      </c>
    </row>
    <row r="58" spans="1:34" ht="1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29" t="str">
        <f t="shared" si="3"/>
        <v/>
      </c>
      <c r="Q58" s="30"/>
      <c r="R58" s="31"/>
      <c r="S58" s="68"/>
      <c r="T58" s="39">
        <v>78.2</v>
      </c>
      <c r="U58" s="38"/>
      <c r="V58" s="74"/>
      <c r="W58" s="34" t="str">
        <f t="shared" si="4"/>
        <v>FALSE</v>
      </c>
      <c r="X58" s="34" t="str">
        <f t="shared" si="0"/>
        <v>FALSE</v>
      </c>
      <c r="Y58" s="35">
        <f t="shared" si="5"/>
        <v>0</v>
      </c>
      <c r="Z58" s="36" t="str">
        <f t="shared" si="6"/>
        <v/>
      </c>
      <c r="AA58" s="6"/>
      <c r="AB58" s="37">
        <v>4.09</v>
      </c>
      <c r="AC58" s="38"/>
      <c r="AD58" s="38"/>
      <c r="AE58" s="34" t="str">
        <f t="shared" si="7"/>
        <v>FALSE</v>
      </c>
      <c r="AF58" s="34" t="str">
        <f t="shared" si="8"/>
        <v>FALSE</v>
      </c>
      <c r="AG58" s="35">
        <f t="shared" si="1"/>
        <v>0</v>
      </c>
      <c r="AH58" s="36" t="str">
        <f t="shared" si="2"/>
        <v/>
      </c>
    </row>
    <row r="59" spans="1:34" ht="1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29" t="str">
        <f t="shared" si="3"/>
        <v/>
      </c>
      <c r="Q59" s="30"/>
      <c r="R59" s="31"/>
      <c r="S59" s="68"/>
      <c r="T59" s="40"/>
      <c r="U59" s="38"/>
      <c r="V59" s="74"/>
      <c r="W59" s="34" t="str">
        <f t="shared" si="4"/>
        <v>FALSE</v>
      </c>
      <c r="X59" s="34" t="str">
        <f t="shared" si="0"/>
        <v>FALSE</v>
      </c>
      <c r="Y59" s="35">
        <f t="shared" si="5"/>
        <v>0</v>
      </c>
      <c r="Z59" s="36" t="str">
        <f t="shared" si="6"/>
        <v/>
      </c>
      <c r="AA59" s="6"/>
      <c r="AB59" s="41"/>
      <c r="AC59" s="38"/>
      <c r="AD59" s="38"/>
      <c r="AE59" s="34" t="str">
        <f t="shared" si="7"/>
        <v>FALSE</v>
      </c>
      <c r="AF59" s="34" t="str">
        <f t="shared" si="8"/>
        <v>FALSE</v>
      </c>
      <c r="AG59" s="35">
        <f t="shared" si="1"/>
        <v>0</v>
      </c>
      <c r="AH59" s="36" t="str">
        <f t="shared" si="2"/>
        <v/>
      </c>
    </row>
    <row r="60" spans="1:34" ht="1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29" t="str">
        <f t="shared" si="3"/>
        <v/>
      </c>
      <c r="Q60" s="30"/>
      <c r="R60" s="31"/>
      <c r="S60" s="68"/>
      <c r="T60" s="40"/>
      <c r="U60" s="38"/>
      <c r="V60" s="74"/>
      <c r="W60" s="34" t="str">
        <f t="shared" si="4"/>
        <v>FALSE</v>
      </c>
      <c r="X60" s="34" t="str">
        <f t="shared" si="0"/>
        <v>FALSE</v>
      </c>
      <c r="Y60" s="35">
        <f t="shared" si="5"/>
        <v>0</v>
      </c>
      <c r="Z60" s="36" t="str">
        <f t="shared" si="6"/>
        <v/>
      </c>
      <c r="AA60" s="6"/>
      <c r="AB60" s="41"/>
      <c r="AC60" s="38"/>
      <c r="AD60" s="38"/>
      <c r="AE60" s="34"/>
      <c r="AF60" s="34" t="str">
        <f t="shared" si="8"/>
        <v>FALSE</v>
      </c>
      <c r="AG60" s="35">
        <f t="shared" si="1"/>
        <v>0</v>
      </c>
      <c r="AH60" s="36" t="str">
        <f t="shared" si="2"/>
        <v/>
      </c>
    </row>
    <row r="61" spans="1:34" ht="1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29" t="str">
        <f t="shared" si="3"/>
        <v/>
      </c>
      <c r="Q61" s="30"/>
      <c r="R61" s="31"/>
      <c r="S61" s="68"/>
      <c r="T61" s="40"/>
      <c r="U61" s="38"/>
      <c r="V61" s="74"/>
      <c r="W61" s="34" t="str">
        <f t="shared" si="4"/>
        <v>FALSE</v>
      </c>
      <c r="X61" s="34" t="str">
        <f t="shared" si="0"/>
        <v>FALSE</v>
      </c>
      <c r="Y61" s="35">
        <f t="shared" si="5"/>
        <v>0</v>
      </c>
      <c r="Z61" s="36" t="str">
        <f t="shared" si="6"/>
        <v/>
      </c>
      <c r="AA61" s="6"/>
      <c r="AB61" s="41"/>
      <c r="AC61" s="38"/>
      <c r="AD61" s="38"/>
      <c r="AE61" s="34"/>
      <c r="AF61" s="34" t="str">
        <f t="shared" si="8"/>
        <v>FALSE</v>
      </c>
      <c r="AG61" s="35">
        <f t="shared" si="1"/>
        <v>0</v>
      </c>
      <c r="AH61" s="36" t="str">
        <f t="shared" si="2"/>
        <v/>
      </c>
    </row>
    <row r="62" spans="1:34" ht="1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29" t="str">
        <f t="shared" si="3"/>
        <v/>
      </c>
      <c r="Q62" s="30"/>
      <c r="R62" s="31"/>
      <c r="S62" s="68"/>
      <c r="T62" s="40"/>
      <c r="U62" s="38"/>
      <c r="V62" s="74"/>
      <c r="W62" s="34" t="str">
        <f t="shared" si="4"/>
        <v>FALSE</v>
      </c>
      <c r="X62" s="34" t="str">
        <f t="shared" si="0"/>
        <v>FALSE</v>
      </c>
      <c r="Y62" s="35">
        <f t="shared" si="5"/>
        <v>0</v>
      </c>
      <c r="Z62" s="36" t="str">
        <f t="shared" si="6"/>
        <v/>
      </c>
      <c r="AA62" s="6"/>
      <c r="AB62" s="41"/>
      <c r="AC62" s="38"/>
      <c r="AD62" s="38"/>
      <c r="AE62" s="34"/>
      <c r="AF62" s="34" t="str">
        <f t="shared" si="8"/>
        <v>FALSE</v>
      </c>
      <c r="AG62" s="35">
        <f t="shared" si="1"/>
        <v>0</v>
      </c>
      <c r="AH62" s="36" t="str">
        <f t="shared" si="2"/>
        <v/>
      </c>
    </row>
    <row r="63" spans="1:34" ht="1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29" t="str">
        <f t="shared" si="3"/>
        <v/>
      </c>
      <c r="Q63" s="30"/>
      <c r="R63" s="31"/>
      <c r="S63" s="68"/>
      <c r="T63" s="40"/>
      <c r="U63" s="38"/>
      <c r="V63" s="74"/>
      <c r="W63" s="34" t="str">
        <f t="shared" si="4"/>
        <v>FALSE</v>
      </c>
      <c r="X63" s="34" t="str">
        <f t="shared" si="0"/>
        <v>FALSE</v>
      </c>
      <c r="Y63" s="35">
        <f t="shared" si="5"/>
        <v>0</v>
      </c>
      <c r="Z63" s="36" t="str">
        <f t="shared" si="6"/>
        <v/>
      </c>
      <c r="AA63" s="6"/>
      <c r="AB63" s="41"/>
      <c r="AC63" s="38"/>
      <c r="AD63" s="38"/>
      <c r="AE63" s="34"/>
      <c r="AF63" s="34" t="str">
        <f t="shared" si="8"/>
        <v>FALSE</v>
      </c>
      <c r="AG63" s="35">
        <f t="shared" si="1"/>
        <v>0</v>
      </c>
      <c r="AH63" s="36" t="str">
        <f t="shared" si="2"/>
        <v/>
      </c>
    </row>
    <row r="64" spans="1:34" ht="1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29" t="str">
        <f t="shared" si="3"/>
        <v/>
      </c>
      <c r="Q64" s="30"/>
      <c r="R64" s="31"/>
      <c r="S64" s="68"/>
      <c r="T64" s="40"/>
      <c r="U64" s="38"/>
      <c r="V64" s="74"/>
      <c r="W64" s="34" t="str">
        <f t="shared" si="4"/>
        <v>FALSE</v>
      </c>
      <c r="X64" s="34" t="str">
        <f t="shared" si="0"/>
        <v>FALSE</v>
      </c>
      <c r="Y64" s="35">
        <f t="shared" si="5"/>
        <v>0</v>
      </c>
      <c r="Z64" s="36" t="str">
        <f t="shared" si="6"/>
        <v/>
      </c>
      <c r="AA64" s="6"/>
      <c r="AB64" s="41"/>
      <c r="AC64" s="38"/>
      <c r="AD64" s="38"/>
      <c r="AE64" s="34"/>
      <c r="AF64" s="34" t="str">
        <f t="shared" si="8"/>
        <v>FALSE</v>
      </c>
      <c r="AG64" s="35">
        <f t="shared" si="1"/>
        <v>0</v>
      </c>
      <c r="AH64" s="36" t="str">
        <f t="shared" si="2"/>
        <v/>
      </c>
    </row>
    <row r="65" spans="1:34" ht="1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29" t="str">
        <f t="shared" si="3"/>
        <v/>
      </c>
      <c r="Q65" s="30"/>
      <c r="R65" s="31"/>
      <c r="S65" s="68"/>
      <c r="T65" s="40"/>
      <c r="U65" s="38"/>
      <c r="V65" s="74"/>
      <c r="W65" s="34" t="str">
        <f t="shared" si="4"/>
        <v>FALSE</v>
      </c>
      <c r="X65" s="34" t="str">
        <f t="shared" si="0"/>
        <v>FALSE</v>
      </c>
      <c r="Y65" s="35">
        <f t="shared" si="5"/>
        <v>0</v>
      </c>
      <c r="Z65" s="36" t="str">
        <f t="shared" si="6"/>
        <v/>
      </c>
      <c r="AA65" s="6"/>
      <c r="AB65" s="41"/>
      <c r="AC65" s="38"/>
      <c r="AD65" s="38"/>
      <c r="AE65" s="34"/>
      <c r="AF65" s="34" t="str">
        <f t="shared" si="8"/>
        <v>FALSE</v>
      </c>
      <c r="AG65" s="35">
        <f t="shared" si="1"/>
        <v>0</v>
      </c>
      <c r="AH65" s="36" t="str">
        <f t="shared" si="2"/>
        <v/>
      </c>
    </row>
    <row r="66" spans="1:34" ht="1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29" t="str">
        <f t="shared" si="3"/>
        <v/>
      </c>
      <c r="Q66" s="30"/>
      <c r="R66" s="31"/>
      <c r="S66" s="68"/>
      <c r="T66" s="40"/>
      <c r="U66" s="38"/>
      <c r="V66" s="74"/>
      <c r="W66" s="34" t="str">
        <f t="shared" si="4"/>
        <v>FALSE</v>
      </c>
      <c r="X66" s="34" t="str">
        <f t="shared" si="0"/>
        <v>FALSE</v>
      </c>
      <c r="Y66" s="35">
        <f t="shared" si="5"/>
        <v>0</v>
      </c>
      <c r="Z66" s="36" t="str">
        <f t="shared" si="6"/>
        <v/>
      </c>
      <c r="AA66" s="6"/>
      <c r="AB66" s="41"/>
      <c r="AC66" s="38"/>
      <c r="AD66" s="38"/>
      <c r="AE66" s="34"/>
      <c r="AF66" s="34" t="str">
        <f t="shared" si="8"/>
        <v>FALSE</v>
      </c>
      <c r="AG66" s="35">
        <f t="shared" si="1"/>
        <v>0</v>
      </c>
      <c r="AH66" s="36" t="str">
        <f t="shared" si="2"/>
        <v/>
      </c>
    </row>
    <row r="67" spans="1:34" ht="1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29" t="str">
        <f t="shared" si="3"/>
        <v/>
      </c>
      <c r="Q67" s="30"/>
      <c r="R67" s="31"/>
      <c r="S67" s="68"/>
      <c r="T67" s="40"/>
      <c r="U67" s="38"/>
      <c r="V67" s="74"/>
      <c r="W67" s="34" t="str">
        <f t="shared" si="4"/>
        <v>FALSE</v>
      </c>
      <c r="X67" s="34" t="str">
        <f t="shared" si="0"/>
        <v>FALSE</v>
      </c>
      <c r="Y67" s="35">
        <f t="shared" si="5"/>
        <v>0</v>
      </c>
      <c r="Z67" s="36" t="str">
        <f t="shared" si="6"/>
        <v/>
      </c>
      <c r="AA67" s="6"/>
      <c r="AB67" s="41"/>
      <c r="AC67" s="38"/>
      <c r="AD67" s="38"/>
      <c r="AE67" s="34"/>
      <c r="AF67" s="34" t="str">
        <f t="shared" si="8"/>
        <v>FALSE</v>
      </c>
      <c r="AG67" s="35">
        <f t="shared" si="1"/>
        <v>0</v>
      </c>
      <c r="AH67" s="36" t="str">
        <f t="shared" si="2"/>
        <v/>
      </c>
    </row>
    <row r="68" spans="1:34" ht="1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29" t="str">
        <f t="shared" si="3"/>
        <v/>
      </c>
      <c r="Q68" s="30"/>
      <c r="R68" s="31"/>
      <c r="S68" s="68"/>
      <c r="T68" s="40"/>
      <c r="U68" s="38"/>
      <c r="V68" s="74"/>
      <c r="W68" s="34" t="str">
        <f t="shared" si="4"/>
        <v>FALSE</v>
      </c>
      <c r="X68" s="34" t="str">
        <f t="shared" si="0"/>
        <v>FALSE</v>
      </c>
      <c r="Y68" s="35">
        <f t="shared" si="5"/>
        <v>0</v>
      </c>
      <c r="Z68" s="36" t="str">
        <f t="shared" si="6"/>
        <v/>
      </c>
      <c r="AA68" s="6"/>
      <c r="AB68" s="41"/>
      <c r="AC68" s="38"/>
      <c r="AD68" s="38"/>
      <c r="AE68" s="34"/>
      <c r="AF68" s="34" t="str">
        <f t="shared" si="8"/>
        <v>FALSE</v>
      </c>
      <c r="AG68" s="35">
        <f t="shared" si="1"/>
        <v>0</v>
      </c>
      <c r="AH68" s="36" t="str">
        <f t="shared" si="2"/>
        <v/>
      </c>
    </row>
    <row r="69" spans="1:34" ht="1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29" t="str">
        <f t="shared" si="3"/>
        <v/>
      </c>
      <c r="Q69" s="30"/>
      <c r="R69" s="31"/>
      <c r="S69" s="68"/>
      <c r="T69" s="40"/>
      <c r="U69" s="38"/>
      <c r="V69" s="74"/>
      <c r="W69" s="34" t="str">
        <f t="shared" si="4"/>
        <v>FALSE</v>
      </c>
      <c r="X69" s="34" t="str">
        <f t="shared" si="0"/>
        <v>FALSE</v>
      </c>
      <c r="Y69" s="35">
        <f t="shared" si="5"/>
        <v>0</v>
      </c>
      <c r="Z69" s="36" t="str">
        <f t="shared" si="6"/>
        <v/>
      </c>
      <c r="AA69" s="6"/>
      <c r="AB69" s="41"/>
      <c r="AC69" s="38"/>
      <c r="AD69" s="38"/>
      <c r="AE69" s="34"/>
      <c r="AF69" s="34" t="str">
        <f t="shared" si="8"/>
        <v>FALSE</v>
      </c>
      <c r="AG69" s="35">
        <f t="shared" si="1"/>
        <v>0</v>
      </c>
      <c r="AH69" s="36" t="str">
        <f t="shared" si="2"/>
        <v/>
      </c>
    </row>
    <row r="70" spans="1:34" ht="1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29" t="str">
        <f t="shared" si="3"/>
        <v/>
      </c>
      <c r="Q70" s="30"/>
      <c r="R70" s="31"/>
      <c r="S70" s="68"/>
      <c r="T70" s="40"/>
      <c r="U70" s="38"/>
      <c r="V70" s="74"/>
      <c r="W70" s="34" t="str">
        <f t="shared" si="4"/>
        <v>FALSE</v>
      </c>
      <c r="X70" s="34" t="str">
        <f t="shared" si="0"/>
        <v>FALSE</v>
      </c>
      <c r="Y70" s="35">
        <f t="shared" si="5"/>
        <v>0</v>
      </c>
      <c r="Z70" s="36" t="str">
        <f t="shared" si="6"/>
        <v/>
      </c>
      <c r="AA70" s="6"/>
      <c r="AB70" s="41"/>
      <c r="AC70" s="38"/>
      <c r="AD70" s="38"/>
      <c r="AE70" s="34"/>
      <c r="AF70" s="34" t="str">
        <f t="shared" si="8"/>
        <v>FALSE</v>
      </c>
      <c r="AG70" s="35">
        <f t="shared" si="1"/>
        <v>0</v>
      </c>
      <c r="AH70" s="36" t="str">
        <f t="shared" si="2"/>
        <v/>
      </c>
    </row>
    <row r="71" spans="1:34" ht="1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29" t="str">
        <f t="shared" si="3"/>
        <v/>
      </c>
      <c r="Q71" s="30"/>
      <c r="R71" s="31"/>
      <c r="S71" s="68"/>
      <c r="T71" s="40"/>
      <c r="U71" s="38"/>
      <c r="V71" s="74"/>
      <c r="W71" s="34" t="str">
        <f t="shared" si="4"/>
        <v>FALSE</v>
      </c>
      <c r="X71" s="34" t="str">
        <f t="shared" si="0"/>
        <v>FALSE</v>
      </c>
      <c r="Y71" s="35">
        <f t="shared" si="5"/>
        <v>0</v>
      </c>
      <c r="Z71" s="36" t="str">
        <f t="shared" si="6"/>
        <v/>
      </c>
      <c r="AA71" s="6"/>
      <c r="AB71" s="41"/>
      <c r="AC71" s="38"/>
      <c r="AD71" s="38"/>
      <c r="AE71" s="34"/>
      <c r="AF71" s="34" t="str">
        <f t="shared" si="8"/>
        <v>FALSE</v>
      </c>
      <c r="AG71" s="35">
        <f t="shared" si="1"/>
        <v>0</v>
      </c>
      <c r="AH71" s="36" t="str">
        <f t="shared" si="2"/>
        <v/>
      </c>
    </row>
    <row r="72" spans="1:34" ht="1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29" t="str">
        <f t="shared" si="3"/>
        <v/>
      </c>
      <c r="Q72" s="30"/>
      <c r="R72" s="31"/>
      <c r="S72" s="68"/>
      <c r="T72" s="40"/>
      <c r="U72" s="38"/>
      <c r="V72" s="74"/>
      <c r="W72" s="34" t="str">
        <f t="shared" si="4"/>
        <v>FALSE</v>
      </c>
      <c r="X72" s="34" t="str">
        <f t="shared" si="0"/>
        <v>FALSE</v>
      </c>
      <c r="Y72" s="35">
        <f t="shared" si="5"/>
        <v>0</v>
      </c>
      <c r="Z72" s="36" t="str">
        <f t="shared" si="6"/>
        <v/>
      </c>
      <c r="AA72" s="6"/>
      <c r="AB72" s="41"/>
      <c r="AC72" s="38"/>
      <c r="AD72" s="38"/>
      <c r="AE72" s="34"/>
      <c r="AF72" s="34" t="str">
        <f t="shared" si="8"/>
        <v>FALSE</v>
      </c>
      <c r="AG72" s="35">
        <f t="shared" si="1"/>
        <v>0</v>
      </c>
      <c r="AH72" s="36" t="str">
        <f t="shared" si="2"/>
        <v/>
      </c>
    </row>
    <row r="73" spans="1:34" ht="1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29" t="str">
        <f t="shared" si="3"/>
        <v/>
      </c>
      <c r="Q73" s="30"/>
      <c r="R73" s="31"/>
      <c r="S73" s="68"/>
      <c r="T73" s="40"/>
      <c r="U73" s="38"/>
      <c r="V73" s="74"/>
      <c r="W73" s="34" t="str">
        <f t="shared" si="4"/>
        <v>FALSE</v>
      </c>
      <c r="X73" s="34" t="str">
        <f t="shared" si="0"/>
        <v>FALSE</v>
      </c>
      <c r="Y73" s="35">
        <f t="shared" si="5"/>
        <v>0</v>
      </c>
      <c r="Z73" s="36" t="str">
        <f t="shared" si="6"/>
        <v/>
      </c>
      <c r="AA73" s="6"/>
      <c r="AB73" s="41"/>
      <c r="AC73" s="38"/>
      <c r="AD73" s="38"/>
      <c r="AE73" s="34"/>
      <c r="AF73" s="34" t="str">
        <f t="shared" si="8"/>
        <v>FALSE</v>
      </c>
      <c r="AG73" s="35">
        <f t="shared" si="1"/>
        <v>0</v>
      </c>
      <c r="AH73" s="36" t="str">
        <f t="shared" si="2"/>
        <v/>
      </c>
    </row>
    <row r="74" spans="1:34" ht="1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29" t="str">
        <f t="shared" si="3"/>
        <v/>
      </c>
      <c r="Q74" s="30"/>
      <c r="R74" s="31"/>
      <c r="S74" s="68"/>
      <c r="T74" s="40"/>
      <c r="U74" s="38"/>
      <c r="V74" s="74"/>
      <c r="W74" s="34" t="str">
        <f t="shared" si="4"/>
        <v>FALSE</v>
      </c>
      <c r="X74" s="34" t="str">
        <f t="shared" si="0"/>
        <v>FALSE</v>
      </c>
      <c r="Y74" s="35">
        <f t="shared" si="5"/>
        <v>0</v>
      </c>
      <c r="Z74" s="36" t="str">
        <f t="shared" si="6"/>
        <v/>
      </c>
      <c r="AA74" s="6"/>
      <c r="AB74" s="41"/>
      <c r="AC74" s="38"/>
      <c r="AD74" s="38"/>
      <c r="AE74" s="34"/>
      <c r="AF74" s="34" t="str">
        <f t="shared" si="8"/>
        <v>FALSE</v>
      </c>
      <c r="AG74" s="35">
        <f t="shared" si="1"/>
        <v>0</v>
      </c>
      <c r="AH74" s="36" t="str">
        <f t="shared" si="2"/>
        <v/>
      </c>
    </row>
    <row r="75" spans="1:34" ht="1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29" t="str">
        <f t="shared" si="3"/>
        <v/>
      </c>
      <c r="Q75" s="30"/>
      <c r="R75" s="31"/>
      <c r="S75" s="68"/>
      <c r="T75" s="40"/>
      <c r="U75" s="38"/>
      <c r="V75" s="74"/>
      <c r="W75" s="34" t="str">
        <f t="shared" si="4"/>
        <v>FALSE</v>
      </c>
      <c r="X75" s="34" t="str">
        <f t="shared" si="0"/>
        <v>FALSE</v>
      </c>
      <c r="Y75" s="35">
        <f t="shared" si="5"/>
        <v>0</v>
      </c>
      <c r="Z75" s="36" t="str">
        <f t="shared" si="6"/>
        <v/>
      </c>
      <c r="AA75" s="6"/>
      <c r="AB75" s="41"/>
      <c r="AC75" s="38"/>
      <c r="AD75" s="38"/>
      <c r="AE75" s="34"/>
      <c r="AF75" s="34" t="str">
        <f t="shared" si="8"/>
        <v>FALSE</v>
      </c>
      <c r="AG75" s="35">
        <f t="shared" si="1"/>
        <v>0</v>
      </c>
      <c r="AH75" s="36" t="str">
        <f t="shared" si="2"/>
        <v/>
      </c>
    </row>
    <row r="76" spans="1:34" ht="1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29" t="str">
        <f t="shared" si="3"/>
        <v/>
      </c>
      <c r="Q76" s="30"/>
      <c r="R76" s="31"/>
      <c r="S76" s="68"/>
      <c r="T76" s="40"/>
      <c r="U76" s="38"/>
      <c r="V76" s="74"/>
      <c r="W76" s="34" t="str">
        <f t="shared" si="4"/>
        <v>FALSE</v>
      </c>
      <c r="X76" s="34" t="str">
        <f t="shared" si="0"/>
        <v>FALSE</v>
      </c>
      <c r="Y76" s="35">
        <f t="shared" si="5"/>
        <v>0</v>
      </c>
      <c r="Z76" s="36" t="str">
        <f t="shared" si="6"/>
        <v/>
      </c>
      <c r="AA76" s="6"/>
      <c r="AB76" s="41"/>
      <c r="AC76" s="38"/>
      <c r="AD76" s="38"/>
      <c r="AE76" s="34"/>
      <c r="AF76" s="34" t="str">
        <f t="shared" si="8"/>
        <v>FALSE</v>
      </c>
      <c r="AG76" s="35">
        <f t="shared" si="1"/>
        <v>0</v>
      </c>
      <c r="AH76" s="36" t="str">
        <f t="shared" si="2"/>
        <v/>
      </c>
    </row>
    <row r="77" spans="1:34" ht="1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29" t="str">
        <f t="shared" si="3"/>
        <v/>
      </c>
      <c r="Q77" s="30"/>
      <c r="R77" s="31"/>
      <c r="S77" s="68"/>
      <c r="T77" s="40"/>
      <c r="U77" s="38"/>
      <c r="V77" s="74"/>
      <c r="W77" s="34" t="str">
        <f t="shared" si="4"/>
        <v>FALSE</v>
      </c>
      <c r="X77" s="34" t="str">
        <f t="shared" si="0"/>
        <v>FALSE</v>
      </c>
      <c r="Y77" s="35">
        <f t="shared" si="5"/>
        <v>0</v>
      </c>
      <c r="Z77" s="36" t="str">
        <f t="shared" si="6"/>
        <v/>
      </c>
      <c r="AA77" s="6"/>
      <c r="AB77" s="41"/>
      <c r="AC77" s="38"/>
      <c r="AD77" s="38"/>
      <c r="AE77" s="34"/>
      <c r="AF77" s="34" t="str">
        <f t="shared" si="8"/>
        <v>FALSE</v>
      </c>
      <c r="AG77" s="35">
        <f t="shared" si="1"/>
        <v>0</v>
      </c>
      <c r="AH77" s="36" t="str">
        <f t="shared" si="2"/>
        <v/>
      </c>
    </row>
    <row r="78" spans="1:34" ht="1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29" t="str">
        <f t="shared" si="3"/>
        <v/>
      </c>
      <c r="Q78" s="30"/>
      <c r="R78" s="31"/>
      <c r="S78" s="68"/>
      <c r="T78" s="40"/>
      <c r="U78" s="38"/>
      <c r="V78" s="74"/>
      <c r="W78" s="34" t="str">
        <f t="shared" si="4"/>
        <v>FALSE</v>
      </c>
      <c r="X78" s="34" t="str">
        <f t="shared" ref="X78:X120" si="9">IF(U78="","FALSE",ABS((U78-AVERAGE($U$14:$U$120))/_xlfn.STDEV.S($U$14:$U$104)))</f>
        <v>FALSE</v>
      </c>
      <c r="Y78" s="35">
        <f t="shared" si="5"/>
        <v>0</v>
      </c>
      <c r="Z78" s="36" t="str">
        <f t="shared" si="6"/>
        <v/>
      </c>
      <c r="AA78" s="6"/>
      <c r="AB78" s="41"/>
      <c r="AC78" s="38"/>
      <c r="AD78" s="38"/>
      <c r="AE78" s="34"/>
      <c r="AF78" s="34" t="str">
        <f t="shared" si="8"/>
        <v>FALSE</v>
      </c>
      <c r="AG78" s="35">
        <f t="shared" ref="AG78:AG120" si="10">IF(OR(AC78&gt;$AG$11,AC78&lt;$AF$11),AC78,"")</f>
        <v>0</v>
      </c>
      <c r="AH78" s="36" t="str">
        <f t="shared" ref="AH78:AH120" si="11">IF(AC78="","",AC78/AB78)</f>
        <v/>
      </c>
    </row>
    <row r="79" spans="1:34" ht="1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29" t="str">
        <f t="shared" ref="P79:P120" si="12">IF(R79&lt;&gt;"",P78+1,"")</f>
        <v/>
      </c>
      <c r="Q79" s="30"/>
      <c r="R79" s="31"/>
      <c r="S79" s="68"/>
      <c r="T79" s="40"/>
      <c r="U79" s="38"/>
      <c r="V79" s="74"/>
      <c r="W79" s="34" t="str">
        <f t="shared" ref="W79:W120" si="13">IF(X79&gt;3,"FALSE",U79)</f>
        <v>FALSE</v>
      </c>
      <c r="X79" s="34" t="str">
        <f t="shared" si="9"/>
        <v>FALSE</v>
      </c>
      <c r="Y79" s="35">
        <f t="shared" ref="Y79:Y120" si="14">IF(OR(U79&gt;$Y$11,U79&lt;$X$11),U79,"")</f>
        <v>0</v>
      </c>
      <c r="Z79" s="36" t="str">
        <f t="shared" ref="Z79:Z120" si="15">IF(U79="","",U79/T79)</f>
        <v/>
      </c>
      <c r="AA79" s="6"/>
      <c r="AB79" s="41"/>
      <c r="AC79" s="38"/>
      <c r="AD79" s="38"/>
      <c r="AE79" s="34"/>
      <c r="AF79" s="34" t="str">
        <f t="shared" ref="AF79:AF120" si="16">IF(AC79="","FALSE",ABS((AC79-AVERAGE($AC$14:$AC$120))/_xlfn.STDEV.S($AC$14:$AC$104)))</f>
        <v>FALSE</v>
      </c>
      <c r="AG79" s="35">
        <f t="shared" si="10"/>
        <v>0</v>
      </c>
      <c r="AH79" s="36" t="str">
        <f t="shared" si="11"/>
        <v/>
      </c>
    </row>
    <row r="80" spans="1:34" ht="1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29" t="str">
        <f t="shared" si="12"/>
        <v/>
      </c>
      <c r="Q80" s="30"/>
      <c r="R80" s="31"/>
      <c r="S80" s="68"/>
      <c r="T80" s="40"/>
      <c r="U80" s="38"/>
      <c r="V80" s="74"/>
      <c r="W80" s="34" t="str">
        <f t="shared" si="13"/>
        <v>FALSE</v>
      </c>
      <c r="X80" s="34" t="str">
        <f t="shared" si="9"/>
        <v>FALSE</v>
      </c>
      <c r="Y80" s="35">
        <f t="shared" si="14"/>
        <v>0</v>
      </c>
      <c r="Z80" s="36" t="str">
        <f t="shared" si="15"/>
        <v/>
      </c>
      <c r="AA80" s="6"/>
      <c r="AB80" s="41"/>
      <c r="AC80" s="38"/>
      <c r="AD80" s="38"/>
      <c r="AE80" s="34"/>
      <c r="AF80" s="34" t="str">
        <f t="shared" si="16"/>
        <v>FALSE</v>
      </c>
      <c r="AG80" s="35">
        <f t="shared" si="10"/>
        <v>0</v>
      </c>
      <c r="AH80" s="36" t="str">
        <f t="shared" si="11"/>
        <v/>
      </c>
    </row>
    <row r="81" spans="1:34" ht="1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29" t="str">
        <f t="shared" si="12"/>
        <v/>
      </c>
      <c r="Q81" s="30"/>
      <c r="R81" s="31"/>
      <c r="S81" s="68"/>
      <c r="T81" s="40"/>
      <c r="U81" s="38"/>
      <c r="V81" s="74"/>
      <c r="W81" s="34" t="str">
        <f t="shared" si="13"/>
        <v>FALSE</v>
      </c>
      <c r="X81" s="34" t="str">
        <f t="shared" si="9"/>
        <v>FALSE</v>
      </c>
      <c r="Y81" s="35">
        <f t="shared" si="14"/>
        <v>0</v>
      </c>
      <c r="Z81" s="36" t="str">
        <f t="shared" si="15"/>
        <v/>
      </c>
      <c r="AA81" s="6"/>
      <c r="AB81" s="41"/>
      <c r="AC81" s="38"/>
      <c r="AD81" s="38"/>
      <c r="AE81" s="34"/>
      <c r="AF81" s="34" t="str">
        <f t="shared" si="16"/>
        <v>FALSE</v>
      </c>
      <c r="AG81" s="35">
        <f t="shared" si="10"/>
        <v>0</v>
      </c>
      <c r="AH81" s="36" t="str">
        <f t="shared" si="11"/>
        <v/>
      </c>
    </row>
    <row r="82" spans="1:34" ht="1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29" t="str">
        <f t="shared" si="12"/>
        <v/>
      </c>
      <c r="Q82" s="30"/>
      <c r="R82" s="31"/>
      <c r="S82" s="68"/>
      <c r="T82" s="40"/>
      <c r="U82" s="38"/>
      <c r="V82" s="74"/>
      <c r="W82" s="34" t="str">
        <f t="shared" si="13"/>
        <v>FALSE</v>
      </c>
      <c r="X82" s="34" t="str">
        <f t="shared" si="9"/>
        <v>FALSE</v>
      </c>
      <c r="Y82" s="35">
        <f t="shared" si="14"/>
        <v>0</v>
      </c>
      <c r="Z82" s="36" t="str">
        <f t="shared" si="15"/>
        <v/>
      </c>
      <c r="AA82" s="6"/>
      <c r="AB82" s="41"/>
      <c r="AC82" s="38"/>
      <c r="AD82" s="38"/>
      <c r="AE82" s="34"/>
      <c r="AF82" s="34" t="str">
        <f t="shared" si="16"/>
        <v>FALSE</v>
      </c>
      <c r="AG82" s="35">
        <f t="shared" si="10"/>
        <v>0</v>
      </c>
      <c r="AH82" s="36" t="str">
        <f t="shared" si="11"/>
        <v/>
      </c>
    </row>
    <row r="83" spans="1:34" ht="1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29" t="str">
        <f t="shared" si="12"/>
        <v/>
      </c>
      <c r="Q83" s="30"/>
      <c r="R83" s="31"/>
      <c r="S83" s="68"/>
      <c r="T83" s="40"/>
      <c r="U83" s="38"/>
      <c r="V83" s="74"/>
      <c r="W83" s="34" t="str">
        <f t="shared" si="13"/>
        <v>FALSE</v>
      </c>
      <c r="X83" s="34" t="str">
        <f t="shared" si="9"/>
        <v>FALSE</v>
      </c>
      <c r="Y83" s="35">
        <f t="shared" si="14"/>
        <v>0</v>
      </c>
      <c r="Z83" s="36" t="str">
        <f t="shared" si="15"/>
        <v/>
      </c>
      <c r="AA83" s="6"/>
      <c r="AB83" s="41"/>
      <c r="AC83" s="38"/>
      <c r="AD83" s="38"/>
      <c r="AE83" s="34"/>
      <c r="AF83" s="34" t="str">
        <f t="shared" si="16"/>
        <v>FALSE</v>
      </c>
      <c r="AG83" s="35">
        <f t="shared" si="10"/>
        <v>0</v>
      </c>
      <c r="AH83" s="36" t="str">
        <f t="shared" si="11"/>
        <v/>
      </c>
    </row>
    <row r="84" spans="1:34" ht="1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29" t="str">
        <f t="shared" si="12"/>
        <v/>
      </c>
      <c r="Q84" s="30"/>
      <c r="R84" s="31"/>
      <c r="S84" s="68"/>
      <c r="T84" s="40"/>
      <c r="U84" s="38"/>
      <c r="V84" s="74"/>
      <c r="W84" s="34" t="str">
        <f t="shared" si="13"/>
        <v>FALSE</v>
      </c>
      <c r="X84" s="34" t="str">
        <f t="shared" si="9"/>
        <v>FALSE</v>
      </c>
      <c r="Y84" s="35">
        <f t="shared" si="14"/>
        <v>0</v>
      </c>
      <c r="Z84" s="36" t="str">
        <f t="shared" si="15"/>
        <v/>
      </c>
      <c r="AA84" s="6"/>
      <c r="AB84" s="41"/>
      <c r="AC84" s="38"/>
      <c r="AD84" s="38"/>
      <c r="AE84" s="34"/>
      <c r="AF84" s="34" t="str">
        <f t="shared" si="16"/>
        <v>FALSE</v>
      </c>
      <c r="AG84" s="35">
        <f t="shared" si="10"/>
        <v>0</v>
      </c>
      <c r="AH84" s="36" t="str">
        <f t="shared" si="11"/>
        <v/>
      </c>
    </row>
    <row r="85" spans="1:34" ht="1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29" t="str">
        <f t="shared" si="12"/>
        <v/>
      </c>
      <c r="Q85" s="30"/>
      <c r="R85" s="31"/>
      <c r="S85" s="68"/>
      <c r="T85" s="40"/>
      <c r="U85" s="38"/>
      <c r="V85" s="74"/>
      <c r="W85" s="34" t="str">
        <f t="shared" si="13"/>
        <v>FALSE</v>
      </c>
      <c r="X85" s="34" t="str">
        <f t="shared" si="9"/>
        <v>FALSE</v>
      </c>
      <c r="Y85" s="35">
        <f t="shared" si="14"/>
        <v>0</v>
      </c>
      <c r="Z85" s="36" t="str">
        <f t="shared" si="15"/>
        <v/>
      </c>
      <c r="AA85" s="6"/>
      <c r="AB85" s="41"/>
      <c r="AC85" s="38"/>
      <c r="AD85" s="38"/>
      <c r="AE85" s="34"/>
      <c r="AF85" s="34" t="str">
        <f t="shared" si="16"/>
        <v>FALSE</v>
      </c>
      <c r="AG85" s="35">
        <f t="shared" si="10"/>
        <v>0</v>
      </c>
      <c r="AH85" s="36" t="str">
        <f t="shared" si="11"/>
        <v/>
      </c>
    </row>
    <row r="86" spans="1:34" ht="1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29" t="str">
        <f t="shared" si="12"/>
        <v/>
      </c>
      <c r="Q86" s="30"/>
      <c r="R86" s="31"/>
      <c r="S86" s="68"/>
      <c r="T86" s="40"/>
      <c r="U86" s="38"/>
      <c r="V86" s="74"/>
      <c r="W86" s="34" t="str">
        <f t="shared" si="13"/>
        <v>FALSE</v>
      </c>
      <c r="X86" s="34" t="str">
        <f t="shared" si="9"/>
        <v>FALSE</v>
      </c>
      <c r="Y86" s="35">
        <f t="shared" si="14"/>
        <v>0</v>
      </c>
      <c r="Z86" s="36" t="str">
        <f t="shared" si="15"/>
        <v/>
      </c>
      <c r="AA86" s="6"/>
      <c r="AB86" s="41"/>
      <c r="AC86" s="38"/>
      <c r="AD86" s="38"/>
      <c r="AE86" s="34"/>
      <c r="AF86" s="34" t="str">
        <f t="shared" si="16"/>
        <v>FALSE</v>
      </c>
      <c r="AG86" s="35">
        <f t="shared" si="10"/>
        <v>0</v>
      </c>
      <c r="AH86" s="36" t="str">
        <f t="shared" si="11"/>
        <v/>
      </c>
    </row>
    <row r="87" spans="1:34" ht="1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29" t="str">
        <f t="shared" si="12"/>
        <v/>
      </c>
      <c r="Q87" s="30"/>
      <c r="R87" s="31"/>
      <c r="S87" s="68"/>
      <c r="T87" s="40"/>
      <c r="U87" s="38"/>
      <c r="V87" s="74"/>
      <c r="W87" s="34" t="str">
        <f t="shared" si="13"/>
        <v>FALSE</v>
      </c>
      <c r="X87" s="34" t="str">
        <f t="shared" si="9"/>
        <v>FALSE</v>
      </c>
      <c r="Y87" s="35">
        <f t="shared" si="14"/>
        <v>0</v>
      </c>
      <c r="Z87" s="36" t="str">
        <f t="shared" si="15"/>
        <v/>
      </c>
      <c r="AA87" s="6"/>
      <c r="AB87" s="41"/>
      <c r="AC87" s="38"/>
      <c r="AD87" s="38"/>
      <c r="AE87" s="34"/>
      <c r="AF87" s="34" t="str">
        <f t="shared" si="16"/>
        <v>FALSE</v>
      </c>
      <c r="AG87" s="35">
        <f t="shared" si="10"/>
        <v>0</v>
      </c>
      <c r="AH87" s="36" t="str">
        <f t="shared" si="11"/>
        <v/>
      </c>
    </row>
    <row r="88" spans="1:34" ht="1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29" t="str">
        <f t="shared" si="12"/>
        <v/>
      </c>
      <c r="Q88" s="30"/>
      <c r="R88" s="31"/>
      <c r="S88" s="68"/>
      <c r="T88" s="40"/>
      <c r="U88" s="38"/>
      <c r="V88" s="74"/>
      <c r="W88" s="34" t="str">
        <f t="shared" si="13"/>
        <v>FALSE</v>
      </c>
      <c r="X88" s="34" t="str">
        <f t="shared" si="9"/>
        <v>FALSE</v>
      </c>
      <c r="Y88" s="35">
        <f t="shared" si="14"/>
        <v>0</v>
      </c>
      <c r="Z88" s="36" t="str">
        <f t="shared" si="15"/>
        <v/>
      </c>
      <c r="AA88" s="6"/>
      <c r="AB88" s="41"/>
      <c r="AC88" s="38"/>
      <c r="AD88" s="38"/>
      <c r="AE88" s="34"/>
      <c r="AF88" s="34" t="str">
        <f t="shared" si="16"/>
        <v>FALSE</v>
      </c>
      <c r="AG88" s="35">
        <f t="shared" si="10"/>
        <v>0</v>
      </c>
      <c r="AH88" s="36" t="str">
        <f t="shared" si="11"/>
        <v/>
      </c>
    </row>
    <row r="89" spans="1:34" ht="1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29" t="str">
        <f t="shared" si="12"/>
        <v/>
      </c>
      <c r="Q89" s="30"/>
      <c r="R89" s="31"/>
      <c r="S89" s="68"/>
      <c r="T89" s="40"/>
      <c r="U89" s="38"/>
      <c r="V89" s="74"/>
      <c r="W89" s="34" t="str">
        <f t="shared" si="13"/>
        <v>FALSE</v>
      </c>
      <c r="X89" s="34" t="str">
        <f t="shared" si="9"/>
        <v>FALSE</v>
      </c>
      <c r="Y89" s="35">
        <f t="shared" si="14"/>
        <v>0</v>
      </c>
      <c r="Z89" s="36" t="str">
        <f t="shared" si="15"/>
        <v/>
      </c>
      <c r="AA89" s="6"/>
      <c r="AB89" s="41"/>
      <c r="AC89" s="38"/>
      <c r="AD89" s="38"/>
      <c r="AE89" s="34"/>
      <c r="AF89" s="34" t="str">
        <f t="shared" si="16"/>
        <v>FALSE</v>
      </c>
      <c r="AG89" s="35">
        <f t="shared" si="10"/>
        <v>0</v>
      </c>
      <c r="AH89" s="36" t="str">
        <f t="shared" si="11"/>
        <v/>
      </c>
    </row>
    <row r="90" spans="1:34" ht="1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29" t="str">
        <f t="shared" si="12"/>
        <v/>
      </c>
      <c r="Q90" s="30"/>
      <c r="R90" s="31"/>
      <c r="S90" s="68"/>
      <c r="T90" s="40"/>
      <c r="U90" s="38"/>
      <c r="V90" s="74"/>
      <c r="W90" s="34" t="str">
        <f t="shared" si="13"/>
        <v>FALSE</v>
      </c>
      <c r="X90" s="34" t="str">
        <f t="shared" si="9"/>
        <v>FALSE</v>
      </c>
      <c r="Y90" s="35">
        <f t="shared" si="14"/>
        <v>0</v>
      </c>
      <c r="Z90" s="36" t="str">
        <f t="shared" si="15"/>
        <v/>
      </c>
      <c r="AA90" s="6"/>
      <c r="AB90" s="41"/>
      <c r="AC90" s="38"/>
      <c r="AD90" s="38"/>
      <c r="AE90" s="34"/>
      <c r="AF90" s="34" t="str">
        <f t="shared" si="16"/>
        <v>FALSE</v>
      </c>
      <c r="AG90" s="35">
        <f t="shared" si="10"/>
        <v>0</v>
      </c>
      <c r="AH90" s="36" t="str">
        <f t="shared" si="11"/>
        <v/>
      </c>
    </row>
    <row r="91" spans="1:34" ht="1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29" t="str">
        <f t="shared" si="12"/>
        <v/>
      </c>
      <c r="Q91" s="30"/>
      <c r="R91" s="31"/>
      <c r="S91" s="68"/>
      <c r="T91" s="40"/>
      <c r="U91" s="38"/>
      <c r="V91" s="74"/>
      <c r="W91" s="34" t="str">
        <f t="shared" si="13"/>
        <v>FALSE</v>
      </c>
      <c r="X91" s="34" t="str">
        <f t="shared" si="9"/>
        <v>FALSE</v>
      </c>
      <c r="Y91" s="35">
        <f t="shared" si="14"/>
        <v>0</v>
      </c>
      <c r="Z91" s="36" t="str">
        <f t="shared" si="15"/>
        <v/>
      </c>
      <c r="AA91" s="6"/>
      <c r="AB91" s="41"/>
      <c r="AC91" s="38"/>
      <c r="AD91" s="38"/>
      <c r="AE91" s="34"/>
      <c r="AF91" s="34" t="str">
        <f t="shared" si="16"/>
        <v>FALSE</v>
      </c>
      <c r="AG91" s="35">
        <f t="shared" si="10"/>
        <v>0</v>
      </c>
      <c r="AH91" s="36" t="str">
        <f t="shared" si="11"/>
        <v/>
      </c>
    </row>
    <row r="92" spans="1:34" ht="1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29" t="str">
        <f t="shared" si="12"/>
        <v/>
      </c>
      <c r="Q92" s="30"/>
      <c r="R92" s="31"/>
      <c r="S92" s="68"/>
      <c r="T92" s="40"/>
      <c r="U92" s="38"/>
      <c r="V92" s="74"/>
      <c r="W92" s="34" t="str">
        <f t="shared" si="13"/>
        <v>FALSE</v>
      </c>
      <c r="X92" s="34" t="str">
        <f t="shared" si="9"/>
        <v>FALSE</v>
      </c>
      <c r="Y92" s="35">
        <f t="shared" si="14"/>
        <v>0</v>
      </c>
      <c r="Z92" s="36" t="str">
        <f t="shared" si="15"/>
        <v/>
      </c>
      <c r="AA92" s="6"/>
      <c r="AB92" s="41"/>
      <c r="AC92" s="38"/>
      <c r="AD92" s="38"/>
      <c r="AE92" s="34"/>
      <c r="AF92" s="34" t="str">
        <f t="shared" si="16"/>
        <v>FALSE</v>
      </c>
      <c r="AG92" s="35">
        <f t="shared" si="10"/>
        <v>0</v>
      </c>
      <c r="AH92" s="36" t="str">
        <f t="shared" si="11"/>
        <v/>
      </c>
    </row>
    <row r="93" spans="1:34" ht="1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29" t="str">
        <f t="shared" si="12"/>
        <v/>
      </c>
      <c r="Q93" s="30"/>
      <c r="R93" s="31"/>
      <c r="S93" s="68"/>
      <c r="T93" s="40"/>
      <c r="U93" s="38"/>
      <c r="V93" s="74"/>
      <c r="W93" s="34" t="str">
        <f t="shared" si="13"/>
        <v>FALSE</v>
      </c>
      <c r="X93" s="34" t="str">
        <f t="shared" si="9"/>
        <v>FALSE</v>
      </c>
      <c r="Y93" s="35">
        <f t="shared" si="14"/>
        <v>0</v>
      </c>
      <c r="Z93" s="36" t="str">
        <f t="shared" si="15"/>
        <v/>
      </c>
      <c r="AA93" s="6"/>
      <c r="AB93" s="41"/>
      <c r="AC93" s="38"/>
      <c r="AD93" s="38"/>
      <c r="AE93" s="34"/>
      <c r="AF93" s="34" t="str">
        <f t="shared" si="16"/>
        <v>FALSE</v>
      </c>
      <c r="AG93" s="35">
        <f t="shared" si="10"/>
        <v>0</v>
      </c>
      <c r="AH93" s="36" t="str">
        <f t="shared" si="11"/>
        <v/>
      </c>
    </row>
    <row r="94" spans="1:34" ht="1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29" t="str">
        <f t="shared" si="12"/>
        <v/>
      </c>
      <c r="Q94" s="30"/>
      <c r="R94" s="31"/>
      <c r="S94" s="68"/>
      <c r="T94" s="40"/>
      <c r="U94" s="38"/>
      <c r="V94" s="74"/>
      <c r="W94" s="34" t="str">
        <f t="shared" si="13"/>
        <v>FALSE</v>
      </c>
      <c r="X94" s="34" t="str">
        <f t="shared" si="9"/>
        <v>FALSE</v>
      </c>
      <c r="Y94" s="35">
        <f t="shared" si="14"/>
        <v>0</v>
      </c>
      <c r="Z94" s="36" t="str">
        <f t="shared" si="15"/>
        <v/>
      </c>
      <c r="AA94" s="6"/>
      <c r="AB94" s="41"/>
      <c r="AC94" s="38"/>
      <c r="AD94" s="38"/>
      <c r="AE94" s="34"/>
      <c r="AF94" s="34" t="str">
        <f t="shared" si="16"/>
        <v>FALSE</v>
      </c>
      <c r="AG94" s="35">
        <f t="shared" si="10"/>
        <v>0</v>
      </c>
      <c r="AH94" s="36" t="str">
        <f t="shared" si="11"/>
        <v/>
      </c>
    </row>
    <row r="95" spans="1:34" ht="1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29" t="str">
        <f t="shared" si="12"/>
        <v/>
      </c>
      <c r="Q95" s="30"/>
      <c r="R95" s="31"/>
      <c r="S95" s="68"/>
      <c r="T95" s="40"/>
      <c r="U95" s="38"/>
      <c r="V95" s="74"/>
      <c r="W95" s="34" t="str">
        <f t="shared" si="13"/>
        <v>FALSE</v>
      </c>
      <c r="X95" s="34" t="str">
        <f t="shared" si="9"/>
        <v>FALSE</v>
      </c>
      <c r="Y95" s="35">
        <f t="shared" si="14"/>
        <v>0</v>
      </c>
      <c r="Z95" s="36" t="str">
        <f t="shared" si="15"/>
        <v/>
      </c>
      <c r="AA95" s="6"/>
      <c r="AB95" s="41"/>
      <c r="AC95" s="38"/>
      <c r="AD95" s="38"/>
      <c r="AE95" s="34"/>
      <c r="AF95" s="34" t="str">
        <f t="shared" si="16"/>
        <v>FALSE</v>
      </c>
      <c r="AG95" s="35">
        <f t="shared" si="10"/>
        <v>0</v>
      </c>
      <c r="AH95" s="36" t="str">
        <f t="shared" si="11"/>
        <v/>
      </c>
    </row>
    <row r="96" spans="1:34" ht="1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29" t="str">
        <f t="shared" si="12"/>
        <v/>
      </c>
      <c r="Q96" s="30"/>
      <c r="R96" s="31"/>
      <c r="S96" s="68"/>
      <c r="T96" s="40"/>
      <c r="U96" s="38"/>
      <c r="V96" s="74"/>
      <c r="W96" s="34" t="str">
        <f t="shared" si="13"/>
        <v>FALSE</v>
      </c>
      <c r="X96" s="34" t="str">
        <f t="shared" si="9"/>
        <v>FALSE</v>
      </c>
      <c r="Y96" s="35">
        <f t="shared" si="14"/>
        <v>0</v>
      </c>
      <c r="Z96" s="36" t="str">
        <f t="shared" si="15"/>
        <v/>
      </c>
      <c r="AA96" s="6"/>
      <c r="AB96" s="41"/>
      <c r="AC96" s="38"/>
      <c r="AD96" s="38"/>
      <c r="AE96" s="34"/>
      <c r="AF96" s="34" t="str">
        <f t="shared" si="16"/>
        <v>FALSE</v>
      </c>
      <c r="AG96" s="35">
        <f t="shared" si="10"/>
        <v>0</v>
      </c>
      <c r="AH96" s="36" t="str">
        <f t="shared" si="11"/>
        <v/>
      </c>
    </row>
    <row r="97" spans="1:34" ht="1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29" t="str">
        <f t="shared" si="12"/>
        <v/>
      </c>
      <c r="Q97" s="30"/>
      <c r="R97" s="31"/>
      <c r="S97" s="68"/>
      <c r="T97" s="40"/>
      <c r="U97" s="38"/>
      <c r="V97" s="74"/>
      <c r="W97" s="34" t="str">
        <f t="shared" si="13"/>
        <v>FALSE</v>
      </c>
      <c r="X97" s="34" t="str">
        <f t="shared" si="9"/>
        <v>FALSE</v>
      </c>
      <c r="Y97" s="35">
        <f t="shared" si="14"/>
        <v>0</v>
      </c>
      <c r="Z97" s="36" t="str">
        <f t="shared" si="15"/>
        <v/>
      </c>
      <c r="AA97" s="6"/>
      <c r="AB97" s="41"/>
      <c r="AC97" s="38"/>
      <c r="AD97" s="38"/>
      <c r="AE97" s="34"/>
      <c r="AF97" s="34" t="str">
        <f t="shared" si="16"/>
        <v>FALSE</v>
      </c>
      <c r="AG97" s="35">
        <f t="shared" si="10"/>
        <v>0</v>
      </c>
      <c r="AH97" s="36" t="str">
        <f t="shared" si="11"/>
        <v/>
      </c>
    </row>
    <row r="98" spans="1:34" ht="1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29" t="str">
        <f t="shared" si="12"/>
        <v/>
      </c>
      <c r="Q98" s="30"/>
      <c r="R98" s="31"/>
      <c r="S98" s="68"/>
      <c r="T98" s="40"/>
      <c r="U98" s="38"/>
      <c r="V98" s="74"/>
      <c r="W98" s="34" t="str">
        <f t="shared" si="13"/>
        <v>FALSE</v>
      </c>
      <c r="X98" s="34" t="str">
        <f t="shared" si="9"/>
        <v>FALSE</v>
      </c>
      <c r="Y98" s="35">
        <f t="shared" si="14"/>
        <v>0</v>
      </c>
      <c r="Z98" s="36" t="str">
        <f t="shared" si="15"/>
        <v/>
      </c>
      <c r="AA98" s="6"/>
      <c r="AB98" s="41"/>
      <c r="AC98" s="38"/>
      <c r="AD98" s="38"/>
      <c r="AE98" s="34"/>
      <c r="AF98" s="34" t="str">
        <f t="shared" si="16"/>
        <v>FALSE</v>
      </c>
      <c r="AG98" s="35">
        <f t="shared" si="10"/>
        <v>0</v>
      </c>
      <c r="AH98" s="36" t="str">
        <f t="shared" si="11"/>
        <v/>
      </c>
    </row>
    <row r="99" spans="1:34" ht="1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29" t="str">
        <f t="shared" si="12"/>
        <v/>
      </c>
      <c r="Q99" s="30"/>
      <c r="R99" s="31"/>
      <c r="S99" s="68"/>
      <c r="T99" s="40"/>
      <c r="U99" s="38"/>
      <c r="V99" s="74"/>
      <c r="W99" s="34" t="str">
        <f t="shared" si="13"/>
        <v>FALSE</v>
      </c>
      <c r="X99" s="34" t="str">
        <f t="shared" si="9"/>
        <v>FALSE</v>
      </c>
      <c r="Y99" s="35">
        <f t="shared" si="14"/>
        <v>0</v>
      </c>
      <c r="Z99" s="36" t="str">
        <f t="shared" si="15"/>
        <v/>
      </c>
      <c r="AA99" s="6"/>
      <c r="AB99" s="41"/>
      <c r="AC99" s="38"/>
      <c r="AD99" s="38"/>
      <c r="AE99" s="34"/>
      <c r="AF99" s="34" t="str">
        <f t="shared" si="16"/>
        <v>FALSE</v>
      </c>
      <c r="AG99" s="35">
        <f t="shared" si="10"/>
        <v>0</v>
      </c>
      <c r="AH99" s="36" t="str">
        <f t="shared" si="11"/>
        <v/>
      </c>
    </row>
    <row r="100" spans="1:34" ht="1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29" t="str">
        <f t="shared" si="12"/>
        <v/>
      </c>
      <c r="Q100" s="30"/>
      <c r="R100" s="31"/>
      <c r="S100" s="68"/>
      <c r="T100" s="40"/>
      <c r="U100" s="38"/>
      <c r="V100" s="74"/>
      <c r="W100" s="34" t="str">
        <f t="shared" si="13"/>
        <v>FALSE</v>
      </c>
      <c r="X100" s="34" t="str">
        <f t="shared" si="9"/>
        <v>FALSE</v>
      </c>
      <c r="Y100" s="35">
        <f t="shared" si="14"/>
        <v>0</v>
      </c>
      <c r="Z100" s="36" t="str">
        <f t="shared" si="15"/>
        <v/>
      </c>
      <c r="AA100" s="6"/>
      <c r="AB100" s="41"/>
      <c r="AC100" s="38"/>
      <c r="AD100" s="38"/>
      <c r="AE100" s="34"/>
      <c r="AF100" s="34" t="str">
        <f t="shared" si="16"/>
        <v>FALSE</v>
      </c>
      <c r="AG100" s="35">
        <f t="shared" si="10"/>
        <v>0</v>
      </c>
      <c r="AH100" s="36" t="str">
        <f t="shared" si="11"/>
        <v/>
      </c>
    </row>
    <row r="101" spans="1:34" ht="1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29" t="str">
        <f t="shared" si="12"/>
        <v/>
      </c>
      <c r="Q101" s="30"/>
      <c r="R101" s="31"/>
      <c r="S101" s="68"/>
      <c r="T101" s="40"/>
      <c r="U101" s="38"/>
      <c r="V101" s="74"/>
      <c r="W101" s="34" t="str">
        <f t="shared" si="13"/>
        <v>FALSE</v>
      </c>
      <c r="X101" s="34" t="str">
        <f t="shared" si="9"/>
        <v>FALSE</v>
      </c>
      <c r="Y101" s="35">
        <f t="shared" si="14"/>
        <v>0</v>
      </c>
      <c r="Z101" s="36" t="str">
        <f t="shared" si="15"/>
        <v/>
      </c>
      <c r="AA101" s="6"/>
      <c r="AB101" s="41"/>
      <c r="AC101" s="38"/>
      <c r="AD101" s="38"/>
      <c r="AE101" s="34"/>
      <c r="AF101" s="34" t="str">
        <f t="shared" si="16"/>
        <v>FALSE</v>
      </c>
      <c r="AG101" s="35">
        <f t="shared" si="10"/>
        <v>0</v>
      </c>
      <c r="AH101" s="36" t="str">
        <f t="shared" si="11"/>
        <v/>
      </c>
    </row>
    <row r="102" spans="1:34" ht="1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29" t="str">
        <f t="shared" si="12"/>
        <v/>
      </c>
      <c r="Q102" s="30"/>
      <c r="R102" s="31"/>
      <c r="S102" s="68"/>
      <c r="T102" s="40"/>
      <c r="U102" s="38"/>
      <c r="V102" s="74"/>
      <c r="W102" s="34" t="str">
        <f t="shared" si="13"/>
        <v>FALSE</v>
      </c>
      <c r="X102" s="34" t="str">
        <f t="shared" si="9"/>
        <v>FALSE</v>
      </c>
      <c r="Y102" s="35">
        <f t="shared" si="14"/>
        <v>0</v>
      </c>
      <c r="Z102" s="36" t="str">
        <f t="shared" si="15"/>
        <v/>
      </c>
      <c r="AA102" s="6"/>
      <c r="AB102" s="41"/>
      <c r="AC102" s="38"/>
      <c r="AD102" s="38"/>
      <c r="AE102" s="34"/>
      <c r="AF102" s="34" t="str">
        <f t="shared" si="16"/>
        <v>FALSE</v>
      </c>
      <c r="AG102" s="35">
        <f t="shared" si="10"/>
        <v>0</v>
      </c>
      <c r="AH102" s="36" t="str">
        <f t="shared" si="11"/>
        <v/>
      </c>
    </row>
    <row r="103" spans="1:34" ht="1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29" t="str">
        <f t="shared" si="12"/>
        <v/>
      </c>
      <c r="Q103" s="30"/>
      <c r="R103" s="31"/>
      <c r="S103" s="68"/>
      <c r="T103" s="40"/>
      <c r="U103" s="38"/>
      <c r="V103" s="74"/>
      <c r="W103" s="34" t="str">
        <f t="shared" si="13"/>
        <v>FALSE</v>
      </c>
      <c r="X103" s="34" t="str">
        <f t="shared" si="9"/>
        <v>FALSE</v>
      </c>
      <c r="Y103" s="35">
        <f t="shared" si="14"/>
        <v>0</v>
      </c>
      <c r="Z103" s="36" t="str">
        <f t="shared" si="15"/>
        <v/>
      </c>
      <c r="AA103" s="6"/>
      <c r="AB103" s="41"/>
      <c r="AC103" s="38"/>
      <c r="AD103" s="38"/>
      <c r="AE103" s="34"/>
      <c r="AF103" s="34" t="str">
        <f t="shared" si="16"/>
        <v>FALSE</v>
      </c>
      <c r="AG103" s="35">
        <f t="shared" si="10"/>
        <v>0</v>
      </c>
      <c r="AH103" s="36" t="str">
        <f t="shared" si="11"/>
        <v/>
      </c>
    </row>
    <row r="104" spans="1:34" ht="1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29" t="str">
        <f t="shared" si="12"/>
        <v/>
      </c>
      <c r="Q104" s="30"/>
      <c r="R104" s="31"/>
      <c r="S104" s="68"/>
      <c r="T104" s="40"/>
      <c r="U104" s="38"/>
      <c r="V104" s="74"/>
      <c r="W104" s="34" t="str">
        <f t="shared" si="13"/>
        <v>FALSE</v>
      </c>
      <c r="X104" s="34" t="str">
        <f t="shared" si="9"/>
        <v>FALSE</v>
      </c>
      <c r="Y104" s="35">
        <f t="shared" si="14"/>
        <v>0</v>
      </c>
      <c r="Z104" s="36" t="str">
        <f t="shared" si="15"/>
        <v/>
      </c>
      <c r="AA104" s="6"/>
      <c r="AB104" s="41"/>
      <c r="AC104" s="38"/>
      <c r="AD104" s="38"/>
      <c r="AE104" s="34"/>
      <c r="AF104" s="34" t="str">
        <f t="shared" si="16"/>
        <v>FALSE</v>
      </c>
      <c r="AG104" s="35">
        <f t="shared" si="10"/>
        <v>0</v>
      </c>
      <c r="AH104" s="36" t="str">
        <f t="shared" si="11"/>
        <v/>
      </c>
    </row>
    <row r="105" spans="1:34" ht="1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29" t="str">
        <f t="shared" si="12"/>
        <v/>
      </c>
      <c r="Q105" s="30"/>
      <c r="R105" s="31"/>
      <c r="S105" s="68"/>
      <c r="T105" s="40"/>
      <c r="U105" s="38"/>
      <c r="V105" s="74"/>
      <c r="W105" s="34" t="str">
        <f t="shared" si="13"/>
        <v>FALSE</v>
      </c>
      <c r="X105" s="34" t="str">
        <f t="shared" si="9"/>
        <v>FALSE</v>
      </c>
      <c r="Y105" s="35">
        <f t="shared" si="14"/>
        <v>0</v>
      </c>
      <c r="Z105" s="36" t="str">
        <f t="shared" si="15"/>
        <v/>
      </c>
      <c r="AA105" s="6"/>
      <c r="AB105" s="41"/>
      <c r="AC105" s="38"/>
      <c r="AD105" s="38"/>
      <c r="AE105" s="34"/>
      <c r="AF105" s="34" t="str">
        <f t="shared" si="16"/>
        <v>FALSE</v>
      </c>
      <c r="AG105" s="35">
        <f t="shared" si="10"/>
        <v>0</v>
      </c>
      <c r="AH105" s="36" t="str">
        <f t="shared" si="11"/>
        <v/>
      </c>
    </row>
    <row r="106" spans="1:34" ht="1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29" t="str">
        <f t="shared" si="12"/>
        <v/>
      </c>
      <c r="Q106" s="30"/>
      <c r="R106" s="31"/>
      <c r="S106" s="68"/>
      <c r="T106" s="40"/>
      <c r="U106" s="38"/>
      <c r="V106" s="74"/>
      <c r="W106" s="34" t="str">
        <f t="shared" si="13"/>
        <v>FALSE</v>
      </c>
      <c r="X106" s="34" t="str">
        <f t="shared" si="9"/>
        <v>FALSE</v>
      </c>
      <c r="Y106" s="35">
        <f t="shared" si="14"/>
        <v>0</v>
      </c>
      <c r="Z106" s="36" t="str">
        <f t="shared" si="15"/>
        <v/>
      </c>
      <c r="AA106" s="6"/>
      <c r="AB106" s="41"/>
      <c r="AC106" s="38"/>
      <c r="AD106" s="38"/>
      <c r="AE106" s="34"/>
      <c r="AF106" s="34" t="str">
        <f t="shared" si="16"/>
        <v>FALSE</v>
      </c>
      <c r="AG106" s="35">
        <f t="shared" si="10"/>
        <v>0</v>
      </c>
      <c r="AH106" s="36" t="str">
        <f t="shared" si="11"/>
        <v/>
      </c>
    </row>
    <row r="107" spans="1:34" ht="1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29" t="str">
        <f t="shared" si="12"/>
        <v/>
      </c>
      <c r="Q107" s="30"/>
      <c r="R107" s="31"/>
      <c r="S107" s="68"/>
      <c r="T107" s="40"/>
      <c r="U107" s="38"/>
      <c r="V107" s="74"/>
      <c r="W107" s="34" t="str">
        <f t="shared" si="13"/>
        <v>FALSE</v>
      </c>
      <c r="X107" s="34" t="str">
        <f t="shared" si="9"/>
        <v>FALSE</v>
      </c>
      <c r="Y107" s="35">
        <f t="shared" si="14"/>
        <v>0</v>
      </c>
      <c r="Z107" s="36" t="str">
        <f t="shared" si="15"/>
        <v/>
      </c>
      <c r="AA107" s="6"/>
      <c r="AB107" s="41"/>
      <c r="AC107" s="38"/>
      <c r="AD107" s="38"/>
      <c r="AE107" s="34"/>
      <c r="AF107" s="34" t="str">
        <f t="shared" si="16"/>
        <v>FALSE</v>
      </c>
      <c r="AG107" s="35">
        <f t="shared" si="10"/>
        <v>0</v>
      </c>
      <c r="AH107" s="36" t="str">
        <f t="shared" si="11"/>
        <v/>
      </c>
    </row>
    <row r="108" spans="1:34" ht="1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29" t="str">
        <f t="shared" si="12"/>
        <v/>
      </c>
      <c r="Q108" s="30"/>
      <c r="R108" s="31"/>
      <c r="S108" s="68"/>
      <c r="T108" s="40"/>
      <c r="U108" s="38"/>
      <c r="V108" s="74"/>
      <c r="W108" s="34" t="str">
        <f t="shared" si="13"/>
        <v>FALSE</v>
      </c>
      <c r="X108" s="34" t="str">
        <f t="shared" si="9"/>
        <v>FALSE</v>
      </c>
      <c r="Y108" s="35">
        <f t="shared" si="14"/>
        <v>0</v>
      </c>
      <c r="Z108" s="36" t="str">
        <f t="shared" si="15"/>
        <v/>
      </c>
      <c r="AA108" s="6"/>
      <c r="AB108" s="41"/>
      <c r="AC108" s="38"/>
      <c r="AD108" s="38"/>
      <c r="AE108" s="34"/>
      <c r="AF108" s="34" t="str">
        <f t="shared" si="16"/>
        <v>FALSE</v>
      </c>
      <c r="AG108" s="35">
        <f t="shared" si="10"/>
        <v>0</v>
      </c>
      <c r="AH108" s="36" t="str">
        <f t="shared" si="11"/>
        <v/>
      </c>
    </row>
    <row r="109" spans="1:34" ht="1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29" t="str">
        <f t="shared" si="12"/>
        <v/>
      </c>
      <c r="Q109" s="30"/>
      <c r="R109" s="31"/>
      <c r="S109" s="68"/>
      <c r="T109" s="40"/>
      <c r="U109" s="38"/>
      <c r="V109" s="74"/>
      <c r="W109" s="34" t="str">
        <f t="shared" si="13"/>
        <v>FALSE</v>
      </c>
      <c r="X109" s="34" t="str">
        <f t="shared" si="9"/>
        <v>FALSE</v>
      </c>
      <c r="Y109" s="35">
        <f t="shared" si="14"/>
        <v>0</v>
      </c>
      <c r="Z109" s="36" t="str">
        <f t="shared" si="15"/>
        <v/>
      </c>
      <c r="AA109" s="6"/>
      <c r="AB109" s="41"/>
      <c r="AC109" s="38"/>
      <c r="AD109" s="38"/>
      <c r="AE109" s="34"/>
      <c r="AF109" s="34" t="str">
        <f t="shared" si="16"/>
        <v>FALSE</v>
      </c>
      <c r="AG109" s="35">
        <f t="shared" si="10"/>
        <v>0</v>
      </c>
      <c r="AH109" s="36" t="str">
        <f t="shared" si="11"/>
        <v/>
      </c>
    </row>
    <row r="110" spans="1:34" ht="1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29" t="str">
        <f t="shared" si="12"/>
        <v/>
      </c>
      <c r="Q110" s="30"/>
      <c r="R110" s="31"/>
      <c r="S110" s="68"/>
      <c r="T110" s="40"/>
      <c r="U110" s="38"/>
      <c r="V110" s="74"/>
      <c r="W110" s="34" t="str">
        <f t="shared" si="13"/>
        <v>FALSE</v>
      </c>
      <c r="X110" s="34" t="str">
        <f t="shared" si="9"/>
        <v>FALSE</v>
      </c>
      <c r="Y110" s="35">
        <f t="shared" si="14"/>
        <v>0</v>
      </c>
      <c r="Z110" s="36" t="str">
        <f t="shared" si="15"/>
        <v/>
      </c>
      <c r="AA110" s="6"/>
      <c r="AB110" s="41"/>
      <c r="AC110" s="38"/>
      <c r="AD110" s="38"/>
      <c r="AE110" s="34"/>
      <c r="AF110" s="34" t="str">
        <f t="shared" si="16"/>
        <v>FALSE</v>
      </c>
      <c r="AG110" s="35">
        <f t="shared" si="10"/>
        <v>0</v>
      </c>
      <c r="AH110" s="36" t="str">
        <f t="shared" si="11"/>
        <v/>
      </c>
    </row>
    <row r="111" spans="1:34" ht="1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29" t="str">
        <f t="shared" si="12"/>
        <v/>
      </c>
      <c r="Q111" s="30"/>
      <c r="R111" s="31"/>
      <c r="S111" s="68"/>
      <c r="T111" s="40"/>
      <c r="U111" s="38"/>
      <c r="V111" s="74"/>
      <c r="W111" s="34" t="str">
        <f t="shared" si="13"/>
        <v>FALSE</v>
      </c>
      <c r="X111" s="34" t="str">
        <f t="shared" si="9"/>
        <v>FALSE</v>
      </c>
      <c r="Y111" s="35">
        <f t="shared" si="14"/>
        <v>0</v>
      </c>
      <c r="Z111" s="36" t="str">
        <f t="shared" si="15"/>
        <v/>
      </c>
      <c r="AA111" s="6"/>
      <c r="AB111" s="41"/>
      <c r="AC111" s="38"/>
      <c r="AD111" s="38"/>
      <c r="AE111" s="34"/>
      <c r="AF111" s="34" t="str">
        <f t="shared" si="16"/>
        <v>FALSE</v>
      </c>
      <c r="AG111" s="35">
        <f t="shared" si="10"/>
        <v>0</v>
      </c>
      <c r="AH111" s="36" t="str">
        <f t="shared" si="11"/>
        <v/>
      </c>
    </row>
    <row r="112" spans="1:34" ht="1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29" t="str">
        <f t="shared" si="12"/>
        <v/>
      </c>
      <c r="Q112" s="30"/>
      <c r="R112" s="31"/>
      <c r="S112" s="68"/>
      <c r="T112" s="40"/>
      <c r="U112" s="38"/>
      <c r="V112" s="74"/>
      <c r="W112" s="34" t="str">
        <f t="shared" si="13"/>
        <v>FALSE</v>
      </c>
      <c r="X112" s="34" t="str">
        <f t="shared" si="9"/>
        <v>FALSE</v>
      </c>
      <c r="Y112" s="35">
        <f t="shared" si="14"/>
        <v>0</v>
      </c>
      <c r="Z112" s="36" t="str">
        <f t="shared" si="15"/>
        <v/>
      </c>
      <c r="AA112" s="6"/>
      <c r="AB112" s="41"/>
      <c r="AC112" s="38"/>
      <c r="AD112" s="38"/>
      <c r="AE112" s="34"/>
      <c r="AF112" s="34" t="str">
        <f t="shared" si="16"/>
        <v>FALSE</v>
      </c>
      <c r="AG112" s="35">
        <f t="shared" si="10"/>
        <v>0</v>
      </c>
      <c r="AH112" s="36" t="str">
        <f t="shared" si="11"/>
        <v/>
      </c>
    </row>
    <row r="113" spans="1:34" ht="1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29" t="str">
        <f t="shared" si="12"/>
        <v/>
      </c>
      <c r="Q113" s="30"/>
      <c r="R113" s="31"/>
      <c r="S113" s="68"/>
      <c r="T113" s="40"/>
      <c r="U113" s="38"/>
      <c r="V113" s="74"/>
      <c r="W113" s="34" t="str">
        <f t="shared" si="13"/>
        <v>FALSE</v>
      </c>
      <c r="X113" s="34" t="str">
        <f t="shared" si="9"/>
        <v>FALSE</v>
      </c>
      <c r="Y113" s="35">
        <f t="shared" si="14"/>
        <v>0</v>
      </c>
      <c r="Z113" s="36" t="str">
        <f t="shared" si="15"/>
        <v/>
      </c>
      <c r="AA113" s="6"/>
      <c r="AB113" s="41"/>
      <c r="AC113" s="38"/>
      <c r="AD113" s="38"/>
      <c r="AE113" s="34"/>
      <c r="AF113" s="34" t="str">
        <f t="shared" si="16"/>
        <v>FALSE</v>
      </c>
      <c r="AG113" s="35">
        <f t="shared" si="10"/>
        <v>0</v>
      </c>
      <c r="AH113" s="36" t="str">
        <f t="shared" si="11"/>
        <v/>
      </c>
    </row>
    <row r="114" spans="1:34" ht="1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29" t="str">
        <f t="shared" si="12"/>
        <v/>
      </c>
      <c r="Q114" s="30"/>
      <c r="R114" s="31"/>
      <c r="S114" s="68"/>
      <c r="T114" s="40"/>
      <c r="U114" s="38"/>
      <c r="V114" s="74"/>
      <c r="W114" s="34" t="str">
        <f t="shared" si="13"/>
        <v>FALSE</v>
      </c>
      <c r="X114" s="34" t="str">
        <f t="shared" si="9"/>
        <v>FALSE</v>
      </c>
      <c r="Y114" s="35">
        <f t="shared" si="14"/>
        <v>0</v>
      </c>
      <c r="Z114" s="36" t="str">
        <f t="shared" si="15"/>
        <v/>
      </c>
      <c r="AA114" s="6"/>
      <c r="AB114" s="41"/>
      <c r="AC114" s="38"/>
      <c r="AD114" s="38"/>
      <c r="AE114" s="34"/>
      <c r="AF114" s="34" t="str">
        <f t="shared" si="16"/>
        <v>FALSE</v>
      </c>
      <c r="AG114" s="35">
        <f t="shared" si="10"/>
        <v>0</v>
      </c>
      <c r="AH114" s="36" t="str">
        <f t="shared" si="11"/>
        <v/>
      </c>
    </row>
    <row r="115" spans="1:34" ht="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29" t="str">
        <f t="shared" si="12"/>
        <v/>
      </c>
      <c r="Q115" s="30"/>
      <c r="R115" s="31"/>
      <c r="S115" s="68"/>
      <c r="T115" s="40"/>
      <c r="U115" s="38"/>
      <c r="V115" s="74"/>
      <c r="W115" s="34" t="str">
        <f t="shared" si="13"/>
        <v>FALSE</v>
      </c>
      <c r="X115" s="34" t="str">
        <f t="shared" si="9"/>
        <v>FALSE</v>
      </c>
      <c r="Y115" s="35">
        <f t="shared" si="14"/>
        <v>0</v>
      </c>
      <c r="Z115" s="36" t="str">
        <f t="shared" si="15"/>
        <v/>
      </c>
      <c r="AA115" s="6"/>
      <c r="AB115" s="41"/>
      <c r="AC115" s="38"/>
      <c r="AD115" s="38"/>
      <c r="AE115" s="34"/>
      <c r="AF115" s="34" t="str">
        <f t="shared" si="16"/>
        <v>FALSE</v>
      </c>
      <c r="AG115" s="35">
        <f t="shared" si="10"/>
        <v>0</v>
      </c>
      <c r="AH115" s="36" t="str">
        <f t="shared" si="11"/>
        <v/>
      </c>
    </row>
    <row r="116" spans="1:34" ht="1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29" t="str">
        <f t="shared" si="12"/>
        <v/>
      </c>
      <c r="Q116" s="30"/>
      <c r="R116" s="31"/>
      <c r="S116" s="68"/>
      <c r="T116" s="40"/>
      <c r="U116" s="38"/>
      <c r="V116" s="74"/>
      <c r="W116" s="34" t="str">
        <f t="shared" si="13"/>
        <v>FALSE</v>
      </c>
      <c r="X116" s="34" t="str">
        <f t="shared" si="9"/>
        <v>FALSE</v>
      </c>
      <c r="Y116" s="35">
        <f t="shared" si="14"/>
        <v>0</v>
      </c>
      <c r="Z116" s="36" t="str">
        <f t="shared" si="15"/>
        <v/>
      </c>
      <c r="AA116" s="6"/>
      <c r="AB116" s="41"/>
      <c r="AC116" s="38"/>
      <c r="AD116" s="38"/>
      <c r="AE116" s="34"/>
      <c r="AF116" s="34" t="str">
        <f t="shared" si="16"/>
        <v>FALSE</v>
      </c>
      <c r="AG116" s="35">
        <f t="shared" si="10"/>
        <v>0</v>
      </c>
      <c r="AH116" s="36" t="str">
        <f t="shared" si="11"/>
        <v/>
      </c>
    </row>
    <row r="117" spans="1:34" ht="1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29" t="str">
        <f t="shared" si="12"/>
        <v/>
      </c>
      <c r="Q117" s="30"/>
      <c r="R117" s="31"/>
      <c r="S117" s="68"/>
      <c r="T117" s="40"/>
      <c r="U117" s="38"/>
      <c r="V117" s="74"/>
      <c r="W117" s="34" t="str">
        <f t="shared" si="13"/>
        <v>FALSE</v>
      </c>
      <c r="X117" s="34" t="str">
        <f t="shared" si="9"/>
        <v>FALSE</v>
      </c>
      <c r="Y117" s="35">
        <f t="shared" si="14"/>
        <v>0</v>
      </c>
      <c r="Z117" s="36" t="str">
        <f t="shared" si="15"/>
        <v/>
      </c>
      <c r="AA117" s="6"/>
      <c r="AB117" s="41"/>
      <c r="AC117" s="38"/>
      <c r="AD117" s="38"/>
      <c r="AE117" s="34"/>
      <c r="AF117" s="34" t="str">
        <f t="shared" si="16"/>
        <v>FALSE</v>
      </c>
      <c r="AG117" s="35">
        <f t="shared" si="10"/>
        <v>0</v>
      </c>
      <c r="AH117" s="36" t="str">
        <f t="shared" si="11"/>
        <v/>
      </c>
    </row>
    <row r="118" spans="1:34" ht="1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29" t="str">
        <f t="shared" si="12"/>
        <v/>
      </c>
      <c r="Q118" s="30"/>
      <c r="R118" s="31"/>
      <c r="S118" s="68"/>
      <c r="T118" s="40"/>
      <c r="U118" s="38"/>
      <c r="V118" s="74"/>
      <c r="W118" s="34" t="str">
        <f t="shared" si="13"/>
        <v>FALSE</v>
      </c>
      <c r="X118" s="34" t="str">
        <f t="shared" si="9"/>
        <v>FALSE</v>
      </c>
      <c r="Y118" s="35">
        <f t="shared" si="14"/>
        <v>0</v>
      </c>
      <c r="Z118" s="36" t="str">
        <f t="shared" si="15"/>
        <v/>
      </c>
      <c r="AA118" s="6"/>
      <c r="AB118" s="41"/>
      <c r="AC118" s="38"/>
      <c r="AD118" s="38"/>
      <c r="AE118" s="34"/>
      <c r="AF118" s="34" t="str">
        <f t="shared" si="16"/>
        <v>FALSE</v>
      </c>
      <c r="AG118" s="35">
        <f t="shared" si="10"/>
        <v>0</v>
      </c>
      <c r="AH118" s="36" t="str">
        <f t="shared" si="11"/>
        <v/>
      </c>
    </row>
    <row r="119" spans="1:34" ht="1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29" t="str">
        <f t="shared" si="12"/>
        <v/>
      </c>
      <c r="Q119" s="30"/>
      <c r="R119" s="31"/>
      <c r="S119" s="68"/>
      <c r="T119" s="40"/>
      <c r="U119" s="38"/>
      <c r="V119" s="74"/>
      <c r="W119" s="34" t="str">
        <f t="shared" si="13"/>
        <v>FALSE</v>
      </c>
      <c r="X119" s="34" t="str">
        <f t="shared" si="9"/>
        <v>FALSE</v>
      </c>
      <c r="Y119" s="35">
        <f t="shared" si="14"/>
        <v>0</v>
      </c>
      <c r="Z119" s="36" t="str">
        <f t="shared" si="15"/>
        <v/>
      </c>
      <c r="AA119" s="6"/>
      <c r="AB119" s="41"/>
      <c r="AC119" s="38"/>
      <c r="AD119" s="38"/>
      <c r="AE119" s="34"/>
      <c r="AF119" s="34" t="str">
        <f t="shared" si="16"/>
        <v>FALSE</v>
      </c>
      <c r="AG119" s="35">
        <f t="shared" si="10"/>
        <v>0</v>
      </c>
      <c r="AH119" s="36" t="str">
        <f t="shared" si="11"/>
        <v/>
      </c>
    </row>
    <row r="120" spans="1:34" ht="1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29" t="str">
        <f t="shared" si="12"/>
        <v/>
      </c>
      <c r="Q120" s="30"/>
      <c r="R120" s="31"/>
      <c r="S120" s="68"/>
      <c r="T120" s="40"/>
      <c r="U120" s="38"/>
      <c r="V120" s="74"/>
      <c r="W120" s="34" t="str">
        <f t="shared" si="13"/>
        <v>FALSE</v>
      </c>
      <c r="X120" s="34" t="str">
        <f t="shared" si="9"/>
        <v>FALSE</v>
      </c>
      <c r="Y120" s="35">
        <f t="shared" si="14"/>
        <v>0</v>
      </c>
      <c r="Z120" s="36" t="str">
        <f t="shared" si="15"/>
        <v/>
      </c>
      <c r="AA120" s="6"/>
      <c r="AB120" s="41"/>
      <c r="AC120" s="38"/>
      <c r="AD120" s="38"/>
      <c r="AE120" s="34"/>
      <c r="AF120" s="34" t="str">
        <f t="shared" si="16"/>
        <v>FALSE</v>
      </c>
      <c r="AG120" s="35">
        <f t="shared" si="10"/>
        <v>0</v>
      </c>
      <c r="AH120" s="36" t="str">
        <f t="shared" si="11"/>
        <v/>
      </c>
    </row>
  </sheetData>
  <mergeCells count="11">
    <mergeCell ref="P6:U6"/>
    <mergeCell ref="X6:AA6"/>
    <mergeCell ref="Q8:Z8"/>
    <mergeCell ref="AB8:AH8"/>
    <mergeCell ref="D1:L2"/>
    <mergeCell ref="X2:AA2"/>
    <mergeCell ref="AC2:AG2"/>
    <mergeCell ref="P3:R3"/>
    <mergeCell ref="T3:U3"/>
    <mergeCell ref="X3:AA3"/>
    <mergeCell ref="AC3:AG3"/>
  </mergeCells>
  <conditionalFormatting sqref="U14:U120">
    <cfRule type="containsBlanks" dxfId="239" priority="1">
      <formula>LEN(TRIM(U14))=0</formula>
    </cfRule>
    <cfRule type="expression" dxfId="238" priority="2">
      <formula>AND(X14&gt;=2,X14&lt;3)</formula>
    </cfRule>
    <cfRule type="expression" dxfId="237" priority="3">
      <formula>X14&gt;3</formula>
    </cfRule>
  </conditionalFormatting>
  <conditionalFormatting sqref="W14:W120">
    <cfRule type="expression" dxfId="236" priority="15">
      <formula>X14="FALSE"</formula>
    </cfRule>
  </conditionalFormatting>
  <conditionalFormatting sqref="X14:X120">
    <cfRule type="expression" dxfId="235" priority="14">
      <formula>X14="FALSE"</formula>
    </cfRule>
    <cfRule type="expression" dxfId="234" priority="16">
      <formula>AND(X14&gt;2,X14&lt;3)</formula>
    </cfRule>
  </conditionalFormatting>
  <conditionalFormatting sqref="X14:Y50 X51:X120">
    <cfRule type="expression" dxfId="233" priority="20">
      <formula>X14&gt;=3</formula>
    </cfRule>
  </conditionalFormatting>
  <conditionalFormatting sqref="Y14:Y50">
    <cfRule type="expression" dxfId="232" priority="19">
      <formula>AND(X14&gt;=2,X14&lt;3)</formula>
    </cfRule>
  </conditionalFormatting>
  <conditionalFormatting sqref="Z14:Z120">
    <cfRule type="cellIs" dxfId="231" priority="17" operator="notBetween">
      <formula>0.8</formula>
      <formula>1.15</formula>
    </cfRule>
  </conditionalFormatting>
  <conditionalFormatting sqref="AC14:AC120">
    <cfRule type="containsBlanks" dxfId="230" priority="4">
      <formula>LEN(TRIM(AC14))=0</formula>
    </cfRule>
    <cfRule type="expression" dxfId="229" priority="5">
      <formula>AND(AF14&gt;=2,AF14&lt;3)</formula>
    </cfRule>
    <cfRule type="expression" dxfId="228" priority="6">
      <formula>AF14&gt;3</formula>
    </cfRule>
  </conditionalFormatting>
  <conditionalFormatting sqref="AE14:AE120">
    <cfRule type="expression" dxfId="227" priority="13">
      <formula>AF14="FALSE"</formula>
    </cfRule>
  </conditionalFormatting>
  <conditionalFormatting sqref="AF14:AF120">
    <cfRule type="expression" dxfId="226" priority="10">
      <formula>AF14="FALSE"</formula>
    </cfRule>
    <cfRule type="expression" dxfId="225" priority="11">
      <formula>AND(AF14&gt;2,AF14&lt;3)</formula>
    </cfRule>
    <cfRule type="expression" dxfId="224" priority="12">
      <formula>AF14&gt;=3</formula>
    </cfRule>
  </conditionalFormatting>
  <conditionalFormatting sqref="AG14:AG120">
    <cfRule type="expression" dxfId="223" priority="7">
      <formula>AF14=0</formula>
    </cfRule>
    <cfRule type="expression" dxfId="222" priority="8">
      <formula>AND(AF14&gt;=2,AF14&lt;3)</formula>
    </cfRule>
    <cfRule type="expression" dxfId="221" priority="9">
      <formula>AG14&gt;=3</formula>
    </cfRule>
  </conditionalFormatting>
  <conditionalFormatting sqref="AH14:AH120">
    <cfRule type="cellIs" dxfId="220" priority="18" operator="notBetween">
      <formula>0.8</formula>
      <formula>1.15</formula>
    </cfRule>
  </conditionalFormatting>
  <pageMargins left="0.4" right="0.4" top="0.4" bottom="0.4" header="0" footer="0"/>
  <pageSetup scale="10" fitToHeight="0" orientation="landscape" horizontalDpi="4294967292" verticalDpi="4294967292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C0ECF-3F1B-47A3-BEA9-AA200573A59F}">
  <sheetPr codeName="Sheet11">
    <tabColor theme="3" tint="0.79998168889431442"/>
    <pageSetUpPr fitToPage="1"/>
  </sheetPr>
  <dimension ref="A1:AH120"/>
  <sheetViews>
    <sheetView showGridLines="0" topLeftCell="M37" zoomScale="70" zoomScaleNormal="70" workbookViewId="0">
      <selection activeCell="U56" sqref="U56"/>
    </sheetView>
  </sheetViews>
  <sheetFormatPr defaultColWidth="11" defaultRowHeight="13.5" customHeight="1"/>
  <cols>
    <col min="1" max="2" width="3.125" style="12" customWidth="1"/>
    <col min="3" max="8" width="11" style="12"/>
    <col min="9" max="9" width="9" style="12" customWidth="1"/>
    <col min="10" max="13" width="11" style="12"/>
    <col min="14" max="15" width="4" style="12" customWidth="1"/>
    <col min="16" max="16" width="6.125" style="43" customWidth="1"/>
    <col min="17" max="17" width="13" style="12" customWidth="1"/>
    <col min="18" max="18" width="12.875" style="44" customWidth="1"/>
    <col min="19" max="19" width="3" style="44" customWidth="1"/>
    <col min="20" max="20" width="12" style="45" customWidth="1"/>
    <col min="21" max="21" width="14.875" style="8" customWidth="1"/>
    <col min="22" max="22" width="2.375" style="12" customWidth="1"/>
    <col min="23" max="23" width="12.875" style="6" customWidth="1"/>
    <col min="24" max="24" width="11.5" style="6" customWidth="1"/>
    <col min="25" max="25" width="13" style="12" customWidth="1"/>
    <col min="26" max="26" width="11.625" style="12" customWidth="1"/>
    <col min="27" max="27" width="9.125" style="12" customWidth="1"/>
    <col min="28" max="28" width="13.375" style="8" customWidth="1"/>
    <col min="29" max="29" width="13.75" style="12" customWidth="1"/>
    <col min="30" max="30" width="2" style="12" customWidth="1"/>
    <col min="31" max="31" width="12.75" style="12" customWidth="1"/>
    <col min="32" max="32" width="12.375" style="12" customWidth="1"/>
    <col min="33" max="33" width="13.125" style="12" customWidth="1"/>
    <col min="34" max="34" width="15.25" style="12" customWidth="1"/>
    <col min="35" max="16384" width="11" style="12"/>
  </cols>
  <sheetData>
    <row r="1" spans="1:34" s="7" customFormat="1" ht="31.5" customHeight="1">
      <c r="A1" s="1"/>
      <c r="B1" s="1"/>
      <c r="C1" s="1"/>
      <c r="D1" s="162" t="s">
        <v>20</v>
      </c>
      <c r="E1" s="162"/>
      <c r="F1" s="162"/>
      <c r="G1" s="162"/>
      <c r="H1" s="162"/>
      <c r="I1" s="162"/>
      <c r="J1" s="162"/>
      <c r="K1" s="162"/>
      <c r="L1" s="162"/>
      <c r="M1" s="1"/>
      <c r="N1" s="1"/>
      <c r="O1" s="1"/>
      <c r="P1" s="2"/>
      <c r="Q1" s="3" t="s">
        <v>74</v>
      </c>
      <c r="R1" s="4"/>
      <c r="S1" s="4"/>
      <c r="T1" s="4"/>
      <c r="U1" s="5"/>
      <c r="V1" s="6"/>
      <c r="W1" s="6"/>
      <c r="X1" s="6"/>
      <c r="Y1" s="5"/>
      <c r="Z1" s="5"/>
      <c r="AA1" s="5"/>
      <c r="AB1" s="5"/>
      <c r="AC1" s="5"/>
      <c r="AD1" s="5"/>
      <c r="AE1" s="5"/>
      <c r="AF1" s="5"/>
      <c r="AG1" s="5"/>
      <c r="AH1"/>
    </row>
    <row r="2" spans="1:34" ht="15.75" customHeight="1">
      <c r="A2" s="8"/>
      <c r="B2" s="8"/>
      <c r="C2" s="8"/>
      <c r="D2" s="162"/>
      <c r="E2" s="162"/>
      <c r="F2" s="162"/>
      <c r="G2" s="162"/>
      <c r="H2" s="162"/>
      <c r="I2" s="162"/>
      <c r="J2" s="162"/>
      <c r="K2" s="162"/>
      <c r="L2" s="162"/>
      <c r="M2" s="8"/>
      <c r="N2" s="8"/>
      <c r="O2" s="8"/>
      <c r="P2" s="9"/>
      <c r="Q2" s="10" t="s">
        <v>75</v>
      </c>
      <c r="R2" s="11"/>
      <c r="S2" s="11"/>
      <c r="T2" s="10" t="s">
        <v>76</v>
      </c>
      <c r="X2" s="163" t="s">
        <v>77</v>
      </c>
      <c r="Y2" s="163"/>
      <c r="Z2" s="163"/>
      <c r="AA2" s="163"/>
      <c r="AC2" s="163" t="s">
        <v>78</v>
      </c>
      <c r="AD2" s="163"/>
      <c r="AE2" s="163"/>
      <c r="AF2" s="163"/>
      <c r="AG2" s="163"/>
      <c r="AH2"/>
    </row>
    <row r="3" spans="1:34" ht="26.2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164">
        <f>MIN(R14:R16)</f>
        <v>45677</v>
      </c>
      <c r="Q3" s="165"/>
      <c r="R3" s="166"/>
      <c r="S3" s="65"/>
      <c r="T3" s="167">
        <f>MAX(R14:R116)</f>
        <v>46065</v>
      </c>
      <c r="U3" s="168"/>
      <c r="X3" s="164" t="s">
        <v>79</v>
      </c>
      <c r="Y3" s="165"/>
      <c r="Z3" s="165"/>
      <c r="AA3" s="168"/>
      <c r="AC3" s="169" t="s">
        <v>80</v>
      </c>
      <c r="AD3" s="170"/>
      <c r="AE3" s="170"/>
      <c r="AF3" s="170"/>
      <c r="AG3" s="171"/>
      <c r="AH3"/>
    </row>
    <row r="4" spans="1:34" ht="15.7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13"/>
      <c r="Q4" s="14"/>
      <c r="R4" s="15">
        <f>MIN(P14:P120)</f>
        <v>1</v>
      </c>
      <c r="S4" s="15"/>
      <c r="T4" s="16">
        <f>MAX(P14:P120)</f>
        <v>42</v>
      </c>
      <c r="U4" s="14"/>
      <c r="V4" s="6"/>
      <c r="X4" s="14"/>
      <c r="Y4" s="14"/>
      <c r="Z4" s="14"/>
      <c r="AA4" s="14"/>
      <c r="AB4"/>
      <c r="AC4" s="14"/>
      <c r="AD4" s="14"/>
      <c r="AE4" s="14"/>
      <c r="AF4" s="14"/>
      <c r="AH4" s="8"/>
    </row>
    <row r="5" spans="1:34" ht="20.2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17"/>
      <c r="Q5" s="17" t="s">
        <v>81</v>
      </c>
      <c r="R5" s="11"/>
      <c r="S5" s="11"/>
      <c r="T5" s="18"/>
      <c r="U5" s="17"/>
      <c r="V5" s="6"/>
      <c r="X5" s="17" t="s">
        <v>82</v>
      </c>
      <c r="Y5" s="17"/>
      <c r="Z5" s="17"/>
      <c r="AA5" s="14"/>
      <c r="AB5"/>
      <c r="AC5" s="10"/>
      <c r="AD5" s="10"/>
    </row>
    <row r="6" spans="1:34" ht="25.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158" t="s">
        <v>83</v>
      </c>
      <c r="Q6" s="158"/>
      <c r="R6" s="158"/>
      <c r="S6" s="158"/>
      <c r="T6" s="158"/>
      <c r="U6" s="158"/>
      <c r="V6" s="6"/>
      <c r="X6" s="159"/>
      <c r="Y6" s="159"/>
      <c r="Z6" s="159"/>
      <c r="AA6" s="159"/>
      <c r="AB6"/>
      <c r="AC6" s="6"/>
      <c r="AD6" s="6"/>
    </row>
    <row r="7" spans="1:34" ht="23.2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19"/>
      <c r="Q7" s="20" t="s">
        <v>84</v>
      </c>
      <c r="R7" s="21"/>
      <c r="S7" s="21"/>
      <c r="T7" s="22"/>
      <c r="V7" s="8"/>
      <c r="Y7" s="8"/>
      <c r="Z7" s="8"/>
      <c r="AA7" s="8"/>
      <c r="AC7" s="8"/>
      <c r="AD7" s="8"/>
      <c r="AE7" s="8"/>
      <c r="AF7" s="8"/>
      <c r="AG7" s="8"/>
      <c r="AH7" s="8"/>
    </row>
    <row r="8" spans="1:34" ht="31.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19"/>
      <c r="Q8" s="160" t="s">
        <v>85</v>
      </c>
      <c r="R8" s="160"/>
      <c r="S8" s="160"/>
      <c r="T8" s="160"/>
      <c r="U8" s="160"/>
      <c r="V8" s="160"/>
      <c r="W8" s="160"/>
      <c r="X8" s="160"/>
      <c r="Y8" s="160"/>
      <c r="Z8" s="160"/>
      <c r="AA8" s="6"/>
      <c r="AB8" s="161" t="s">
        <v>86</v>
      </c>
      <c r="AC8" s="161"/>
      <c r="AD8" s="161"/>
      <c r="AE8" s="161"/>
      <c r="AF8" s="161"/>
      <c r="AG8" s="161"/>
      <c r="AH8" s="161"/>
    </row>
    <row r="9" spans="1:34" customFormat="1" ht="11.25" customHeight="1"/>
    <row r="10" spans="1:34" s="52" customFormat="1" ht="27.75" customHeight="1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Q10" s="73" t="s">
        <v>87</v>
      </c>
      <c r="R10" s="73" t="s">
        <v>88</v>
      </c>
      <c r="S10" s="66"/>
      <c r="T10" s="49" t="s">
        <v>89</v>
      </c>
      <c r="U10" s="46" t="s">
        <v>90</v>
      </c>
      <c r="V10" s="50"/>
      <c r="W10" s="47" t="s">
        <v>91</v>
      </c>
      <c r="X10" s="61" t="s">
        <v>92</v>
      </c>
      <c r="Y10" s="61" t="s">
        <v>93</v>
      </c>
      <c r="Z10" s="48" t="s">
        <v>94</v>
      </c>
      <c r="AA10" s="53"/>
      <c r="AB10" s="49" t="s">
        <v>95</v>
      </c>
      <c r="AC10" s="46" t="s">
        <v>90</v>
      </c>
      <c r="AE10" s="47" t="s">
        <v>91</v>
      </c>
      <c r="AF10" s="61" t="s">
        <v>92</v>
      </c>
      <c r="AG10" s="61" t="s">
        <v>93</v>
      </c>
      <c r="AH10" s="48" t="s">
        <v>94</v>
      </c>
    </row>
    <row r="11" spans="1:34" s="55" customFormat="1" ht="27.75" customHeight="1" thickBot="1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Q11" s="64">
        <f>IF(U11="","",1.15)</f>
        <v>1.1499999999999999</v>
      </c>
      <c r="R11" s="64">
        <f>IF(U11="","",0.8)</f>
        <v>0.8</v>
      </c>
      <c r="S11" s="67"/>
      <c r="T11" s="62">
        <f>_xlfn.STDEV.P($U$14:$U$120)/$U$11</f>
        <v>0.10913975347403464</v>
      </c>
      <c r="U11" s="63">
        <f>AVERAGE($W$14:$W$120)</f>
        <v>500.88218571428575</v>
      </c>
      <c r="V11" s="56"/>
      <c r="W11" s="60">
        <f>$U$11-(3*_xlfn.STDEV.S($W$14:$W$120))</f>
        <v>334.89577802702166</v>
      </c>
      <c r="X11" s="59">
        <f>$U$11-(2*_xlfn.STDEV.S($W$14:$W$120))</f>
        <v>390.22458058944301</v>
      </c>
      <c r="Y11" s="59">
        <f>$U$11+(2*_xlfn.STDEV.S($W$14:$W$120))</f>
        <v>611.5397908391285</v>
      </c>
      <c r="Z11" s="58">
        <f>$U$11+(3*_xlfn.STDEV.S($W$14:$W$120))</f>
        <v>666.86859340154979</v>
      </c>
      <c r="AA11" s="57"/>
      <c r="AB11" s="62">
        <f>_xlfn.STDEV.P($AC$14:$AC$120)/$AC$11</f>
        <v>0.12479956744986857</v>
      </c>
      <c r="AC11" s="63">
        <f>AVERAGE($AC$14:$AC$120)</f>
        <v>25.345173809523814</v>
      </c>
      <c r="AE11" s="60">
        <f>$AC$11-(3*_xlfn.STDEV.S($AE$14:$AE$120))</f>
        <v>17.055201086362985</v>
      </c>
      <c r="AF11" s="59">
        <f>$AC$11-(2*_xlfn.STDEV.S($AE$14:$AE$120))</f>
        <v>19.818525327416594</v>
      </c>
      <c r="AG11" s="59">
        <f>$AC$11+(2*_xlfn.STDEV.S($AE$14:$AE$120))</f>
        <v>30.871822291631034</v>
      </c>
      <c r="AH11" s="58">
        <f>$AC$11+(3*_xlfn.STDEV.S($AE$14:$AE$120))</f>
        <v>33.635146532684644</v>
      </c>
    </row>
    <row r="12" spans="1:34" ht="11.2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19"/>
      <c r="Q12" s="20"/>
      <c r="R12" s="21"/>
      <c r="S12" s="21"/>
      <c r="T12" s="22"/>
      <c r="V12" s="8"/>
      <c r="Y12" s="8"/>
      <c r="Z12" s="8"/>
      <c r="AA12" s="6"/>
      <c r="AC12" s="8"/>
      <c r="AD12" s="8"/>
      <c r="AE12" s="8"/>
      <c r="AF12" s="8"/>
      <c r="AG12" s="8"/>
      <c r="AH12" s="8"/>
    </row>
    <row r="13" spans="1:34" ht="4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70" t="s">
        <v>96</v>
      </c>
      <c r="Q13" s="71" t="s">
        <v>97</v>
      </c>
      <c r="R13" s="71" t="s">
        <v>98</v>
      </c>
      <c r="S13" s="69"/>
      <c r="T13" s="72" t="s">
        <v>99</v>
      </c>
      <c r="U13" s="71" t="s">
        <v>100</v>
      </c>
      <c r="V13" s="69"/>
      <c r="W13" s="75" t="s">
        <v>101</v>
      </c>
      <c r="X13" s="75" t="s">
        <v>102</v>
      </c>
      <c r="Y13" s="76" t="s">
        <v>103</v>
      </c>
      <c r="Z13" s="77" t="s">
        <v>104</v>
      </c>
      <c r="AA13" s="6"/>
      <c r="AB13" s="26" t="s">
        <v>99</v>
      </c>
      <c r="AC13" s="27" t="s">
        <v>100</v>
      </c>
      <c r="AD13" s="28"/>
      <c r="AE13" s="23" t="s">
        <v>101</v>
      </c>
      <c r="AF13" s="23" t="s">
        <v>102</v>
      </c>
      <c r="AG13" s="24" t="s">
        <v>105</v>
      </c>
      <c r="AH13" s="25" t="s">
        <v>104</v>
      </c>
    </row>
    <row r="14" spans="1:34" ht="1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29">
        <v>1</v>
      </c>
      <c r="Q14" s="30" t="s">
        <v>106</v>
      </c>
      <c r="R14" s="31">
        <v>45677</v>
      </c>
      <c r="S14" s="68"/>
      <c r="T14" s="32">
        <v>472</v>
      </c>
      <c r="U14" s="38">
        <v>513.73099999999999</v>
      </c>
      <c r="V14" s="74"/>
      <c r="W14" s="34">
        <f>IF(X14&gt;3,"FALSE",U14)</f>
        <v>513.73099999999999</v>
      </c>
      <c r="X14" s="34">
        <f t="shared" ref="X14:X45" si="0">IF(U14="","FALSE",ABS((U14-AVERAGE($U$14:$U$120))/_xlfn.STDEV.S($U$14:$U$104)))</f>
        <v>0.23222650212280205</v>
      </c>
      <c r="Y14" s="35" t="str">
        <f>IF(OR(U14&gt;$Y$11,U14&lt;$X$11),U14,"")</f>
        <v/>
      </c>
      <c r="Z14" s="36">
        <f>IF(U14="","",U14/T14)</f>
        <v>1.0884131355932203</v>
      </c>
      <c r="AA14" s="6"/>
      <c r="AB14" s="37">
        <v>25.21</v>
      </c>
      <c r="AC14" s="38">
        <v>30.065999999999999</v>
      </c>
      <c r="AD14" s="38"/>
      <c r="AE14" s="34">
        <f>IF(AF14&gt;3,"FALSE",AC14)</f>
        <v>30.065999999999999</v>
      </c>
      <c r="AF14" s="34">
        <f>IF(AC14="","FALSE",ABS((AC14-AVERAGE($AC$14:$AC$120))/_xlfn.STDEV.S($AC$14:$AC$104)))</f>
        <v>1.4746092039309666</v>
      </c>
      <c r="AG14" s="35" t="str">
        <f t="shared" ref="AG14:AG45" si="1">IF(OR(AC14&gt;$AG$11,AC14&lt;$AF$11),AC14,"")</f>
        <v/>
      </c>
      <c r="AH14" s="36">
        <f t="shared" ref="AH14:AH45" si="2">IF(AC14="","",AC14/AB14)</f>
        <v>1.1926219754065845</v>
      </c>
    </row>
    <row r="15" spans="1:34" ht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29">
        <f t="shared" ref="P15:P46" si="3">IF(R15&lt;&gt;"",P14+1,"")</f>
        <v>2</v>
      </c>
      <c r="Q15" s="30" t="s">
        <v>106</v>
      </c>
      <c r="R15" s="31">
        <v>45677</v>
      </c>
      <c r="S15" s="68"/>
      <c r="T15" s="32">
        <v>472</v>
      </c>
      <c r="U15" s="38">
        <v>412.50599999999997</v>
      </c>
      <c r="V15" s="74"/>
      <c r="W15" s="34">
        <f t="shared" ref="W15:W19" si="4">IF(X15&gt;3,"FALSE",U15)</f>
        <v>412.50599999999997</v>
      </c>
      <c r="X15" s="34">
        <f t="shared" si="0"/>
        <v>1.597290771196082</v>
      </c>
      <c r="Y15" s="35" t="str">
        <f t="shared" ref="Y15:Y78" si="5">IF(OR(U15&gt;$Y$11,U15&lt;$X$11),U15,"")</f>
        <v/>
      </c>
      <c r="Z15" s="36">
        <f t="shared" ref="Z15:Z78" si="6">IF(U15="","",U15/T15)</f>
        <v>0.87395338983050841</v>
      </c>
      <c r="AA15" s="6"/>
      <c r="AB15" s="37">
        <v>25.21</v>
      </c>
      <c r="AC15" s="38">
        <v>26.606999999999999</v>
      </c>
      <c r="AD15" s="38"/>
      <c r="AE15" s="34">
        <f t="shared" ref="AE15:AE62" si="7">IF(AF15&gt;3,"FALSE",AC15)</f>
        <v>26.606999999999999</v>
      </c>
      <c r="AF15" s="34">
        <f t="shared" ref="AF15:AF78" si="8">IF(AC15="","FALSE",ABS((AC15-AVERAGE($AC$14:$AC$120))/_xlfn.STDEV.S($AC$14:$AC$104)))</f>
        <v>0.39414721897432209</v>
      </c>
      <c r="AG15" s="35" t="str">
        <f t="shared" si="1"/>
        <v/>
      </c>
      <c r="AH15" s="36">
        <f t="shared" si="2"/>
        <v>1.0554145180483934</v>
      </c>
    </row>
    <row r="16" spans="1:34" ht="1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29">
        <f t="shared" si="3"/>
        <v>3</v>
      </c>
      <c r="Q16" s="30" t="s">
        <v>106</v>
      </c>
      <c r="R16" s="31">
        <v>45677</v>
      </c>
      <c r="S16" s="68"/>
      <c r="T16" s="32">
        <v>472</v>
      </c>
      <c r="U16" s="38">
        <v>507.21499999999997</v>
      </c>
      <c r="V16" s="74"/>
      <c r="W16" s="34">
        <f t="shared" si="4"/>
        <v>507.21499999999997</v>
      </c>
      <c r="X16" s="34">
        <f t="shared" si="0"/>
        <v>0.11445782291365528</v>
      </c>
      <c r="Y16" s="35" t="str">
        <f t="shared" si="5"/>
        <v/>
      </c>
      <c r="Z16" s="36">
        <f t="shared" si="6"/>
        <v>1.0746080508474576</v>
      </c>
      <c r="AA16" s="6"/>
      <c r="AB16" s="37">
        <v>25.21</v>
      </c>
      <c r="AC16" s="38">
        <v>28.946000000000002</v>
      </c>
      <c r="AD16" s="38"/>
      <c r="AE16" s="34">
        <f t="shared" si="7"/>
        <v>28.946000000000002</v>
      </c>
      <c r="AF16" s="34">
        <f t="shared" si="8"/>
        <v>1.1247631723751876</v>
      </c>
      <c r="AG16" s="35" t="str">
        <f t="shared" si="1"/>
        <v/>
      </c>
      <c r="AH16" s="36">
        <f t="shared" si="2"/>
        <v>1.1481951606505356</v>
      </c>
    </row>
    <row r="17" spans="1:34" ht="1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29">
        <f t="shared" si="3"/>
        <v>4</v>
      </c>
      <c r="Q17" s="30" t="s">
        <v>106</v>
      </c>
      <c r="R17" s="31">
        <v>45677</v>
      </c>
      <c r="S17" s="68"/>
      <c r="T17" s="32">
        <v>472</v>
      </c>
      <c r="U17" s="38">
        <v>436.60899999999998</v>
      </c>
      <c r="V17" s="74"/>
      <c r="W17" s="34">
        <f t="shared" si="4"/>
        <v>436.60899999999998</v>
      </c>
      <c r="X17" s="34">
        <f t="shared" si="0"/>
        <v>1.1616587154904257</v>
      </c>
      <c r="Y17" s="35" t="str">
        <f t="shared" si="5"/>
        <v/>
      </c>
      <c r="Z17" s="36">
        <f t="shared" si="6"/>
        <v>0.92501906779661014</v>
      </c>
      <c r="AA17" s="6"/>
      <c r="AB17" s="37">
        <v>25.21</v>
      </c>
      <c r="AC17" s="38">
        <v>29.876999999999999</v>
      </c>
      <c r="AD17" s="38"/>
      <c r="AE17" s="34">
        <f t="shared" si="7"/>
        <v>29.876999999999999</v>
      </c>
      <c r="AF17" s="34">
        <f t="shared" si="8"/>
        <v>1.4155726861059288</v>
      </c>
      <c r="AG17" s="35" t="str">
        <f t="shared" si="1"/>
        <v/>
      </c>
      <c r="AH17" s="36">
        <f t="shared" si="2"/>
        <v>1.1851249504165013</v>
      </c>
    </row>
    <row r="18" spans="1:34" ht="1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29">
        <f t="shared" si="3"/>
        <v>5</v>
      </c>
      <c r="Q18" s="30" t="s">
        <v>106</v>
      </c>
      <c r="R18" s="31">
        <v>45677</v>
      </c>
      <c r="S18" s="68"/>
      <c r="T18" s="32">
        <v>472</v>
      </c>
      <c r="U18" s="38">
        <v>407.95600000000002</v>
      </c>
      <c r="V18" s="74"/>
      <c r="W18" s="34">
        <f t="shared" si="4"/>
        <v>407.95600000000002</v>
      </c>
      <c r="X18" s="34">
        <f t="shared" si="0"/>
        <v>1.6795264204289873</v>
      </c>
      <c r="Y18" s="35" t="str">
        <f t="shared" si="5"/>
        <v/>
      </c>
      <c r="Z18" s="36">
        <f t="shared" si="6"/>
        <v>0.86431355932203391</v>
      </c>
      <c r="AA18" s="6"/>
      <c r="AB18" s="37">
        <v>25.21</v>
      </c>
      <c r="AC18" s="38">
        <v>21.498000000000001</v>
      </c>
      <c r="AD18" s="38"/>
      <c r="AE18" s="34">
        <f t="shared" si="7"/>
        <v>21.498000000000001</v>
      </c>
      <c r="AF18" s="34">
        <f t="shared" si="8"/>
        <v>1.2017129374707474</v>
      </c>
      <c r="AG18" s="35" t="str">
        <f t="shared" si="1"/>
        <v/>
      </c>
      <c r="AH18" s="36">
        <f t="shared" si="2"/>
        <v>0.85275684252280848</v>
      </c>
    </row>
    <row r="19" spans="1:34" ht="1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29">
        <f t="shared" si="3"/>
        <v>6</v>
      </c>
      <c r="Q19" s="30" t="s">
        <v>106</v>
      </c>
      <c r="R19" s="31">
        <v>45678</v>
      </c>
      <c r="S19" s="68"/>
      <c r="T19" s="32">
        <v>472</v>
      </c>
      <c r="U19" s="38">
        <v>559.48099999999999</v>
      </c>
      <c r="V19" s="74"/>
      <c r="W19" s="34">
        <f t="shared" si="4"/>
        <v>559.48099999999999</v>
      </c>
      <c r="X19" s="34">
        <f t="shared" si="0"/>
        <v>1.0591014367174074</v>
      </c>
      <c r="Y19" s="35" t="str">
        <f t="shared" si="5"/>
        <v/>
      </c>
      <c r="Z19" s="36">
        <f t="shared" si="6"/>
        <v>1.1853411016949151</v>
      </c>
      <c r="AA19" s="6"/>
      <c r="AB19" s="37">
        <v>25.21</v>
      </c>
      <c r="AC19" s="38">
        <v>24.643000000000001</v>
      </c>
      <c r="AD19" s="38"/>
      <c r="AE19" s="34">
        <f t="shared" si="7"/>
        <v>24.643000000000001</v>
      </c>
      <c r="AF19" s="34">
        <f t="shared" si="8"/>
        <v>0.21933278636099116</v>
      </c>
      <c r="AG19" s="35" t="str">
        <f t="shared" si="1"/>
        <v/>
      </c>
      <c r="AH19" s="36">
        <f t="shared" si="2"/>
        <v>0.97750892502975006</v>
      </c>
    </row>
    <row r="20" spans="1:34" ht="1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29">
        <f t="shared" si="3"/>
        <v>7</v>
      </c>
      <c r="Q20" s="30" t="s">
        <v>106</v>
      </c>
      <c r="R20" s="31">
        <v>45678</v>
      </c>
      <c r="S20" s="68"/>
      <c r="T20" s="32">
        <v>472</v>
      </c>
      <c r="U20" s="38">
        <v>547.86699999999996</v>
      </c>
      <c r="V20" s="74"/>
      <c r="W20" s="34">
        <f t="shared" ref="W20:W83" si="9">IF(X20&gt;3,"FALSE",U20)</f>
        <v>547.86699999999996</v>
      </c>
      <c r="X20" s="34">
        <f t="shared" si="0"/>
        <v>0.84919268282928118</v>
      </c>
      <c r="Y20" s="35" t="str">
        <f t="shared" si="5"/>
        <v/>
      </c>
      <c r="Z20" s="36">
        <f t="shared" si="6"/>
        <v>1.1607351694915253</v>
      </c>
      <c r="AA20" s="6"/>
      <c r="AB20" s="37">
        <v>25.21</v>
      </c>
      <c r="AC20" s="38">
        <v>24.143999999999998</v>
      </c>
      <c r="AD20" s="38"/>
      <c r="AE20" s="34">
        <f t="shared" si="7"/>
        <v>24.143999999999998</v>
      </c>
      <c r="AF20" s="34">
        <f t="shared" si="8"/>
        <v>0.37520168792021874</v>
      </c>
      <c r="AG20" s="35" t="str">
        <f t="shared" si="1"/>
        <v/>
      </c>
      <c r="AH20" s="36">
        <f t="shared" si="2"/>
        <v>0.95771519238397451</v>
      </c>
    </row>
    <row r="21" spans="1:34" ht="1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29">
        <f t="shared" si="3"/>
        <v>8</v>
      </c>
      <c r="Q21" s="30" t="s">
        <v>106</v>
      </c>
      <c r="R21" s="31">
        <v>45678</v>
      </c>
      <c r="S21" s="68"/>
      <c r="T21" s="32">
        <v>472</v>
      </c>
      <c r="U21" s="38">
        <v>475.38799999999998</v>
      </c>
      <c r="V21" s="74"/>
      <c r="W21" s="34">
        <f t="shared" si="9"/>
        <v>475.38799999999998</v>
      </c>
      <c r="X21" s="34">
        <f t="shared" si="0"/>
        <v>0.46077602502825737</v>
      </c>
      <c r="Y21" s="35" t="str">
        <f t="shared" si="5"/>
        <v/>
      </c>
      <c r="Z21" s="36">
        <f t="shared" si="6"/>
        <v>1.0071779661016949</v>
      </c>
      <c r="AA21" s="6"/>
      <c r="AB21" s="37">
        <v>25.21</v>
      </c>
      <c r="AC21" s="38">
        <v>28.670999999999999</v>
      </c>
      <c r="AD21" s="38"/>
      <c r="AE21" s="34">
        <f t="shared" si="7"/>
        <v>28.670999999999999</v>
      </c>
      <c r="AF21" s="34">
        <f t="shared" si="8"/>
        <v>1.0388634771271161</v>
      </c>
      <c r="AG21" s="35" t="str">
        <f t="shared" si="1"/>
        <v/>
      </c>
      <c r="AH21" s="36">
        <f t="shared" si="2"/>
        <v>1.1372867909559699</v>
      </c>
    </row>
    <row r="22" spans="1:34" ht="1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29">
        <f t="shared" si="3"/>
        <v>9</v>
      </c>
      <c r="Q22" s="30" t="s">
        <v>106</v>
      </c>
      <c r="R22" s="31">
        <v>45678</v>
      </c>
      <c r="S22" s="68"/>
      <c r="T22" s="32">
        <v>472</v>
      </c>
      <c r="U22" s="38">
        <v>493.24099999999999</v>
      </c>
      <c r="V22" s="74"/>
      <c r="W22" s="34">
        <f t="shared" si="9"/>
        <v>493.24099999999999</v>
      </c>
      <c r="X22" s="34">
        <f t="shared" si="0"/>
        <v>0.13810502596120824</v>
      </c>
      <c r="Y22" s="35" t="str">
        <f t="shared" si="5"/>
        <v/>
      </c>
      <c r="Z22" s="36">
        <f t="shared" si="6"/>
        <v>1.0450021186440677</v>
      </c>
      <c r="AA22" s="6"/>
      <c r="AB22" s="37">
        <v>25.21</v>
      </c>
      <c r="AC22" s="38">
        <v>25.831</v>
      </c>
      <c r="AD22" s="38"/>
      <c r="AE22" s="34">
        <f t="shared" si="7"/>
        <v>25.831</v>
      </c>
      <c r="AF22" s="34">
        <f t="shared" si="8"/>
        <v>0.1517538971106748</v>
      </c>
      <c r="AG22" s="35" t="str">
        <f t="shared" si="1"/>
        <v/>
      </c>
      <c r="AH22" s="36">
        <f t="shared" si="2"/>
        <v>1.0246330821102736</v>
      </c>
    </row>
    <row r="23" spans="1:34" ht="1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29">
        <f t="shared" si="3"/>
        <v>10</v>
      </c>
      <c r="Q23" s="30" t="s">
        <v>106</v>
      </c>
      <c r="R23" s="31">
        <v>45678</v>
      </c>
      <c r="S23" s="68"/>
      <c r="T23" s="32">
        <v>472</v>
      </c>
      <c r="U23" s="38">
        <v>430.83699999999999</v>
      </c>
      <c r="V23" s="74"/>
      <c r="W23" s="34">
        <f t="shared" si="9"/>
        <v>430.83699999999999</v>
      </c>
      <c r="X23" s="34">
        <f t="shared" si="0"/>
        <v>1.2659805105173121</v>
      </c>
      <c r="Y23" s="35" t="str">
        <f t="shared" si="5"/>
        <v/>
      </c>
      <c r="Z23" s="36">
        <f t="shared" si="6"/>
        <v>0.9127902542372881</v>
      </c>
      <c r="AA23" s="6"/>
      <c r="AB23" s="37">
        <v>25.21</v>
      </c>
      <c r="AC23" s="38">
        <v>27.782</v>
      </c>
      <c r="AD23" s="38"/>
      <c r="AE23" s="34">
        <f t="shared" si="7"/>
        <v>27.782</v>
      </c>
      <c r="AF23" s="34">
        <f t="shared" si="8"/>
        <v>0.76117318957971614</v>
      </c>
      <c r="AG23" s="35" t="str">
        <f t="shared" si="1"/>
        <v/>
      </c>
      <c r="AH23" s="36">
        <f t="shared" si="2"/>
        <v>1.1020230067433558</v>
      </c>
    </row>
    <row r="24" spans="1:34" ht="1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29">
        <f t="shared" si="3"/>
        <v>11</v>
      </c>
      <c r="Q24" s="30" t="s">
        <v>106</v>
      </c>
      <c r="R24" s="31">
        <v>45679</v>
      </c>
      <c r="S24" s="68"/>
      <c r="T24" s="32">
        <v>472</v>
      </c>
      <c r="U24" s="38">
        <v>525.83900000000006</v>
      </c>
      <c r="V24" s="74"/>
      <c r="W24" s="34">
        <f t="shared" si="9"/>
        <v>525.83900000000006</v>
      </c>
      <c r="X24" s="34">
        <f t="shared" si="0"/>
        <v>0.45106369792764428</v>
      </c>
      <c r="Y24" s="35" t="str">
        <f t="shared" si="5"/>
        <v/>
      </c>
      <c r="Z24" s="36">
        <f t="shared" si="6"/>
        <v>1.1140656779661018</v>
      </c>
      <c r="AA24" s="6"/>
      <c r="AB24" s="37">
        <v>25.21</v>
      </c>
      <c r="AC24" s="38">
        <v>20.815999999999999</v>
      </c>
      <c r="AD24" s="38"/>
      <c r="AE24" s="34">
        <f t="shared" si="7"/>
        <v>20.815999999999999</v>
      </c>
      <c r="AF24" s="34">
        <f t="shared" si="8"/>
        <v>1.4147441816859638</v>
      </c>
      <c r="AG24" s="35" t="str">
        <f t="shared" si="1"/>
        <v/>
      </c>
      <c r="AH24" s="36">
        <f t="shared" si="2"/>
        <v>0.82570408568028553</v>
      </c>
    </row>
    <row r="25" spans="1:34" ht="1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29">
        <f t="shared" si="3"/>
        <v>12</v>
      </c>
      <c r="Q25" s="30" t="s">
        <v>106</v>
      </c>
      <c r="R25" s="31">
        <v>45679</v>
      </c>
      <c r="S25" s="68"/>
      <c r="T25" s="32">
        <v>472</v>
      </c>
      <c r="U25" s="38">
        <v>542.79</v>
      </c>
      <c r="V25" s="74"/>
      <c r="W25" s="34">
        <f t="shared" si="9"/>
        <v>542.79</v>
      </c>
      <c r="X25" s="34">
        <f t="shared" si="0"/>
        <v>0.75743215730060776</v>
      </c>
      <c r="Y25" s="35" t="str">
        <f t="shared" si="5"/>
        <v/>
      </c>
      <c r="Z25" s="36">
        <f t="shared" si="6"/>
        <v>1.1499788135593219</v>
      </c>
      <c r="AA25" s="6"/>
      <c r="AB25" s="37">
        <v>25.21</v>
      </c>
      <c r="AC25" s="38">
        <v>29.225999999999999</v>
      </c>
      <c r="AD25" s="38"/>
      <c r="AE25" s="34">
        <f t="shared" si="7"/>
        <v>29.225999999999999</v>
      </c>
      <c r="AF25" s="34">
        <f t="shared" si="8"/>
        <v>1.2122246802641319</v>
      </c>
      <c r="AG25" s="35" t="str">
        <f t="shared" si="1"/>
        <v/>
      </c>
      <c r="AH25" s="36">
        <f t="shared" si="2"/>
        <v>1.1593018643395476</v>
      </c>
    </row>
    <row r="26" spans="1:34" ht="1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29">
        <f t="shared" si="3"/>
        <v>13</v>
      </c>
      <c r="Q26" s="30" t="s">
        <v>106</v>
      </c>
      <c r="R26" s="31">
        <v>45679</v>
      </c>
      <c r="S26" s="68"/>
      <c r="T26" s="32">
        <v>472</v>
      </c>
      <c r="U26" s="38">
        <v>574.19299999999998</v>
      </c>
      <c r="V26" s="74"/>
      <c r="W26" s="34">
        <f t="shared" si="9"/>
        <v>574.19299999999998</v>
      </c>
      <c r="X26" s="34">
        <f t="shared" si="0"/>
        <v>1.3250027271601577</v>
      </c>
      <c r="Y26" s="35" t="str">
        <f t="shared" si="5"/>
        <v/>
      </c>
      <c r="Z26" s="36">
        <f t="shared" si="6"/>
        <v>1.2165105932203391</v>
      </c>
      <c r="AA26" s="6"/>
      <c r="AB26" s="37">
        <v>25.21</v>
      </c>
      <c r="AC26" s="38">
        <v>23.456</v>
      </c>
      <c r="AD26" s="38"/>
      <c r="AE26" s="34">
        <f t="shared" si="7"/>
        <v>23.456</v>
      </c>
      <c r="AF26" s="34">
        <f t="shared" si="8"/>
        <v>0.59010710730448301</v>
      </c>
      <c r="AG26" s="35" t="str">
        <f t="shared" si="1"/>
        <v/>
      </c>
      <c r="AH26" s="36">
        <f t="shared" si="2"/>
        <v>0.93042443474811576</v>
      </c>
    </row>
    <row r="27" spans="1:34" ht="1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29">
        <f t="shared" si="3"/>
        <v>14</v>
      </c>
      <c r="Q27" s="30" t="s">
        <v>106</v>
      </c>
      <c r="R27" s="31">
        <v>45679</v>
      </c>
      <c r="S27" s="68"/>
      <c r="T27" s="32">
        <v>472</v>
      </c>
      <c r="U27" s="38">
        <v>546.64200000000005</v>
      </c>
      <c r="V27" s="74"/>
      <c r="W27" s="34">
        <f t="shared" si="9"/>
        <v>546.64200000000005</v>
      </c>
      <c r="X27" s="34">
        <f t="shared" si="0"/>
        <v>0.82705231572811577</v>
      </c>
      <c r="Y27" s="35" t="str">
        <f t="shared" si="5"/>
        <v/>
      </c>
      <c r="Z27" s="36">
        <f t="shared" si="6"/>
        <v>1.1581398305084747</v>
      </c>
      <c r="AA27" s="6"/>
      <c r="AB27" s="37">
        <v>25.21</v>
      </c>
      <c r="AC27" s="38">
        <v>26.31</v>
      </c>
      <c r="AD27" s="38"/>
      <c r="AE27" s="34">
        <f t="shared" si="7"/>
        <v>26.31</v>
      </c>
      <c r="AF27" s="34">
        <f t="shared" si="8"/>
        <v>0.30137554810640532</v>
      </c>
      <c r="AG27" s="35" t="str">
        <f t="shared" si="1"/>
        <v/>
      </c>
      <c r="AH27" s="36">
        <f t="shared" si="2"/>
        <v>1.0436334787782624</v>
      </c>
    </row>
    <row r="28" spans="1:34" ht="1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29">
        <f t="shared" si="3"/>
        <v>15</v>
      </c>
      <c r="Q28" s="30" t="s">
        <v>106</v>
      </c>
      <c r="R28" s="31">
        <v>45679</v>
      </c>
      <c r="S28" s="68"/>
      <c r="T28" s="32">
        <v>472</v>
      </c>
      <c r="U28" s="38">
        <v>507.411</v>
      </c>
      <c r="V28" s="74"/>
      <c r="W28" s="34">
        <f t="shared" si="9"/>
        <v>507.411</v>
      </c>
      <c r="X28" s="34">
        <f t="shared" si="0"/>
        <v>0.11800028164984248</v>
      </c>
      <c r="Y28" s="35" t="str">
        <f t="shared" si="5"/>
        <v/>
      </c>
      <c r="Z28" s="36">
        <f t="shared" si="6"/>
        <v>1.0750233050847458</v>
      </c>
      <c r="AA28" s="6"/>
      <c r="AB28" s="37">
        <v>25.21</v>
      </c>
      <c r="AC28" s="38">
        <v>25.084</v>
      </c>
      <c r="AD28" s="38"/>
      <c r="AE28" s="34">
        <f t="shared" si="7"/>
        <v>25.084</v>
      </c>
      <c r="AF28" s="34">
        <f t="shared" si="8"/>
        <v>8.1580911435903222E-2</v>
      </c>
      <c r="AG28" s="35" t="str">
        <f t="shared" si="1"/>
        <v/>
      </c>
      <c r="AH28" s="36">
        <f t="shared" si="2"/>
        <v>0.99500198333994438</v>
      </c>
    </row>
    <row r="29" spans="1:34" ht="1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 t="s">
        <v>107</v>
      </c>
      <c r="O29" s="8"/>
      <c r="P29" s="29">
        <f t="shared" si="3"/>
        <v>16</v>
      </c>
      <c r="Q29" s="30" t="s">
        <v>106</v>
      </c>
      <c r="R29" s="31">
        <v>45681</v>
      </c>
      <c r="S29" s="68"/>
      <c r="T29" s="32">
        <v>472</v>
      </c>
      <c r="U29" s="38">
        <v>493.714</v>
      </c>
      <c r="V29" s="74"/>
      <c r="W29" s="34">
        <f t="shared" si="9"/>
        <v>493.714</v>
      </c>
      <c r="X29" s="34">
        <f t="shared" si="0"/>
        <v>0.12955613319479822</v>
      </c>
      <c r="Y29" s="35" t="str">
        <f t="shared" si="5"/>
        <v/>
      </c>
      <c r="Z29" s="36">
        <f t="shared" si="6"/>
        <v>1.0460042372881355</v>
      </c>
      <c r="AA29" s="6"/>
      <c r="AB29" s="37">
        <v>25.21</v>
      </c>
      <c r="AC29" s="38">
        <v>23.061</v>
      </c>
      <c r="AD29" s="38"/>
      <c r="AE29" s="34">
        <f t="shared" si="7"/>
        <v>23.061</v>
      </c>
      <c r="AF29" s="34">
        <f t="shared" si="8"/>
        <v>0.71349030593353013</v>
      </c>
      <c r="AG29" s="35" t="str">
        <f t="shared" si="1"/>
        <v/>
      </c>
      <c r="AH29" s="36">
        <f t="shared" si="2"/>
        <v>0.91475604918683062</v>
      </c>
    </row>
    <row r="30" spans="1:34" ht="1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29">
        <f t="shared" si="3"/>
        <v>17</v>
      </c>
      <c r="Q30" s="30" t="s">
        <v>106</v>
      </c>
      <c r="R30" s="31">
        <v>45681</v>
      </c>
      <c r="S30" s="68"/>
      <c r="T30" s="32">
        <v>472</v>
      </c>
      <c r="U30" s="38">
        <v>461.452</v>
      </c>
      <c r="V30" s="74"/>
      <c r="W30" s="34">
        <f t="shared" si="9"/>
        <v>461.452</v>
      </c>
      <c r="X30" s="34">
        <f t="shared" si="0"/>
        <v>0.71265207067875791</v>
      </c>
      <c r="Y30" s="35" t="str">
        <f t="shared" si="5"/>
        <v/>
      </c>
      <c r="Z30" s="36">
        <f t="shared" si="6"/>
        <v>0.97765254237288135</v>
      </c>
      <c r="AA30" s="6"/>
      <c r="AB30" s="37">
        <v>25.21</v>
      </c>
      <c r="AC30" s="38">
        <v>21.887</v>
      </c>
      <c r="AD30" s="38"/>
      <c r="AE30" s="34">
        <f t="shared" si="7"/>
        <v>21.887</v>
      </c>
      <c r="AF30" s="34">
        <f t="shared" si="8"/>
        <v>1.0802039140107491</v>
      </c>
      <c r="AG30" s="35" t="str">
        <f t="shared" si="1"/>
        <v/>
      </c>
      <c r="AH30" s="36">
        <f t="shared" si="2"/>
        <v>0.86818722729075759</v>
      </c>
    </row>
    <row r="31" spans="1:34" ht="1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29">
        <f t="shared" si="3"/>
        <v>18</v>
      </c>
      <c r="Q31" s="30" t="s">
        <v>106</v>
      </c>
      <c r="R31" s="31">
        <v>45681</v>
      </c>
      <c r="S31" s="68"/>
      <c r="T31" s="32">
        <v>472</v>
      </c>
      <c r="U31" s="38">
        <v>549.15599999999995</v>
      </c>
      <c r="V31" s="74"/>
      <c r="W31" s="34">
        <f t="shared" si="9"/>
        <v>549.15599999999995</v>
      </c>
      <c r="X31" s="34">
        <f t="shared" si="0"/>
        <v>0.87248977115042736</v>
      </c>
      <c r="Y31" s="35" t="str">
        <f t="shared" si="5"/>
        <v/>
      </c>
      <c r="Z31" s="36">
        <f t="shared" si="6"/>
        <v>1.163466101694915</v>
      </c>
      <c r="AA31" s="6"/>
      <c r="AB31" s="37">
        <v>25.21</v>
      </c>
      <c r="AC31" s="38">
        <v>24.291</v>
      </c>
      <c r="AD31" s="38"/>
      <c r="AE31" s="34">
        <f t="shared" si="7"/>
        <v>24.291</v>
      </c>
      <c r="AF31" s="34">
        <f t="shared" si="8"/>
        <v>0.32928439627852202</v>
      </c>
      <c r="AG31" s="35" t="str">
        <f t="shared" si="1"/>
        <v/>
      </c>
      <c r="AH31" s="36">
        <f t="shared" si="2"/>
        <v>0.9635462118207061</v>
      </c>
    </row>
    <row r="32" spans="1:34" ht="1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29">
        <f t="shared" si="3"/>
        <v>19</v>
      </c>
      <c r="Q32" s="30" t="s">
        <v>106</v>
      </c>
      <c r="R32" s="31">
        <v>45681</v>
      </c>
      <c r="S32" s="68"/>
      <c r="T32" s="32">
        <v>472</v>
      </c>
      <c r="U32" s="38">
        <v>554.245</v>
      </c>
      <c r="V32" s="74"/>
      <c r="W32" s="34">
        <f t="shared" si="9"/>
        <v>554.245</v>
      </c>
      <c r="X32" s="34">
        <f t="shared" si="0"/>
        <v>0.96446718190784797</v>
      </c>
      <c r="Y32" s="35" t="str">
        <f t="shared" si="5"/>
        <v/>
      </c>
      <c r="Z32" s="36">
        <f t="shared" si="6"/>
        <v>1.1742478813559323</v>
      </c>
      <c r="AA32" s="6"/>
      <c r="AB32" s="37">
        <v>25.21</v>
      </c>
      <c r="AC32" s="38">
        <v>22.736000000000001</v>
      </c>
      <c r="AD32" s="38"/>
      <c r="AE32" s="34">
        <f t="shared" si="7"/>
        <v>22.736000000000001</v>
      </c>
      <c r="AF32" s="34">
        <f t="shared" si="8"/>
        <v>0.81500812759034102</v>
      </c>
      <c r="AG32" s="35" t="str">
        <f t="shared" si="1"/>
        <v/>
      </c>
      <c r="AH32" s="36">
        <f t="shared" si="2"/>
        <v>0.90186433954779854</v>
      </c>
    </row>
    <row r="33" spans="1:34" ht="1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29">
        <f t="shared" si="3"/>
        <v>20</v>
      </c>
      <c r="Q33" s="30" t="s">
        <v>106</v>
      </c>
      <c r="R33" s="31">
        <v>45681</v>
      </c>
      <c r="S33" s="68"/>
      <c r="T33" s="32">
        <v>472</v>
      </c>
      <c r="U33" s="38">
        <v>496.58199999999999</v>
      </c>
      <c r="V33" s="74"/>
      <c r="W33" s="34">
        <f t="shared" si="9"/>
        <v>496.58199999999999</v>
      </c>
      <c r="X33" s="34">
        <f t="shared" si="0"/>
        <v>7.7720563524474193E-2</v>
      </c>
      <c r="Y33" s="35" t="str">
        <f t="shared" si="5"/>
        <v/>
      </c>
      <c r="Z33" s="36">
        <f t="shared" si="6"/>
        <v>1.0520805084745763</v>
      </c>
      <c r="AA33" s="6"/>
      <c r="AB33" s="37">
        <v>25.21</v>
      </c>
      <c r="AC33" s="38">
        <v>22.742000000000001</v>
      </c>
      <c r="AD33" s="38"/>
      <c r="AE33" s="34">
        <f t="shared" si="7"/>
        <v>22.742000000000001</v>
      </c>
      <c r="AF33" s="34">
        <f t="shared" si="8"/>
        <v>0.81313395242129216</v>
      </c>
      <c r="AG33" s="35" t="str">
        <f t="shared" si="1"/>
        <v/>
      </c>
      <c r="AH33" s="36">
        <f t="shared" si="2"/>
        <v>0.90210234034113446</v>
      </c>
    </row>
    <row r="34" spans="1:34" ht="1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29">
        <f t="shared" si="3"/>
        <v>21</v>
      </c>
      <c r="Q34" s="30" t="s">
        <v>108</v>
      </c>
      <c r="R34" s="31">
        <v>45743</v>
      </c>
      <c r="S34" s="68"/>
      <c r="T34" s="39">
        <v>466</v>
      </c>
      <c r="U34" s="38">
        <v>510.50799999999998</v>
      </c>
      <c r="V34" s="74"/>
      <c r="W34" s="34">
        <f t="shared" si="9"/>
        <v>510.50799999999998</v>
      </c>
      <c r="X34" s="34">
        <f t="shared" si="0"/>
        <v>0.17397474443540481</v>
      </c>
      <c r="Y34" s="35" t="str">
        <f t="shared" si="5"/>
        <v/>
      </c>
      <c r="Z34" s="36">
        <f t="shared" si="6"/>
        <v>1.0955107296137339</v>
      </c>
      <c r="AA34" s="6"/>
      <c r="AB34" s="37">
        <v>25.87</v>
      </c>
      <c r="AC34" s="38">
        <v>27.277999999999999</v>
      </c>
      <c r="AD34" s="38"/>
      <c r="AE34" s="34">
        <f t="shared" si="7"/>
        <v>27.277999999999999</v>
      </c>
      <c r="AF34" s="34">
        <f t="shared" si="8"/>
        <v>0.6037424753796149</v>
      </c>
      <c r="AG34" s="35" t="str">
        <f t="shared" si="1"/>
        <v/>
      </c>
      <c r="AH34" s="36">
        <f t="shared" si="2"/>
        <v>1.0544259760340162</v>
      </c>
    </row>
    <row r="35" spans="1:34" ht="1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29">
        <f t="shared" si="3"/>
        <v>22</v>
      </c>
      <c r="Q35" s="30" t="s">
        <v>108</v>
      </c>
      <c r="R35" s="31">
        <v>45743</v>
      </c>
      <c r="S35" s="68"/>
      <c r="T35" s="39">
        <v>466</v>
      </c>
      <c r="U35" s="38">
        <v>421.71100000000001</v>
      </c>
      <c r="V35" s="74"/>
      <c r="W35" s="34">
        <f t="shared" si="9"/>
        <v>421.71100000000001</v>
      </c>
      <c r="X35" s="34">
        <f t="shared" si="0"/>
        <v>1.4309217269787404</v>
      </c>
      <c r="Y35" s="35" t="str">
        <f t="shared" si="5"/>
        <v/>
      </c>
      <c r="Z35" s="36">
        <f t="shared" si="6"/>
        <v>0.90495922746781121</v>
      </c>
      <c r="AA35" s="6"/>
      <c r="AB35" s="37">
        <v>25.87</v>
      </c>
      <c r="AC35" s="38">
        <v>21.945</v>
      </c>
      <c r="AD35" s="38"/>
      <c r="AE35" s="34">
        <f t="shared" si="7"/>
        <v>21.945</v>
      </c>
      <c r="AF35" s="34">
        <f t="shared" si="8"/>
        <v>1.0620868873766105</v>
      </c>
      <c r="AG35" s="35" t="str">
        <f t="shared" si="1"/>
        <v/>
      </c>
      <c r="AH35" s="36">
        <f t="shared" si="2"/>
        <v>0.84827986084267493</v>
      </c>
    </row>
    <row r="36" spans="1:34" ht="1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29">
        <f t="shared" si="3"/>
        <v>23</v>
      </c>
      <c r="Q36" s="30" t="s">
        <v>108</v>
      </c>
      <c r="R36" s="31">
        <v>45772</v>
      </c>
      <c r="S36" s="68"/>
      <c r="T36" s="39">
        <v>466</v>
      </c>
      <c r="U36" s="38">
        <v>396.03199999999998</v>
      </c>
      <c r="V36" s="74"/>
      <c r="W36" s="34">
        <f t="shared" si="9"/>
        <v>396.03199999999998</v>
      </c>
      <c r="X36" s="34">
        <f t="shared" si="0"/>
        <v>1.8950380427263884</v>
      </c>
      <c r="Y36" s="35" t="str">
        <f t="shared" si="5"/>
        <v/>
      </c>
      <c r="Z36" s="36">
        <f t="shared" si="6"/>
        <v>0.84985407725321882</v>
      </c>
      <c r="AA36" s="6"/>
      <c r="AB36" s="37">
        <v>25.87</v>
      </c>
      <c r="AC36" s="38">
        <v>22.166</v>
      </c>
      <c r="AD36" s="38"/>
      <c r="AE36" s="34">
        <f t="shared" si="7"/>
        <v>22.166</v>
      </c>
      <c r="AF36" s="34">
        <f t="shared" si="8"/>
        <v>0.99305476864997899</v>
      </c>
      <c r="AG36" s="35" t="str">
        <f t="shared" si="1"/>
        <v/>
      </c>
      <c r="AH36" s="36">
        <f t="shared" si="2"/>
        <v>0.85682257441051413</v>
      </c>
    </row>
    <row r="37" spans="1:34" ht="1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29">
        <f t="shared" si="3"/>
        <v>24</v>
      </c>
      <c r="Q37" s="30" t="s">
        <v>108</v>
      </c>
      <c r="R37" s="31">
        <v>45772</v>
      </c>
      <c r="S37" s="68"/>
      <c r="T37" s="39">
        <v>466</v>
      </c>
      <c r="U37" s="38">
        <v>372.01499999999999</v>
      </c>
      <c r="V37" s="74"/>
      <c r="W37" s="34">
        <f t="shared" si="9"/>
        <v>372.01499999999999</v>
      </c>
      <c r="X37" s="34">
        <f t="shared" si="0"/>
        <v>2.3291157542926975</v>
      </c>
      <c r="Y37" s="35">
        <f t="shared" si="5"/>
        <v>372.01499999999999</v>
      </c>
      <c r="Z37" s="36">
        <f t="shared" si="6"/>
        <v>0.79831545064377685</v>
      </c>
      <c r="AA37" s="6"/>
      <c r="AB37" s="37">
        <v>25.87</v>
      </c>
      <c r="AC37" s="38">
        <v>25.042000000000002</v>
      </c>
      <c r="AD37" s="38"/>
      <c r="AE37" s="34">
        <f t="shared" si="7"/>
        <v>25.042000000000002</v>
      </c>
      <c r="AF37" s="34">
        <f t="shared" si="8"/>
        <v>9.4700137619244354E-2</v>
      </c>
      <c r="AG37" s="35" t="str">
        <f t="shared" si="1"/>
        <v/>
      </c>
      <c r="AH37" s="36">
        <f t="shared" si="2"/>
        <v>0.96799381522999617</v>
      </c>
    </row>
    <row r="38" spans="1:34" ht="1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29">
        <f t="shared" si="3"/>
        <v>25</v>
      </c>
      <c r="Q38" s="30" t="s">
        <v>108</v>
      </c>
      <c r="R38" s="31">
        <v>45785</v>
      </c>
      <c r="S38" s="68"/>
      <c r="T38" s="39">
        <v>466</v>
      </c>
      <c r="U38" s="38">
        <v>429.90410000000003</v>
      </c>
      <c r="V38" s="74"/>
      <c r="W38" s="34">
        <f t="shared" si="9"/>
        <v>429.90410000000003</v>
      </c>
      <c r="X38" s="34">
        <f t="shared" si="0"/>
        <v>1.2828415296754165</v>
      </c>
      <c r="Y38" s="35" t="str">
        <f t="shared" si="5"/>
        <v/>
      </c>
      <c r="Z38" s="36">
        <f t="shared" si="6"/>
        <v>0.92254098712446353</v>
      </c>
      <c r="AA38" s="6"/>
      <c r="AB38" s="37">
        <v>25.87</v>
      </c>
      <c r="AC38" s="38">
        <v>23.879100000000001</v>
      </c>
      <c r="AD38" s="38"/>
      <c r="AE38" s="34">
        <f t="shared" si="7"/>
        <v>23.879100000000001</v>
      </c>
      <c r="AF38" s="34">
        <f t="shared" si="8"/>
        <v>0.45794652163372324</v>
      </c>
      <c r="AG38" s="35" t="str">
        <f t="shared" si="1"/>
        <v/>
      </c>
      <c r="AH38" s="36">
        <f t="shared" si="2"/>
        <v>0.92304213374565136</v>
      </c>
    </row>
    <row r="39" spans="1:34" ht="1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29">
        <f t="shared" si="3"/>
        <v>26</v>
      </c>
      <c r="Q39" s="30" t="s">
        <v>108</v>
      </c>
      <c r="R39" s="31">
        <v>45785</v>
      </c>
      <c r="S39" s="68"/>
      <c r="T39" s="39">
        <v>466</v>
      </c>
      <c r="U39" s="38">
        <v>483.5557</v>
      </c>
      <c r="V39" s="74"/>
      <c r="W39" s="34">
        <f t="shared" si="9"/>
        <v>483.5557</v>
      </c>
      <c r="X39" s="34">
        <f t="shared" si="0"/>
        <v>0.31315490145911246</v>
      </c>
      <c r="Y39" s="35" t="str">
        <f t="shared" si="5"/>
        <v/>
      </c>
      <c r="Z39" s="36">
        <f t="shared" si="6"/>
        <v>1.0376731759656652</v>
      </c>
      <c r="AA39" s="6"/>
      <c r="AB39" s="37">
        <v>25.87</v>
      </c>
      <c r="AC39" s="38">
        <v>27.347200000000001</v>
      </c>
      <c r="AD39" s="38"/>
      <c r="AE39" s="34">
        <f t="shared" si="7"/>
        <v>27.347200000000001</v>
      </c>
      <c r="AF39" s="34">
        <f t="shared" si="8"/>
        <v>0.62535796232931196</v>
      </c>
      <c r="AG39" s="35" t="str">
        <f t="shared" si="1"/>
        <v/>
      </c>
      <c r="AH39" s="36">
        <f t="shared" si="2"/>
        <v>1.0571008890606881</v>
      </c>
    </row>
    <row r="40" spans="1:34" ht="1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29">
        <f t="shared" si="3"/>
        <v>27</v>
      </c>
      <c r="Q40" s="30" t="s">
        <v>109</v>
      </c>
      <c r="R40" s="31">
        <v>45793</v>
      </c>
      <c r="S40" s="68"/>
      <c r="T40" s="39">
        <v>466</v>
      </c>
      <c r="U40" s="38">
        <v>474.36</v>
      </c>
      <c r="V40" s="74"/>
      <c r="W40" s="34">
        <f t="shared" si="9"/>
        <v>474.36</v>
      </c>
      <c r="X40" s="34">
        <f t="shared" si="0"/>
        <v>0.47935585962417482</v>
      </c>
      <c r="Y40" s="35" t="str">
        <f t="shared" si="5"/>
        <v/>
      </c>
      <c r="Z40" s="36">
        <f t="shared" si="6"/>
        <v>1.0179399141630903</v>
      </c>
      <c r="AA40" s="6"/>
      <c r="AB40" s="37">
        <v>25.87</v>
      </c>
      <c r="AC40" s="38">
        <v>20.827000000000002</v>
      </c>
      <c r="AD40" s="38"/>
      <c r="AE40" s="34">
        <f t="shared" si="7"/>
        <v>20.827000000000002</v>
      </c>
      <c r="AF40" s="34">
        <f t="shared" si="8"/>
        <v>1.4113081938760401</v>
      </c>
      <c r="AG40" s="35" t="str">
        <f t="shared" si="1"/>
        <v/>
      </c>
      <c r="AH40" s="36">
        <f t="shared" si="2"/>
        <v>0.80506378044066484</v>
      </c>
    </row>
    <row r="41" spans="1:34" ht="1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29">
        <f t="shared" si="3"/>
        <v>28</v>
      </c>
      <c r="Q41" s="30" t="s">
        <v>109</v>
      </c>
      <c r="R41" s="31">
        <v>45793</v>
      </c>
      <c r="S41" s="68"/>
      <c r="T41" s="39">
        <v>466</v>
      </c>
      <c r="U41" s="38">
        <v>512.90800000000002</v>
      </c>
      <c r="V41" s="74"/>
      <c r="W41" s="34">
        <f t="shared" si="9"/>
        <v>512.90800000000002</v>
      </c>
      <c r="X41" s="34">
        <f t="shared" si="0"/>
        <v>0.21735179018463061</v>
      </c>
      <c r="Y41" s="35" t="str">
        <f t="shared" si="5"/>
        <v/>
      </c>
      <c r="Z41" s="36">
        <f t="shared" si="6"/>
        <v>1.1006609442060087</v>
      </c>
      <c r="AA41" s="6"/>
      <c r="AB41" s="37">
        <v>25.87</v>
      </c>
      <c r="AC41" s="38">
        <v>21.565999999999999</v>
      </c>
      <c r="AD41" s="38"/>
      <c r="AE41" s="34">
        <f t="shared" si="7"/>
        <v>21.565999999999999</v>
      </c>
      <c r="AF41" s="34">
        <f t="shared" si="8"/>
        <v>1.1804722855548615</v>
      </c>
      <c r="AG41" s="35" t="str">
        <f t="shared" si="1"/>
        <v/>
      </c>
      <c r="AH41" s="36">
        <f t="shared" si="2"/>
        <v>0.83362968689601846</v>
      </c>
    </row>
    <row r="42" spans="1:34" ht="1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29">
        <f t="shared" si="3"/>
        <v>29</v>
      </c>
      <c r="Q42" s="30" t="s">
        <v>108</v>
      </c>
      <c r="R42" s="31">
        <v>45804</v>
      </c>
      <c r="S42" s="68"/>
      <c r="T42" s="39">
        <v>466</v>
      </c>
      <c r="U42" s="38">
        <v>502.83199999999999</v>
      </c>
      <c r="V42" s="74"/>
      <c r="W42" s="34">
        <f t="shared" si="9"/>
        <v>502.83199999999999</v>
      </c>
      <c r="X42" s="34">
        <f t="shared" si="0"/>
        <v>3.5240493114133097E-2</v>
      </c>
      <c r="Y42" s="35" t="str">
        <f t="shared" si="5"/>
        <v/>
      </c>
      <c r="Z42" s="36">
        <f t="shared" si="6"/>
        <v>1.0790386266094421</v>
      </c>
      <c r="AA42" s="6"/>
      <c r="AB42" s="37">
        <v>25.87</v>
      </c>
      <c r="AC42" s="38">
        <v>26.300999999999998</v>
      </c>
      <c r="AD42" s="38"/>
      <c r="AE42" s="34">
        <f t="shared" si="7"/>
        <v>26.300999999999998</v>
      </c>
      <c r="AF42" s="34">
        <f t="shared" si="8"/>
        <v>0.29856428535283197</v>
      </c>
      <c r="AG42" s="35" t="str">
        <f t="shared" si="1"/>
        <v/>
      </c>
      <c r="AH42" s="36">
        <f t="shared" si="2"/>
        <v>1.0166602241979126</v>
      </c>
    </row>
    <row r="43" spans="1:34" ht="1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29">
        <f t="shared" si="3"/>
        <v>30</v>
      </c>
      <c r="Q43" s="30" t="s">
        <v>108</v>
      </c>
      <c r="R43" s="31">
        <v>45804</v>
      </c>
      <c r="S43" s="68"/>
      <c r="T43" s="39">
        <v>466</v>
      </c>
      <c r="U43" s="38">
        <v>574.375</v>
      </c>
      <c r="V43" s="74"/>
      <c r="W43" s="34">
        <f t="shared" si="9"/>
        <v>574.375</v>
      </c>
      <c r="X43" s="34">
        <f t="shared" si="0"/>
        <v>1.3282921531294742</v>
      </c>
      <c r="Y43" s="35" t="str">
        <f t="shared" si="5"/>
        <v/>
      </c>
      <c r="Z43" s="36">
        <f t="shared" si="6"/>
        <v>1.2325643776824033</v>
      </c>
      <c r="AA43" s="6"/>
      <c r="AB43" s="37">
        <v>25.87</v>
      </c>
      <c r="AC43" s="38">
        <v>27.86</v>
      </c>
      <c r="AD43" s="38"/>
      <c r="AE43" s="34">
        <f t="shared" si="7"/>
        <v>27.86</v>
      </c>
      <c r="AF43" s="34">
        <f t="shared" si="8"/>
        <v>0.78553746677735059</v>
      </c>
      <c r="AG43" s="35" t="str">
        <f t="shared" si="1"/>
        <v/>
      </c>
      <c r="AH43" s="36">
        <f t="shared" si="2"/>
        <v>1.0769230769230769</v>
      </c>
    </row>
    <row r="44" spans="1:34" ht="1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29">
        <f t="shared" si="3"/>
        <v>31</v>
      </c>
      <c r="Q44" s="30" t="s">
        <v>108</v>
      </c>
      <c r="R44" s="31">
        <v>45825</v>
      </c>
      <c r="S44" s="68"/>
      <c r="T44" s="39">
        <v>466</v>
      </c>
      <c r="U44" s="38">
        <v>509.34899999999999</v>
      </c>
      <c r="V44" s="74"/>
      <c r="W44" s="34">
        <f t="shared" si="9"/>
        <v>509.34899999999999</v>
      </c>
      <c r="X44" s="34">
        <f t="shared" si="0"/>
        <v>0.15302724609234161</v>
      </c>
      <c r="Y44" s="35" t="str">
        <f t="shared" si="5"/>
        <v/>
      </c>
      <c r="Z44" s="36">
        <f t="shared" si="6"/>
        <v>1.0930236051502145</v>
      </c>
      <c r="AA44" s="6"/>
      <c r="AB44" s="37">
        <v>25.87</v>
      </c>
      <c r="AC44" s="38">
        <v>22.231999999999999</v>
      </c>
      <c r="AD44" s="38"/>
      <c r="AE44" s="34">
        <f t="shared" si="7"/>
        <v>22.231999999999999</v>
      </c>
      <c r="AF44" s="34">
        <f t="shared" si="8"/>
        <v>0.97243884179044227</v>
      </c>
      <c r="AG44" s="35" t="str">
        <f t="shared" si="1"/>
        <v/>
      </c>
      <c r="AH44" s="36">
        <f t="shared" si="2"/>
        <v>0.85937379203710851</v>
      </c>
    </row>
    <row r="45" spans="1:34" ht="1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29">
        <f t="shared" si="3"/>
        <v>32</v>
      </c>
      <c r="Q45" s="30" t="s">
        <v>108</v>
      </c>
      <c r="R45" s="31">
        <v>45825</v>
      </c>
      <c r="S45" s="68"/>
      <c r="T45" s="39">
        <v>466</v>
      </c>
      <c r="U45" s="38">
        <v>545.87099999999998</v>
      </c>
      <c r="V45" s="74"/>
      <c r="W45" s="34">
        <f t="shared" si="9"/>
        <v>545.87099999999998</v>
      </c>
      <c r="X45" s="34">
        <f t="shared" si="0"/>
        <v>0.8131174397811759</v>
      </c>
      <c r="Y45" s="35" t="str">
        <f t="shared" si="5"/>
        <v/>
      </c>
      <c r="Z45" s="36">
        <f t="shared" si="6"/>
        <v>1.1713969957081545</v>
      </c>
      <c r="AA45" s="6"/>
      <c r="AB45" s="37">
        <v>25.87</v>
      </c>
      <c r="AC45" s="38">
        <v>23.454999999999998</v>
      </c>
      <c r="AD45" s="38"/>
      <c r="AE45" s="34">
        <f t="shared" si="7"/>
        <v>23.454999999999998</v>
      </c>
      <c r="AF45" s="34">
        <f t="shared" si="8"/>
        <v>0.59041946983265825</v>
      </c>
      <c r="AG45" s="35" t="str">
        <f t="shared" si="1"/>
        <v/>
      </c>
      <c r="AH45" s="36">
        <f t="shared" si="2"/>
        <v>0.90664862775415533</v>
      </c>
    </row>
    <row r="46" spans="1:34" ht="1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29">
        <f t="shared" si="3"/>
        <v>33</v>
      </c>
      <c r="Q46" s="30" t="s">
        <v>108</v>
      </c>
      <c r="R46" s="31">
        <v>45825</v>
      </c>
      <c r="S46" s="68"/>
      <c r="T46" s="39">
        <v>466</v>
      </c>
      <c r="U46" s="38">
        <v>590.14599999999996</v>
      </c>
      <c r="V46" s="74"/>
      <c r="W46" s="34">
        <f t="shared" si="9"/>
        <v>590.14599999999996</v>
      </c>
      <c r="X46" s="34">
        <f t="shared" ref="X46:X77" si="10">IF(U46="","FALSE",ABS((U46-AVERAGE($U$14:$U$120))/_xlfn.STDEV.S($U$14:$U$104)))</f>
        <v>1.6133335650090694</v>
      </c>
      <c r="Y46" s="35" t="str">
        <f t="shared" si="5"/>
        <v/>
      </c>
      <c r="Z46" s="36">
        <f t="shared" si="6"/>
        <v>1.2664077253218884</v>
      </c>
      <c r="AA46" s="6"/>
      <c r="AB46" s="37">
        <v>25.87</v>
      </c>
      <c r="AC46" s="38">
        <v>24.178000000000001</v>
      </c>
      <c r="AD46" s="38"/>
      <c r="AE46" s="34">
        <f t="shared" si="7"/>
        <v>24.178000000000001</v>
      </c>
      <c r="AF46" s="34">
        <f t="shared" si="8"/>
        <v>0.36458136196227464</v>
      </c>
      <c r="AG46" s="35" t="str">
        <f t="shared" ref="AG46:AG78" si="11">IF(OR(AC46&gt;$AG$11,AC46&lt;$AF$11),AC46,"")</f>
        <v/>
      </c>
      <c r="AH46" s="36">
        <f t="shared" ref="AH46:AH77" si="12">IF(AC46="","",AC46/AB46)</f>
        <v>0.93459605720912253</v>
      </c>
    </row>
    <row r="47" spans="1:34" ht="1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29">
        <f t="shared" ref="P47:P78" si="13">IF(R47&lt;&gt;"",P46+1,"")</f>
        <v>34</v>
      </c>
      <c r="Q47" s="30" t="s">
        <v>108</v>
      </c>
      <c r="R47" s="31">
        <v>45825</v>
      </c>
      <c r="S47" s="68"/>
      <c r="T47" s="39">
        <v>466</v>
      </c>
      <c r="U47" s="38">
        <v>532.28499999999997</v>
      </c>
      <c r="V47" s="74"/>
      <c r="W47" s="34">
        <f t="shared" si="9"/>
        <v>532.28499999999997</v>
      </c>
      <c r="X47" s="34">
        <f t="shared" si="10"/>
        <v>0.56756721330243676</v>
      </c>
      <c r="Y47" s="35" t="str">
        <f t="shared" si="5"/>
        <v/>
      </c>
      <c r="Z47" s="36">
        <f t="shared" si="6"/>
        <v>1.1422424892703862</v>
      </c>
      <c r="AA47" s="6"/>
      <c r="AB47" s="37">
        <v>25.87</v>
      </c>
      <c r="AC47" s="38">
        <v>24.477</v>
      </c>
      <c r="AD47" s="38"/>
      <c r="AE47" s="34">
        <f t="shared" si="7"/>
        <v>24.477</v>
      </c>
      <c r="AF47" s="34">
        <f t="shared" si="8"/>
        <v>0.27118496603800862</v>
      </c>
      <c r="AG47" s="35" t="str">
        <f t="shared" si="11"/>
        <v/>
      </c>
      <c r="AH47" s="36">
        <f t="shared" si="12"/>
        <v>0.94615384615384612</v>
      </c>
    </row>
    <row r="48" spans="1:34" ht="1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29">
        <f t="shared" si="13"/>
        <v>35</v>
      </c>
      <c r="Q48" s="30" t="s">
        <v>106</v>
      </c>
      <c r="R48" s="31">
        <v>45860</v>
      </c>
      <c r="S48" s="68"/>
      <c r="T48" s="39">
        <v>466</v>
      </c>
      <c r="U48" s="38">
        <v>469.35700000000003</v>
      </c>
      <c r="V48" s="74"/>
      <c r="W48" s="34">
        <f t="shared" si="9"/>
        <v>469.35700000000003</v>
      </c>
      <c r="X48" s="34">
        <f t="shared" si="10"/>
        <v>0.56977892624224691</v>
      </c>
      <c r="Y48" s="35" t="str">
        <f t="shared" si="5"/>
        <v/>
      </c>
      <c r="Z48" s="36">
        <f t="shared" si="6"/>
        <v>1.0072038626609443</v>
      </c>
      <c r="AA48" s="6"/>
      <c r="AB48" s="37">
        <v>25.87</v>
      </c>
      <c r="AC48" s="38">
        <v>24.617000000000001</v>
      </c>
      <c r="AD48" s="38"/>
      <c r="AE48" s="34">
        <f t="shared" si="7"/>
        <v>24.617000000000001</v>
      </c>
      <c r="AF48" s="34">
        <f t="shared" si="8"/>
        <v>0.22745421209353597</v>
      </c>
      <c r="AG48" s="35" t="str">
        <f t="shared" si="11"/>
        <v/>
      </c>
      <c r="AH48" s="36">
        <f t="shared" si="12"/>
        <v>0.95156551990722849</v>
      </c>
    </row>
    <row r="49" spans="1:34" ht="1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29">
        <f t="shared" si="13"/>
        <v>36</v>
      </c>
      <c r="Q49" s="30" t="s">
        <v>106</v>
      </c>
      <c r="R49" s="31">
        <v>45860</v>
      </c>
      <c r="S49" s="68"/>
      <c r="T49" s="39">
        <v>466</v>
      </c>
      <c r="U49" s="38">
        <v>550.553</v>
      </c>
      <c r="V49" s="74"/>
      <c r="W49" s="34">
        <f t="shared" si="9"/>
        <v>550.553</v>
      </c>
      <c r="X49" s="34">
        <f t="shared" si="10"/>
        <v>0.89773882653028969</v>
      </c>
      <c r="Y49" s="35" t="str">
        <f t="shared" si="5"/>
        <v/>
      </c>
      <c r="Z49" s="36">
        <f t="shared" si="6"/>
        <v>1.1814442060085837</v>
      </c>
      <c r="AA49" s="6"/>
      <c r="AB49" s="37">
        <v>25.87</v>
      </c>
      <c r="AC49" s="38">
        <v>30.597000000000001</v>
      </c>
      <c r="AD49" s="38"/>
      <c r="AE49" s="34">
        <f t="shared" si="7"/>
        <v>30.597000000000001</v>
      </c>
      <c r="AF49" s="34">
        <f t="shared" si="8"/>
        <v>1.6404737063917878</v>
      </c>
      <c r="AG49" s="35" t="str">
        <f t="shared" si="11"/>
        <v/>
      </c>
      <c r="AH49" s="36">
        <f t="shared" si="12"/>
        <v>1.1827212988017008</v>
      </c>
    </row>
    <row r="50" spans="1:34" ht="1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29">
        <f t="shared" si="13"/>
        <v>37</v>
      </c>
      <c r="Q50" s="30" t="s">
        <v>106</v>
      </c>
      <c r="R50" s="31">
        <v>45912</v>
      </c>
      <c r="S50" s="68"/>
      <c r="T50" s="39">
        <v>466</v>
      </c>
      <c r="U50" s="38">
        <v>462.18</v>
      </c>
      <c r="V50" s="74"/>
      <c r="W50" s="34">
        <f t="shared" si="9"/>
        <v>462.18</v>
      </c>
      <c r="X50" s="34">
        <f t="shared" si="10"/>
        <v>0.6994943668014928</v>
      </c>
      <c r="Y50" s="35" t="str">
        <f t="shared" si="5"/>
        <v/>
      </c>
      <c r="Z50" s="36">
        <f t="shared" si="6"/>
        <v>0.99180257510729619</v>
      </c>
      <c r="AA50" s="6"/>
      <c r="AB50" s="37">
        <v>25.87</v>
      </c>
      <c r="AC50" s="38">
        <v>27.178000000000001</v>
      </c>
      <c r="AD50" s="38"/>
      <c r="AE50" s="34">
        <f t="shared" si="7"/>
        <v>27.178000000000001</v>
      </c>
      <c r="AF50" s="34">
        <f t="shared" si="8"/>
        <v>0.57250622256213524</v>
      </c>
      <c r="AG50" s="35" t="str">
        <f t="shared" si="11"/>
        <v/>
      </c>
      <c r="AH50" s="36">
        <f t="shared" si="12"/>
        <v>1.0505604947816003</v>
      </c>
    </row>
    <row r="51" spans="1:34" ht="1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29">
        <f t="shared" si="13"/>
        <v>38</v>
      </c>
      <c r="Q51" s="30" t="s">
        <v>106</v>
      </c>
      <c r="R51" s="31">
        <v>46044</v>
      </c>
      <c r="S51" s="68"/>
      <c r="T51" s="39">
        <v>466</v>
      </c>
      <c r="U51" s="38">
        <v>558.33699999999999</v>
      </c>
      <c r="V51" s="74"/>
      <c r="W51" s="34">
        <f t="shared" si="9"/>
        <v>558.33699999999999</v>
      </c>
      <c r="X51" s="34">
        <f t="shared" si="10"/>
        <v>1.0384250449102765</v>
      </c>
      <c r="Y51" s="35" t="str">
        <f t="shared" si="5"/>
        <v/>
      </c>
      <c r="Z51" s="36">
        <f t="shared" si="6"/>
        <v>1.1981480686695278</v>
      </c>
      <c r="AA51" s="6"/>
      <c r="AB51" s="37">
        <v>25.87</v>
      </c>
      <c r="AC51" s="38">
        <v>23.922000000000001</v>
      </c>
      <c r="AD51" s="38"/>
      <c r="AE51" s="34">
        <f t="shared" si="7"/>
        <v>23.922000000000001</v>
      </c>
      <c r="AF51" s="34">
        <f t="shared" si="8"/>
        <v>0.44454616917502432</v>
      </c>
      <c r="AG51" s="35" t="str">
        <f t="shared" si="11"/>
        <v/>
      </c>
      <c r="AH51" s="36">
        <f t="shared" si="12"/>
        <v>0.92470042520293771</v>
      </c>
    </row>
    <row r="52" spans="1:34" ht="1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29">
        <f t="shared" si="13"/>
        <v>39</v>
      </c>
      <c r="Q52" s="30" t="s">
        <v>106</v>
      </c>
      <c r="R52" s="31">
        <v>46044</v>
      </c>
      <c r="S52" s="68"/>
      <c r="T52" s="39">
        <v>466</v>
      </c>
      <c r="U52" s="38">
        <v>507.76499999999999</v>
      </c>
      <c r="V52" s="74"/>
      <c r="W52" s="34">
        <f t="shared" si="9"/>
        <v>507.76499999999999</v>
      </c>
      <c r="X52" s="34">
        <f t="shared" si="10"/>
        <v>0.12439839589785293</v>
      </c>
      <c r="Y52" s="35" t="str">
        <f t="shared" si="5"/>
        <v/>
      </c>
      <c r="Z52" s="36">
        <f t="shared" si="6"/>
        <v>1.0896244635193133</v>
      </c>
      <c r="AA52" s="6"/>
      <c r="AB52" s="37">
        <v>25.87</v>
      </c>
      <c r="AC52" s="38">
        <v>35.93</v>
      </c>
      <c r="AD52" s="38"/>
      <c r="AE52" s="34" t="str">
        <f t="shared" si="7"/>
        <v>FALSE</v>
      </c>
      <c r="AF52" s="34">
        <f t="shared" si="8"/>
        <v>3.3063030691480133</v>
      </c>
      <c r="AG52" s="35">
        <f t="shared" si="11"/>
        <v>35.93</v>
      </c>
      <c r="AH52" s="36">
        <f t="shared" si="12"/>
        <v>1.3888674139930421</v>
      </c>
    </row>
    <row r="53" spans="1:34" ht="1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29">
        <f t="shared" si="13"/>
        <v>40</v>
      </c>
      <c r="Q53" s="30" t="s">
        <v>106</v>
      </c>
      <c r="R53" s="31">
        <v>46048</v>
      </c>
      <c r="S53" s="68"/>
      <c r="T53" s="39">
        <v>466</v>
      </c>
      <c r="U53" s="38">
        <v>484.14699999999999</v>
      </c>
      <c r="V53" s="74"/>
      <c r="W53" s="34">
        <f t="shared" si="9"/>
        <v>484.14699999999999</v>
      </c>
      <c r="X53" s="34">
        <f t="shared" si="10"/>
        <v>0.30246788181264728</v>
      </c>
      <c r="Y53" s="35" t="str">
        <f t="shared" si="5"/>
        <v/>
      </c>
      <c r="Z53" s="36">
        <f t="shared" si="6"/>
        <v>1.0389420600858368</v>
      </c>
      <c r="AA53" s="6"/>
      <c r="AB53" s="37">
        <v>25.87</v>
      </c>
      <c r="AC53" s="38">
        <v>22.416</v>
      </c>
      <c r="AD53" s="38"/>
      <c r="AE53" s="34">
        <f t="shared" si="7"/>
        <v>22.416</v>
      </c>
      <c r="AF53" s="34">
        <f t="shared" si="8"/>
        <v>0.91496413660627818</v>
      </c>
      <c r="AG53" s="35" t="str">
        <f t="shared" si="11"/>
        <v/>
      </c>
      <c r="AH53" s="36">
        <f t="shared" si="12"/>
        <v>0.86648627754155394</v>
      </c>
    </row>
    <row r="54" spans="1:34" ht="1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29">
        <f t="shared" si="13"/>
        <v>41</v>
      </c>
      <c r="Q54" s="30" t="s">
        <v>106</v>
      </c>
      <c r="R54" s="31">
        <v>46048</v>
      </c>
      <c r="S54" s="68"/>
      <c r="T54" s="39">
        <v>466</v>
      </c>
      <c r="U54" s="38">
        <v>608.51800000000003</v>
      </c>
      <c r="V54" s="74"/>
      <c r="W54" s="34">
        <f t="shared" si="9"/>
        <v>608.51800000000003</v>
      </c>
      <c r="X54" s="34">
        <f t="shared" si="10"/>
        <v>1.9453848502193898</v>
      </c>
      <c r="Y54" s="35" t="str">
        <f t="shared" si="5"/>
        <v/>
      </c>
      <c r="Z54" s="36">
        <f t="shared" si="6"/>
        <v>1.3058326180257511</v>
      </c>
      <c r="AA54" s="6"/>
      <c r="AB54" s="37">
        <v>25.87</v>
      </c>
      <c r="AC54" s="38">
        <v>28.984000000000002</v>
      </c>
      <c r="AD54" s="38"/>
      <c r="AE54" s="34">
        <f t="shared" si="7"/>
        <v>28.984000000000002</v>
      </c>
      <c r="AF54" s="34">
        <f t="shared" si="8"/>
        <v>1.1366329484458302</v>
      </c>
      <c r="AG54" s="35" t="str">
        <f t="shared" si="11"/>
        <v/>
      </c>
      <c r="AH54" s="36">
        <f t="shared" si="12"/>
        <v>1.1203710862002318</v>
      </c>
    </row>
    <row r="55" spans="1:34" ht="1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29">
        <f t="shared" si="13"/>
        <v>42</v>
      </c>
      <c r="Q55" s="30" t="s">
        <v>106</v>
      </c>
      <c r="R55" s="31">
        <v>46065</v>
      </c>
      <c r="S55" s="68"/>
      <c r="T55" s="39">
        <v>466</v>
      </c>
      <c r="U55" s="38">
        <v>503.488</v>
      </c>
      <c r="V55" s="74"/>
      <c r="W55" s="34">
        <f t="shared" si="9"/>
        <v>503.488</v>
      </c>
      <c r="X55" s="34">
        <f t="shared" si="10"/>
        <v>4.7096885618921426E-2</v>
      </c>
      <c r="Y55" s="35" t="str">
        <f t="shared" si="5"/>
        <v/>
      </c>
      <c r="Z55" s="36">
        <f t="shared" si="6"/>
        <v>1.0804463519313305</v>
      </c>
      <c r="AA55" s="6"/>
      <c r="AB55" s="37">
        <v>25.87</v>
      </c>
      <c r="AC55" s="38">
        <v>24.626000000000001</v>
      </c>
      <c r="AD55" s="38"/>
      <c r="AE55" s="34">
        <f t="shared" si="7"/>
        <v>24.626000000000001</v>
      </c>
      <c r="AF55" s="34">
        <f t="shared" si="8"/>
        <v>0.22464294933996262</v>
      </c>
      <c r="AG55" s="35" t="str">
        <f t="shared" si="11"/>
        <v/>
      </c>
      <c r="AH55" s="36">
        <f t="shared" si="12"/>
        <v>0.95191341321994594</v>
      </c>
    </row>
    <row r="56" spans="1:34" ht="1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29" t="str">
        <f t="shared" si="13"/>
        <v/>
      </c>
      <c r="Q56" s="30"/>
      <c r="R56" s="31"/>
      <c r="S56" s="68"/>
      <c r="T56" s="39">
        <v>466</v>
      </c>
      <c r="U56" s="38"/>
      <c r="V56" s="74"/>
      <c r="W56" s="34" t="str">
        <f t="shared" si="9"/>
        <v>FALSE</v>
      </c>
      <c r="X56" s="34" t="str">
        <f t="shared" si="10"/>
        <v>FALSE</v>
      </c>
      <c r="Y56" s="35">
        <f t="shared" si="5"/>
        <v>0</v>
      </c>
      <c r="Z56" s="36" t="str">
        <f t="shared" si="6"/>
        <v/>
      </c>
      <c r="AA56" s="6"/>
      <c r="AB56" s="37">
        <v>25.87</v>
      </c>
      <c r="AC56" s="38"/>
      <c r="AD56" s="38"/>
      <c r="AE56" s="34" t="str">
        <f t="shared" si="7"/>
        <v>FALSE</v>
      </c>
      <c r="AF56" s="34" t="str">
        <f t="shared" si="8"/>
        <v>FALSE</v>
      </c>
      <c r="AG56" s="35">
        <f t="shared" si="11"/>
        <v>0</v>
      </c>
      <c r="AH56" s="36" t="str">
        <f t="shared" si="12"/>
        <v/>
      </c>
    </row>
    <row r="57" spans="1:34" ht="14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29" t="str">
        <f t="shared" si="13"/>
        <v/>
      </c>
      <c r="Q57" s="30"/>
      <c r="R57" s="31"/>
      <c r="S57" s="68"/>
      <c r="T57" s="39">
        <v>466</v>
      </c>
      <c r="U57" s="38"/>
      <c r="V57" s="74"/>
      <c r="W57" s="34" t="str">
        <f t="shared" si="9"/>
        <v>FALSE</v>
      </c>
      <c r="X57" s="34" t="str">
        <f t="shared" si="10"/>
        <v>FALSE</v>
      </c>
      <c r="Y57" s="35">
        <f t="shared" si="5"/>
        <v>0</v>
      </c>
      <c r="Z57" s="36" t="str">
        <f t="shared" si="6"/>
        <v/>
      </c>
      <c r="AA57" s="42"/>
      <c r="AB57" s="37">
        <v>25.87</v>
      </c>
      <c r="AC57" s="38"/>
      <c r="AD57" s="38"/>
      <c r="AE57" s="34" t="str">
        <f t="shared" si="7"/>
        <v>FALSE</v>
      </c>
      <c r="AF57" s="34" t="str">
        <f t="shared" si="8"/>
        <v>FALSE</v>
      </c>
      <c r="AG57" s="35">
        <f t="shared" si="11"/>
        <v>0</v>
      </c>
      <c r="AH57" s="36" t="str">
        <f t="shared" si="12"/>
        <v/>
      </c>
    </row>
    <row r="58" spans="1:34" ht="1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29" t="str">
        <f t="shared" si="13"/>
        <v/>
      </c>
      <c r="Q58" s="30"/>
      <c r="R58" s="31"/>
      <c r="S58" s="68"/>
      <c r="T58" s="39">
        <v>466</v>
      </c>
      <c r="U58" s="38"/>
      <c r="V58" s="74"/>
      <c r="W58" s="34" t="str">
        <f t="shared" si="9"/>
        <v>FALSE</v>
      </c>
      <c r="X58" s="34" t="str">
        <f t="shared" si="10"/>
        <v>FALSE</v>
      </c>
      <c r="Y58" s="35">
        <f t="shared" si="5"/>
        <v>0</v>
      </c>
      <c r="Z58" s="36" t="str">
        <f t="shared" si="6"/>
        <v/>
      </c>
      <c r="AA58" s="6"/>
      <c r="AB58" s="37">
        <v>25.87</v>
      </c>
      <c r="AC58" s="38"/>
      <c r="AD58" s="38"/>
      <c r="AE58" s="34" t="str">
        <f t="shared" si="7"/>
        <v>FALSE</v>
      </c>
      <c r="AF58" s="34" t="str">
        <f t="shared" si="8"/>
        <v>FALSE</v>
      </c>
      <c r="AG58" s="35">
        <f t="shared" si="11"/>
        <v>0</v>
      </c>
      <c r="AH58" s="36" t="str">
        <f t="shared" si="12"/>
        <v/>
      </c>
    </row>
    <row r="59" spans="1:34" ht="1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29" t="str">
        <f t="shared" si="13"/>
        <v/>
      </c>
      <c r="Q59" s="30"/>
      <c r="R59" s="31"/>
      <c r="S59" s="68"/>
      <c r="T59" s="40"/>
      <c r="U59" s="38"/>
      <c r="V59" s="74"/>
      <c r="W59" s="34" t="str">
        <f t="shared" si="9"/>
        <v>FALSE</v>
      </c>
      <c r="X59" s="34" t="str">
        <f t="shared" si="10"/>
        <v>FALSE</v>
      </c>
      <c r="Y59" s="35">
        <f t="shared" si="5"/>
        <v>0</v>
      </c>
      <c r="Z59" s="36" t="str">
        <f t="shared" si="6"/>
        <v/>
      </c>
      <c r="AA59" s="6"/>
      <c r="AB59" s="41"/>
      <c r="AC59" s="38"/>
      <c r="AD59" s="38"/>
      <c r="AE59" s="34" t="str">
        <f t="shared" si="7"/>
        <v>FALSE</v>
      </c>
      <c r="AF59" s="34" t="str">
        <f t="shared" si="8"/>
        <v>FALSE</v>
      </c>
      <c r="AG59" s="35">
        <f t="shared" si="11"/>
        <v>0</v>
      </c>
      <c r="AH59" s="36" t="str">
        <f t="shared" si="12"/>
        <v/>
      </c>
    </row>
    <row r="60" spans="1:34" ht="1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29" t="str">
        <f t="shared" si="13"/>
        <v/>
      </c>
      <c r="Q60" s="30"/>
      <c r="R60" s="31"/>
      <c r="S60" s="68"/>
      <c r="T60" s="40"/>
      <c r="U60" s="38"/>
      <c r="V60" s="74"/>
      <c r="W60" s="34" t="str">
        <f t="shared" si="9"/>
        <v>FALSE</v>
      </c>
      <c r="X60" s="34" t="str">
        <f t="shared" si="10"/>
        <v>FALSE</v>
      </c>
      <c r="Y60" s="35">
        <f t="shared" si="5"/>
        <v>0</v>
      </c>
      <c r="Z60" s="36" t="str">
        <f t="shared" si="6"/>
        <v/>
      </c>
      <c r="AA60" s="6"/>
      <c r="AB60" s="41"/>
      <c r="AC60" s="38"/>
      <c r="AD60" s="38"/>
      <c r="AE60" s="34" t="str">
        <f t="shared" si="7"/>
        <v>FALSE</v>
      </c>
      <c r="AF60" s="34" t="str">
        <f t="shared" si="8"/>
        <v>FALSE</v>
      </c>
      <c r="AG60" s="35">
        <f t="shared" si="11"/>
        <v>0</v>
      </c>
      <c r="AH60" s="36" t="str">
        <f t="shared" si="12"/>
        <v/>
      </c>
    </row>
    <row r="61" spans="1:34" ht="1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29" t="str">
        <f t="shared" si="13"/>
        <v/>
      </c>
      <c r="Q61" s="30"/>
      <c r="R61" s="31"/>
      <c r="S61" s="68"/>
      <c r="T61" s="40"/>
      <c r="U61" s="38"/>
      <c r="V61" s="74"/>
      <c r="W61" s="34" t="str">
        <f t="shared" si="9"/>
        <v>FALSE</v>
      </c>
      <c r="X61" s="34" t="str">
        <f t="shared" si="10"/>
        <v>FALSE</v>
      </c>
      <c r="Y61" s="35">
        <f t="shared" si="5"/>
        <v>0</v>
      </c>
      <c r="Z61" s="36" t="str">
        <f t="shared" si="6"/>
        <v/>
      </c>
      <c r="AA61" s="6"/>
      <c r="AB61" s="41"/>
      <c r="AC61" s="38"/>
      <c r="AD61" s="38"/>
      <c r="AE61" s="34" t="str">
        <f t="shared" si="7"/>
        <v>FALSE</v>
      </c>
      <c r="AF61" s="34" t="str">
        <f t="shared" si="8"/>
        <v>FALSE</v>
      </c>
      <c r="AG61" s="35">
        <f t="shared" si="11"/>
        <v>0</v>
      </c>
      <c r="AH61" s="36" t="str">
        <f t="shared" si="12"/>
        <v/>
      </c>
    </row>
    <row r="62" spans="1:34" ht="1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29" t="str">
        <f t="shared" si="13"/>
        <v/>
      </c>
      <c r="Q62" s="30"/>
      <c r="R62" s="31"/>
      <c r="S62" s="68"/>
      <c r="T62" s="40"/>
      <c r="U62" s="38"/>
      <c r="V62" s="74"/>
      <c r="W62" s="34" t="str">
        <f t="shared" si="9"/>
        <v>FALSE</v>
      </c>
      <c r="X62" s="34" t="str">
        <f t="shared" si="10"/>
        <v>FALSE</v>
      </c>
      <c r="Y62" s="35">
        <f t="shared" si="5"/>
        <v>0</v>
      </c>
      <c r="Z62" s="36" t="str">
        <f t="shared" si="6"/>
        <v/>
      </c>
      <c r="AA62" s="6"/>
      <c r="AB62" s="41"/>
      <c r="AC62" s="38"/>
      <c r="AD62" s="38"/>
      <c r="AE62" s="34" t="str">
        <f t="shared" si="7"/>
        <v>FALSE</v>
      </c>
      <c r="AF62" s="34" t="str">
        <f t="shared" si="8"/>
        <v>FALSE</v>
      </c>
      <c r="AG62" s="35">
        <f t="shared" si="11"/>
        <v>0</v>
      </c>
      <c r="AH62" s="36" t="str">
        <f t="shared" si="12"/>
        <v/>
      </c>
    </row>
    <row r="63" spans="1:34" ht="1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29" t="str">
        <f t="shared" si="13"/>
        <v/>
      </c>
      <c r="Q63" s="30"/>
      <c r="R63" s="31"/>
      <c r="S63" s="68"/>
      <c r="T63" s="40"/>
      <c r="U63" s="38"/>
      <c r="V63" s="74"/>
      <c r="W63" s="34" t="str">
        <f t="shared" si="9"/>
        <v>FALSE</v>
      </c>
      <c r="X63" s="34" t="str">
        <f t="shared" si="10"/>
        <v>FALSE</v>
      </c>
      <c r="Y63" s="35">
        <f t="shared" si="5"/>
        <v>0</v>
      </c>
      <c r="Z63" s="36" t="str">
        <f t="shared" si="6"/>
        <v/>
      </c>
      <c r="AA63" s="6"/>
      <c r="AB63" s="41"/>
      <c r="AC63" s="38"/>
      <c r="AD63" s="38"/>
      <c r="AE63" s="34"/>
      <c r="AF63" s="34" t="str">
        <f t="shared" si="8"/>
        <v>FALSE</v>
      </c>
      <c r="AG63" s="35">
        <f t="shared" si="11"/>
        <v>0</v>
      </c>
      <c r="AH63" s="36" t="str">
        <f t="shared" si="12"/>
        <v/>
      </c>
    </row>
    <row r="64" spans="1:34" ht="1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29" t="str">
        <f t="shared" si="13"/>
        <v/>
      </c>
      <c r="Q64" s="30"/>
      <c r="R64" s="31"/>
      <c r="S64" s="68"/>
      <c r="T64" s="40"/>
      <c r="U64" s="38"/>
      <c r="V64" s="74"/>
      <c r="W64" s="34" t="str">
        <f t="shared" si="9"/>
        <v>FALSE</v>
      </c>
      <c r="X64" s="34" t="str">
        <f t="shared" si="10"/>
        <v>FALSE</v>
      </c>
      <c r="Y64" s="35">
        <f t="shared" si="5"/>
        <v>0</v>
      </c>
      <c r="Z64" s="36" t="str">
        <f t="shared" si="6"/>
        <v/>
      </c>
      <c r="AA64" s="6"/>
      <c r="AB64" s="41"/>
      <c r="AC64" s="38"/>
      <c r="AD64" s="38"/>
      <c r="AE64" s="34"/>
      <c r="AF64" s="34" t="str">
        <f t="shared" si="8"/>
        <v>FALSE</v>
      </c>
      <c r="AG64" s="35">
        <f t="shared" si="11"/>
        <v>0</v>
      </c>
      <c r="AH64" s="36" t="str">
        <f t="shared" si="12"/>
        <v/>
      </c>
    </row>
    <row r="65" spans="1:34" ht="1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29" t="str">
        <f t="shared" si="13"/>
        <v/>
      </c>
      <c r="Q65" s="30"/>
      <c r="R65" s="31"/>
      <c r="S65" s="68"/>
      <c r="T65" s="40"/>
      <c r="U65" s="38"/>
      <c r="V65" s="74"/>
      <c r="W65" s="34" t="str">
        <f t="shared" si="9"/>
        <v>FALSE</v>
      </c>
      <c r="X65" s="34" t="str">
        <f t="shared" si="10"/>
        <v>FALSE</v>
      </c>
      <c r="Y65" s="35">
        <f t="shared" si="5"/>
        <v>0</v>
      </c>
      <c r="Z65" s="36" t="str">
        <f t="shared" si="6"/>
        <v/>
      </c>
      <c r="AA65" s="6"/>
      <c r="AB65" s="41"/>
      <c r="AC65" s="38"/>
      <c r="AD65" s="38"/>
      <c r="AE65" s="34"/>
      <c r="AF65" s="34" t="str">
        <f t="shared" si="8"/>
        <v>FALSE</v>
      </c>
      <c r="AG65" s="35">
        <f t="shared" si="11"/>
        <v>0</v>
      </c>
      <c r="AH65" s="36" t="str">
        <f t="shared" si="12"/>
        <v/>
      </c>
    </row>
    <row r="66" spans="1:34" ht="1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29" t="str">
        <f t="shared" si="13"/>
        <v/>
      </c>
      <c r="Q66" s="30"/>
      <c r="R66" s="31"/>
      <c r="S66" s="68"/>
      <c r="T66" s="40"/>
      <c r="U66" s="38"/>
      <c r="V66" s="74"/>
      <c r="W66" s="34" t="str">
        <f t="shared" si="9"/>
        <v>FALSE</v>
      </c>
      <c r="X66" s="34" t="str">
        <f t="shared" si="10"/>
        <v>FALSE</v>
      </c>
      <c r="Y66" s="35">
        <f t="shared" si="5"/>
        <v>0</v>
      </c>
      <c r="Z66" s="36" t="str">
        <f t="shared" si="6"/>
        <v/>
      </c>
      <c r="AA66" s="6"/>
      <c r="AB66" s="41"/>
      <c r="AC66" s="38"/>
      <c r="AD66" s="38"/>
      <c r="AE66" s="34"/>
      <c r="AF66" s="34" t="str">
        <f t="shared" si="8"/>
        <v>FALSE</v>
      </c>
      <c r="AG66" s="35">
        <f t="shared" si="11"/>
        <v>0</v>
      </c>
      <c r="AH66" s="36" t="str">
        <f t="shared" si="12"/>
        <v/>
      </c>
    </row>
    <row r="67" spans="1:34" ht="1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29" t="str">
        <f t="shared" si="13"/>
        <v/>
      </c>
      <c r="Q67" s="30"/>
      <c r="R67" s="31"/>
      <c r="S67" s="68"/>
      <c r="T67" s="40"/>
      <c r="U67" s="38"/>
      <c r="V67" s="74"/>
      <c r="W67" s="34" t="str">
        <f t="shared" si="9"/>
        <v>FALSE</v>
      </c>
      <c r="X67" s="34" t="str">
        <f t="shared" si="10"/>
        <v>FALSE</v>
      </c>
      <c r="Y67" s="35">
        <f t="shared" si="5"/>
        <v>0</v>
      </c>
      <c r="Z67" s="36" t="str">
        <f t="shared" si="6"/>
        <v/>
      </c>
      <c r="AA67" s="6"/>
      <c r="AB67" s="41"/>
      <c r="AC67" s="38"/>
      <c r="AD67" s="38"/>
      <c r="AE67" s="34"/>
      <c r="AF67" s="34" t="str">
        <f t="shared" si="8"/>
        <v>FALSE</v>
      </c>
      <c r="AG67" s="35">
        <f t="shared" si="11"/>
        <v>0</v>
      </c>
      <c r="AH67" s="36" t="str">
        <f t="shared" si="12"/>
        <v/>
      </c>
    </row>
    <row r="68" spans="1:34" ht="1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29" t="str">
        <f t="shared" si="13"/>
        <v/>
      </c>
      <c r="Q68" s="30"/>
      <c r="R68" s="31"/>
      <c r="S68" s="68"/>
      <c r="T68" s="40"/>
      <c r="U68" s="38"/>
      <c r="V68" s="74"/>
      <c r="W68" s="34" t="str">
        <f t="shared" si="9"/>
        <v>FALSE</v>
      </c>
      <c r="X68" s="34" t="str">
        <f t="shared" si="10"/>
        <v>FALSE</v>
      </c>
      <c r="Y68" s="35">
        <f t="shared" si="5"/>
        <v>0</v>
      </c>
      <c r="Z68" s="36" t="str">
        <f t="shared" si="6"/>
        <v/>
      </c>
      <c r="AA68" s="6"/>
      <c r="AB68" s="41"/>
      <c r="AC68" s="38"/>
      <c r="AD68" s="38"/>
      <c r="AE68" s="34"/>
      <c r="AF68" s="34" t="str">
        <f t="shared" si="8"/>
        <v>FALSE</v>
      </c>
      <c r="AG68" s="35">
        <f t="shared" si="11"/>
        <v>0</v>
      </c>
      <c r="AH68" s="36" t="str">
        <f t="shared" si="12"/>
        <v/>
      </c>
    </row>
    <row r="69" spans="1:34" ht="1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29" t="str">
        <f t="shared" si="13"/>
        <v/>
      </c>
      <c r="Q69" s="30"/>
      <c r="R69" s="31"/>
      <c r="S69" s="68"/>
      <c r="T69" s="40"/>
      <c r="U69" s="38"/>
      <c r="V69" s="74"/>
      <c r="W69" s="34" t="str">
        <f t="shared" si="9"/>
        <v>FALSE</v>
      </c>
      <c r="X69" s="34" t="str">
        <f t="shared" si="10"/>
        <v>FALSE</v>
      </c>
      <c r="Y69" s="35">
        <f t="shared" si="5"/>
        <v>0</v>
      </c>
      <c r="Z69" s="36" t="str">
        <f t="shared" si="6"/>
        <v/>
      </c>
      <c r="AA69" s="6"/>
      <c r="AB69" s="41"/>
      <c r="AC69" s="38"/>
      <c r="AD69" s="38"/>
      <c r="AE69" s="34"/>
      <c r="AF69" s="34" t="str">
        <f t="shared" si="8"/>
        <v>FALSE</v>
      </c>
      <c r="AG69" s="35">
        <f t="shared" si="11"/>
        <v>0</v>
      </c>
      <c r="AH69" s="36" t="str">
        <f t="shared" si="12"/>
        <v/>
      </c>
    </row>
    <row r="70" spans="1:34" ht="1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29" t="str">
        <f t="shared" si="13"/>
        <v/>
      </c>
      <c r="Q70" s="30"/>
      <c r="R70" s="31"/>
      <c r="S70" s="68"/>
      <c r="T70" s="40"/>
      <c r="U70" s="38"/>
      <c r="V70" s="74"/>
      <c r="W70" s="34" t="str">
        <f t="shared" si="9"/>
        <v>FALSE</v>
      </c>
      <c r="X70" s="34" t="str">
        <f t="shared" si="10"/>
        <v>FALSE</v>
      </c>
      <c r="Y70" s="35">
        <f t="shared" si="5"/>
        <v>0</v>
      </c>
      <c r="Z70" s="36" t="str">
        <f t="shared" si="6"/>
        <v/>
      </c>
      <c r="AA70" s="6"/>
      <c r="AB70" s="41"/>
      <c r="AC70" s="38"/>
      <c r="AD70" s="38"/>
      <c r="AE70" s="34"/>
      <c r="AF70" s="34" t="str">
        <f t="shared" si="8"/>
        <v>FALSE</v>
      </c>
      <c r="AG70" s="35">
        <f t="shared" si="11"/>
        <v>0</v>
      </c>
      <c r="AH70" s="36" t="str">
        <f t="shared" si="12"/>
        <v/>
      </c>
    </row>
    <row r="71" spans="1:34" ht="1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29" t="str">
        <f t="shared" si="13"/>
        <v/>
      </c>
      <c r="Q71" s="30"/>
      <c r="R71" s="31"/>
      <c r="S71" s="68"/>
      <c r="T71" s="40"/>
      <c r="U71" s="38"/>
      <c r="V71" s="74"/>
      <c r="W71" s="34" t="str">
        <f t="shared" si="9"/>
        <v>FALSE</v>
      </c>
      <c r="X71" s="34" t="str">
        <f t="shared" si="10"/>
        <v>FALSE</v>
      </c>
      <c r="Y71" s="35">
        <f t="shared" si="5"/>
        <v>0</v>
      </c>
      <c r="Z71" s="36" t="str">
        <f t="shared" si="6"/>
        <v/>
      </c>
      <c r="AA71" s="6"/>
      <c r="AB71" s="41"/>
      <c r="AC71" s="38"/>
      <c r="AD71" s="38"/>
      <c r="AE71" s="34"/>
      <c r="AF71" s="34" t="str">
        <f t="shared" si="8"/>
        <v>FALSE</v>
      </c>
      <c r="AG71" s="35">
        <f t="shared" si="11"/>
        <v>0</v>
      </c>
      <c r="AH71" s="36" t="str">
        <f t="shared" si="12"/>
        <v/>
      </c>
    </row>
    <row r="72" spans="1:34" ht="1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29" t="str">
        <f t="shared" si="13"/>
        <v/>
      </c>
      <c r="Q72" s="30"/>
      <c r="R72" s="31"/>
      <c r="S72" s="68"/>
      <c r="T72" s="40"/>
      <c r="U72" s="38"/>
      <c r="V72" s="74"/>
      <c r="W72" s="34" t="str">
        <f t="shared" si="9"/>
        <v>FALSE</v>
      </c>
      <c r="X72" s="34" t="str">
        <f t="shared" si="10"/>
        <v>FALSE</v>
      </c>
      <c r="Y72" s="35">
        <f t="shared" si="5"/>
        <v>0</v>
      </c>
      <c r="Z72" s="36" t="str">
        <f t="shared" si="6"/>
        <v/>
      </c>
      <c r="AA72" s="6"/>
      <c r="AB72" s="41"/>
      <c r="AC72" s="38"/>
      <c r="AD72" s="38"/>
      <c r="AE72" s="34"/>
      <c r="AF72" s="34" t="str">
        <f t="shared" si="8"/>
        <v>FALSE</v>
      </c>
      <c r="AG72" s="35">
        <f t="shared" si="11"/>
        <v>0</v>
      </c>
      <c r="AH72" s="36" t="str">
        <f t="shared" si="12"/>
        <v/>
      </c>
    </row>
    <row r="73" spans="1:34" ht="1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29" t="str">
        <f t="shared" si="13"/>
        <v/>
      </c>
      <c r="Q73" s="30"/>
      <c r="R73" s="31"/>
      <c r="S73" s="68"/>
      <c r="T73" s="40"/>
      <c r="U73" s="38"/>
      <c r="V73" s="74"/>
      <c r="W73" s="34" t="str">
        <f t="shared" si="9"/>
        <v>FALSE</v>
      </c>
      <c r="X73" s="34" t="str">
        <f t="shared" si="10"/>
        <v>FALSE</v>
      </c>
      <c r="Y73" s="35">
        <f t="shared" si="5"/>
        <v>0</v>
      </c>
      <c r="Z73" s="36" t="str">
        <f t="shared" si="6"/>
        <v/>
      </c>
      <c r="AA73" s="6"/>
      <c r="AB73" s="41"/>
      <c r="AC73" s="38"/>
      <c r="AD73" s="38"/>
      <c r="AE73" s="34"/>
      <c r="AF73" s="34" t="str">
        <f t="shared" si="8"/>
        <v>FALSE</v>
      </c>
      <c r="AG73" s="35">
        <f t="shared" si="11"/>
        <v>0</v>
      </c>
      <c r="AH73" s="36" t="str">
        <f t="shared" si="12"/>
        <v/>
      </c>
    </row>
    <row r="74" spans="1:34" ht="1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29" t="str">
        <f t="shared" si="13"/>
        <v/>
      </c>
      <c r="Q74" s="30"/>
      <c r="R74" s="31"/>
      <c r="S74" s="68"/>
      <c r="T74" s="40"/>
      <c r="U74" s="38"/>
      <c r="V74" s="74"/>
      <c r="W74" s="34" t="str">
        <f t="shared" si="9"/>
        <v>FALSE</v>
      </c>
      <c r="X74" s="34" t="str">
        <f t="shared" si="10"/>
        <v>FALSE</v>
      </c>
      <c r="Y74" s="35">
        <f t="shared" si="5"/>
        <v>0</v>
      </c>
      <c r="Z74" s="36" t="str">
        <f t="shared" si="6"/>
        <v/>
      </c>
      <c r="AA74" s="6"/>
      <c r="AB74" s="41"/>
      <c r="AC74" s="38"/>
      <c r="AD74" s="38"/>
      <c r="AE74" s="34"/>
      <c r="AF74" s="34" t="str">
        <f t="shared" si="8"/>
        <v>FALSE</v>
      </c>
      <c r="AG74" s="35">
        <f t="shared" si="11"/>
        <v>0</v>
      </c>
      <c r="AH74" s="36" t="str">
        <f t="shared" si="12"/>
        <v/>
      </c>
    </row>
    <row r="75" spans="1:34" ht="1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29" t="str">
        <f t="shared" si="13"/>
        <v/>
      </c>
      <c r="Q75" s="30"/>
      <c r="R75" s="31"/>
      <c r="S75" s="68"/>
      <c r="T75" s="40"/>
      <c r="U75" s="38"/>
      <c r="V75" s="74"/>
      <c r="W75" s="34" t="str">
        <f t="shared" si="9"/>
        <v>FALSE</v>
      </c>
      <c r="X75" s="34" t="str">
        <f t="shared" si="10"/>
        <v>FALSE</v>
      </c>
      <c r="Y75" s="35">
        <f t="shared" si="5"/>
        <v>0</v>
      </c>
      <c r="Z75" s="36" t="str">
        <f t="shared" si="6"/>
        <v/>
      </c>
      <c r="AA75" s="6"/>
      <c r="AB75" s="41"/>
      <c r="AC75" s="38"/>
      <c r="AD75" s="38"/>
      <c r="AE75" s="34"/>
      <c r="AF75" s="34" t="str">
        <f t="shared" si="8"/>
        <v>FALSE</v>
      </c>
      <c r="AG75" s="35">
        <f t="shared" si="11"/>
        <v>0</v>
      </c>
      <c r="AH75" s="36" t="str">
        <f t="shared" si="12"/>
        <v/>
      </c>
    </row>
    <row r="76" spans="1:34" ht="1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29" t="str">
        <f t="shared" si="13"/>
        <v/>
      </c>
      <c r="Q76" s="30"/>
      <c r="R76" s="31"/>
      <c r="S76" s="68"/>
      <c r="T76" s="40"/>
      <c r="U76" s="38"/>
      <c r="V76" s="74"/>
      <c r="W76" s="34" t="str">
        <f t="shared" si="9"/>
        <v>FALSE</v>
      </c>
      <c r="X76" s="34" t="str">
        <f t="shared" si="10"/>
        <v>FALSE</v>
      </c>
      <c r="Y76" s="35">
        <f t="shared" si="5"/>
        <v>0</v>
      </c>
      <c r="Z76" s="36" t="str">
        <f t="shared" si="6"/>
        <v/>
      </c>
      <c r="AA76" s="6"/>
      <c r="AB76" s="41"/>
      <c r="AC76" s="38"/>
      <c r="AD76" s="38"/>
      <c r="AE76" s="34"/>
      <c r="AF76" s="34" t="str">
        <f t="shared" si="8"/>
        <v>FALSE</v>
      </c>
      <c r="AG76" s="35">
        <f t="shared" si="11"/>
        <v>0</v>
      </c>
      <c r="AH76" s="36" t="str">
        <f t="shared" si="12"/>
        <v/>
      </c>
    </row>
    <row r="77" spans="1:34" ht="1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29" t="str">
        <f t="shared" si="13"/>
        <v/>
      </c>
      <c r="Q77" s="30"/>
      <c r="R77" s="31"/>
      <c r="S77" s="68"/>
      <c r="T77" s="40"/>
      <c r="U77" s="38"/>
      <c r="V77" s="74"/>
      <c r="W77" s="34" t="str">
        <f t="shared" si="9"/>
        <v>FALSE</v>
      </c>
      <c r="X77" s="34" t="str">
        <f t="shared" si="10"/>
        <v>FALSE</v>
      </c>
      <c r="Y77" s="35">
        <f t="shared" si="5"/>
        <v>0</v>
      </c>
      <c r="Z77" s="36" t="str">
        <f t="shared" si="6"/>
        <v/>
      </c>
      <c r="AA77" s="6"/>
      <c r="AB77" s="41"/>
      <c r="AC77" s="38"/>
      <c r="AD77" s="38"/>
      <c r="AE77" s="34"/>
      <c r="AF77" s="34" t="str">
        <f t="shared" si="8"/>
        <v>FALSE</v>
      </c>
      <c r="AG77" s="35">
        <f t="shared" si="11"/>
        <v>0</v>
      </c>
      <c r="AH77" s="36" t="str">
        <f t="shared" si="12"/>
        <v/>
      </c>
    </row>
    <row r="78" spans="1:34" ht="1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29" t="str">
        <f t="shared" si="13"/>
        <v/>
      </c>
      <c r="Q78" s="30"/>
      <c r="R78" s="31"/>
      <c r="S78" s="68"/>
      <c r="T78" s="40"/>
      <c r="U78" s="38"/>
      <c r="V78" s="74"/>
      <c r="W78" s="34" t="str">
        <f t="shared" si="9"/>
        <v>FALSE</v>
      </c>
      <c r="X78" s="34" t="str">
        <f t="shared" ref="X78:X109" si="14">IF(U78="","FALSE",ABS((U78-AVERAGE($U$14:$U$120))/_xlfn.STDEV.S($U$14:$U$104)))</f>
        <v>FALSE</v>
      </c>
      <c r="Y78" s="35">
        <f t="shared" si="5"/>
        <v>0</v>
      </c>
      <c r="Z78" s="36" t="str">
        <f t="shared" si="6"/>
        <v/>
      </c>
      <c r="AA78" s="6"/>
      <c r="AB78" s="41"/>
      <c r="AC78" s="38"/>
      <c r="AD78" s="38"/>
      <c r="AE78" s="34"/>
      <c r="AF78" s="34" t="str">
        <f t="shared" si="8"/>
        <v>FALSE</v>
      </c>
      <c r="AG78" s="35">
        <f t="shared" si="11"/>
        <v>0</v>
      </c>
      <c r="AH78" s="36" t="str">
        <f t="shared" ref="AH78:AH109" si="15">IF(AC78="","",AC78/AB78)</f>
        <v/>
      </c>
    </row>
    <row r="79" spans="1:34" ht="1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29" t="str">
        <f t="shared" ref="P79:P110" si="16">IF(R79&lt;&gt;"",P78+1,"")</f>
        <v/>
      </c>
      <c r="Q79" s="30"/>
      <c r="R79" s="31"/>
      <c r="S79" s="68"/>
      <c r="T79" s="40"/>
      <c r="U79" s="38"/>
      <c r="V79" s="74"/>
      <c r="W79" s="34" t="str">
        <f t="shared" si="9"/>
        <v>FALSE</v>
      </c>
      <c r="X79" s="34" t="str">
        <f t="shared" si="14"/>
        <v>FALSE</v>
      </c>
      <c r="Y79" s="35">
        <f t="shared" ref="Y79:Y120" si="17">IF(OR(U79&gt;$Y$11,U79&lt;$X$11),U79,"")</f>
        <v>0</v>
      </c>
      <c r="Z79" s="36" t="str">
        <f t="shared" ref="Z79:Z120" si="18">IF(U79="","",U79/T79)</f>
        <v/>
      </c>
      <c r="AA79" s="6"/>
      <c r="AB79" s="41"/>
      <c r="AC79" s="38"/>
      <c r="AD79" s="38"/>
      <c r="AE79" s="34"/>
      <c r="AF79" s="34" t="str">
        <f t="shared" ref="AF79:AF120" si="19">IF(AC79="","FALSE",ABS((AC79-AVERAGE($AC$14:$AC$120))/_xlfn.STDEV.S($AC$14:$AC$104)))</f>
        <v>FALSE</v>
      </c>
      <c r="AG79" s="35">
        <f t="shared" ref="AG79:AG120" si="20">IF(OR(AC79&gt;$AG$11,AC79&lt;$AF$11),AC79,"")</f>
        <v>0</v>
      </c>
      <c r="AH79" s="36" t="str">
        <f t="shared" si="15"/>
        <v/>
      </c>
    </row>
    <row r="80" spans="1:34" ht="1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29" t="str">
        <f t="shared" si="16"/>
        <v/>
      </c>
      <c r="Q80" s="30"/>
      <c r="R80" s="31"/>
      <c r="S80" s="68"/>
      <c r="T80" s="40"/>
      <c r="U80" s="38"/>
      <c r="V80" s="74"/>
      <c r="W80" s="34" t="str">
        <f t="shared" si="9"/>
        <v>FALSE</v>
      </c>
      <c r="X80" s="34" t="str">
        <f t="shared" si="14"/>
        <v>FALSE</v>
      </c>
      <c r="Y80" s="35">
        <f t="shared" si="17"/>
        <v>0</v>
      </c>
      <c r="Z80" s="36" t="str">
        <f t="shared" si="18"/>
        <v/>
      </c>
      <c r="AA80" s="6"/>
      <c r="AB80" s="41"/>
      <c r="AC80" s="38"/>
      <c r="AD80" s="38"/>
      <c r="AE80" s="34"/>
      <c r="AF80" s="34" t="str">
        <f t="shared" si="19"/>
        <v>FALSE</v>
      </c>
      <c r="AG80" s="35">
        <f t="shared" si="20"/>
        <v>0</v>
      </c>
      <c r="AH80" s="36" t="str">
        <f t="shared" si="15"/>
        <v/>
      </c>
    </row>
    <row r="81" spans="1:34" ht="1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29" t="str">
        <f t="shared" si="16"/>
        <v/>
      </c>
      <c r="Q81" s="30"/>
      <c r="R81" s="31"/>
      <c r="S81" s="68"/>
      <c r="T81" s="40"/>
      <c r="U81" s="38"/>
      <c r="V81" s="74"/>
      <c r="W81" s="34" t="str">
        <f t="shared" si="9"/>
        <v>FALSE</v>
      </c>
      <c r="X81" s="34" t="str">
        <f t="shared" si="14"/>
        <v>FALSE</v>
      </c>
      <c r="Y81" s="35">
        <f t="shared" si="17"/>
        <v>0</v>
      </c>
      <c r="Z81" s="36" t="str">
        <f t="shared" si="18"/>
        <v/>
      </c>
      <c r="AA81" s="6"/>
      <c r="AB81" s="41"/>
      <c r="AC81" s="38"/>
      <c r="AD81" s="38"/>
      <c r="AE81" s="34"/>
      <c r="AF81" s="34" t="str">
        <f t="shared" si="19"/>
        <v>FALSE</v>
      </c>
      <c r="AG81" s="35">
        <f t="shared" si="20"/>
        <v>0</v>
      </c>
      <c r="AH81" s="36" t="str">
        <f t="shared" si="15"/>
        <v/>
      </c>
    </row>
    <row r="82" spans="1:34" ht="1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29" t="str">
        <f t="shared" si="16"/>
        <v/>
      </c>
      <c r="Q82" s="30"/>
      <c r="R82" s="31"/>
      <c r="S82" s="68"/>
      <c r="T82" s="40"/>
      <c r="U82" s="38"/>
      <c r="V82" s="74"/>
      <c r="W82" s="34" t="str">
        <f t="shared" si="9"/>
        <v>FALSE</v>
      </c>
      <c r="X82" s="34" t="str">
        <f t="shared" si="14"/>
        <v>FALSE</v>
      </c>
      <c r="Y82" s="35">
        <f t="shared" si="17"/>
        <v>0</v>
      </c>
      <c r="Z82" s="36" t="str">
        <f t="shared" si="18"/>
        <v/>
      </c>
      <c r="AA82" s="6"/>
      <c r="AB82" s="41"/>
      <c r="AC82" s="38"/>
      <c r="AD82" s="38"/>
      <c r="AE82" s="34"/>
      <c r="AF82" s="34" t="str">
        <f t="shared" si="19"/>
        <v>FALSE</v>
      </c>
      <c r="AG82" s="35">
        <f t="shared" si="20"/>
        <v>0</v>
      </c>
      <c r="AH82" s="36" t="str">
        <f t="shared" si="15"/>
        <v/>
      </c>
    </row>
    <row r="83" spans="1:34" ht="1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29" t="str">
        <f t="shared" si="16"/>
        <v/>
      </c>
      <c r="Q83" s="30"/>
      <c r="R83" s="31"/>
      <c r="S83" s="68"/>
      <c r="T83" s="40"/>
      <c r="U83" s="38"/>
      <c r="V83" s="74"/>
      <c r="W83" s="34" t="str">
        <f t="shared" si="9"/>
        <v>FALSE</v>
      </c>
      <c r="X83" s="34" t="str">
        <f t="shared" si="14"/>
        <v>FALSE</v>
      </c>
      <c r="Y83" s="35">
        <f t="shared" si="17"/>
        <v>0</v>
      </c>
      <c r="Z83" s="36" t="str">
        <f t="shared" si="18"/>
        <v/>
      </c>
      <c r="AA83" s="6"/>
      <c r="AB83" s="41"/>
      <c r="AC83" s="38"/>
      <c r="AD83" s="38"/>
      <c r="AE83" s="34"/>
      <c r="AF83" s="34" t="str">
        <f t="shared" si="19"/>
        <v>FALSE</v>
      </c>
      <c r="AG83" s="35">
        <f t="shared" si="20"/>
        <v>0</v>
      </c>
      <c r="AH83" s="36" t="str">
        <f t="shared" si="15"/>
        <v/>
      </c>
    </row>
    <row r="84" spans="1:34" ht="1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29" t="str">
        <f t="shared" si="16"/>
        <v/>
      </c>
      <c r="Q84" s="30"/>
      <c r="R84" s="31"/>
      <c r="S84" s="68"/>
      <c r="T84" s="40"/>
      <c r="U84" s="38"/>
      <c r="V84" s="74"/>
      <c r="W84" s="34" t="str">
        <f t="shared" ref="W84:W120" si="21">IF(X84&gt;3,"FALSE",U84)</f>
        <v>FALSE</v>
      </c>
      <c r="X84" s="34" t="str">
        <f t="shared" si="14"/>
        <v>FALSE</v>
      </c>
      <c r="Y84" s="35">
        <f t="shared" si="17"/>
        <v>0</v>
      </c>
      <c r="Z84" s="36" t="str">
        <f t="shared" si="18"/>
        <v/>
      </c>
      <c r="AA84" s="6"/>
      <c r="AB84" s="41"/>
      <c r="AC84" s="38"/>
      <c r="AD84" s="38"/>
      <c r="AE84" s="34"/>
      <c r="AF84" s="34" t="str">
        <f t="shared" si="19"/>
        <v>FALSE</v>
      </c>
      <c r="AG84" s="35">
        <f t="shared" si="20"/>
        <v>0</v>
      </c>
      <c r="AH84" s="36" t="str">
        <f t="shared" si="15"/>
        <v/>
      </c>
    </row>
    <row r="85" spans="1:34" ht="1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29" t="str">
        <f t="shared" si="16"/>
        <v/>
      </c>
      <c r="Q85" s="30"/>
      <c r="R85" s="31"/>
      <c r="S85" s="68"/>
      <c r="T85" s="40"/>
      <c r="U85" s="38"/>
      <c r="V85" s="74"/>
      <c r="W85" s="34" t="str">
        <f t="shared" si="21"/>
        <v>FALSE</v>
      </c>
      <c r="X85" s="34" t="str">
        <f t="shared" si="14"/>
        <v>FALSE</v>
      </c>
      <c r="Y85" s="35">
        <f t="shared" si="17"/>
        <v>0</v>
      </c>
      <c r="Z85" s="36" t="str">
        <f t="shared" si="18"/>
        <v/>
      </c>
      <c r="AA85" s="6"/>
      <c r="AB85" s="41"/>
      <c r="AC85" s="38"/>
      <c r="AD85" s="38"/>
      <c r="AE85" s="34"/>
      <c r="AF85" s="34" t="str">
        <f t="shared" si="19"/>
        <v>FALSE</v>
      </c>
      <c r="AG85" s="35">
        <f t="shared" si="20"/>
        <v>0</v>
      </c>
      <c r="AH85" s="36" t="str">
        <f t="shared" si="15"/>
        <v/>
      </c>
    </row>
    <row r="86" spans="1:34" ht="1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29" t="str">
        <f t="shared" si="16"/>
        <v/>
      </c>
      <c r="Q86" s="30"/>
      <c r="R86" s="31"/>
      <c r="S86" s="68"/>
      <c r="T86" s="40"/>
      <c r="U86" s="38"/>
      <c r="V86" s="74"/>
      <c r="W86" s="34" t="str">
        <f t="shared" si="21"/>
        <v>FALSE</v>
      </c>
      <c r="X86" s="34" t="str">
        <f t="shared" si="14"/>
        <v>FALSE</v>
      </c>
      <c r="Y86" s="35">
        <f t="shared" si="17"/>
        <v>0</v>
      </c>
      <c r="Z86" s="36" t="str">
        <f t="shared" si="18"/>
        <v/>
      </c>
      <c r="AA86" s="6"/>
      <c r="AB86" s="41"/>
      <c r="AC86" s="38"/>
      <c r="AD86" s="38"/>
      <c r="AE86" s="34"/>
      <c r="AF86" s="34" t="str">
        <f t="shared" si="19"/>
        <v>FALSE</v>
      </c>
      <c r="AG86" s="35">
        <f t="shared" si="20"/>
        <v>0</v>
      </c>
      <c r="AH86" s="36" t="str">
        <f t="shared" si="15"/>
        <v/>
      </c>
    </row>
    <row r="87" spans="1:34" ht="1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29" t="str">
        <f t="shared" si="16"/>
        <v/>
      </c>
      <c r="Q87" s="30"/>
      <c r="R87" s="31"/>
      <c r="S87" s="68"/>
      <c r="T87" s="40"/>
      <c r="U87" s="38"/>
      <c r="V87" s="74"/>
      <c r="W87" s="34" t="str">
        <f t="shared" si="21"/>
        <v>FALSE</v>
      </c>
      <c r="X87" s="34" t="str">
        <f t="shared" si="14"/>
        <v>FALSE</v>
      </c>
      <c r="Y87" s="35">
        <f t="shared" si="17"/>
        <v>0</v>
      </c>
      <c r="Z87" s="36" t="str">
        <f t="shared" si="18"/>
        <v/>
      </c>
      <c r="AA87" s="6"/>
      <c r="AB87" s="41"/>
      <c r="AC87" s="38"/>
      <c r="AD87" s="38"/>
      <c r="AE87" s="34"/>
      <c r="AF87" s="34" t="str">
        <f t="shared" si="19"/>
        <v>FALSE</v>
      </c>
      <c r="AG87" s="35">
        <f t="shared" si="20"/>
        <v>0</v>
      </c>
      <c r="AH87" s="36" t="str">
        <f t="shared" si="15"/>
        <v/>
      </c>
    </row>
    <row r="88" spans="1:34" ht="1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29" t="str">
        <f t="shared" si="16"/>
        <v/>
      </c>
      <c r="Q88" s="30"/>
      <c r="R88" s="31"/>
      <c r="S88" s="68"/>
      <c r="T88" s="40"/>
      <c r="U88" s="38"/>
      <c r="V88" s="74"/>
      <c r="W88" s="34" t="str">
        <f t="shared" si="21"/>
        <v>FALSE</v>
      </c>
      <c r="X88" s="34" t="str">
        <f t="shared" si="14"/>
        <v>FALSE</v>
      </c>
      <c r="Y88" s="35">
        <f t="shared" si="17"/>
        <v>0</v>
      </c>
      <c r="Z88" s="36" t="str">
        <f t="shared" si="18"/>
        <v/>
      </c>
      <c r="AA88" s="6"/>
      <c r="AB88" s="41"/>
      <c r="AC88" s="38"/>
      <c r="AD88" s="38"/>
      <c r="AE88" s="34"/>
      <c r="AF88" s="34" t="str">
        <f t="shared" si="19"/>
        <v>FALSE</v>
      </c>
      <c r="AG88" s="35">
        <f t="shared" si="20"/>
        <v>0</v>
      </c>
      <c r="AH88" s="36" t="str">
        <f t="shared" si="15"/>
        <v/>
      </c>
    </row>
    <row r="89" spans="1:34" ht="1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29" t="str">
        <f t="shared" si="16"/>
        <v/>
      </c>
      <c r="Q89" s="30"/>
      <c r="R89" s="31"/>
      <c r="S89" s="68"/>
      <c r="T89" s="40"/>
      <c r="U89" s="38"/>
      <c r="V89" s="74"/>
      <c r="W89" s="34" t="str">
        <f t="shared" si="21"/>
        <v>FALSE</v>
      </c>
      <c r="X89" s="34" t="str">
        <f t="shared" si="14"/>
        <v>FALSE</v>
      </c>
      <c r="Y89" s="35">
        <f t="shared" si="17"/>
        <v>0</v>
      </c>
      <c r="Z89" s="36" t="str">
        <f t="shared" si="18"/>
        <v/>
      </c>
      <c r="AA89" s="6"/>
      <c r="AB89" s="41"/>
      <c r="AC89" s="38"/>
      <c r="AD89" s="38"/>
      <c r="AE89" s="34"/>
      <c r="AF89" s="34" t="str">
        <f t="shared" si="19"/>
        <v>FALSE</v>
      </c>
      <c r="AG89" s="35">
        <f t="shared" si="20"/>
        <v>0</v>
      </c>
      <c r="AH89" s="36" t="str">
        <f t="shared" si="15"/>
        <v/>
      </c>
    </row>
    <row r="90" spans="1:34" ht="1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29" t="str">
        <f t="shared" si="16"/>
        <v/>
      </c>
      <c r="Q90" s="30"/>
      <c r="R90" s="31"/>
      <c r="S90" s="68"/>
      <c r="T90" s="40"/>
      <c r="U90" s="38"/>
      <c r="V90" s="74"/>
      <c r="W90" s="34" t="str">
        <f t="shared" si="21"/>
        <v>FALSE</v>
      </c>
      <c r="X90" s="34" t="str">
        <f t="shared" si="14"/>
        <v>FALSE</v>
      </c>
      <c r="Y90" s="35">
        <f t="shared" si="17"/>
        <v>0</v>
      </c>
      <c r="Z90" s="36" t="str">
        <f t="shared" si="18"/>
        <v/>
      </c>
      <c r="AA90" s="6"/>
      <c r="AB90" s="41"/>
      <c r="AC90" s="38"/>
      <c r="AD90" s="38"/>
      <c r="AE90" s="34"/>
      <c r="AF90" s="34" t="str">
        <f t="shared" si="19"/>
        <v>FALSE</v>
      </c>
      <c r="AG90" s="35">
        <f t="shared" si="20"/>
        <v>0</v>
      </c>
      <c r="AH90" s="36" t="str">
        <f t="shared" si="15"/>
        <v/>
      </c>
    </row>
    <row r="91" spans="1:34" ht="1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29" t="str">
        <f t="shared" si="16"/>
        <v/>
      </c>
      <c r="Q91" s="30"/>
      <c r="R91" s="31"/>
      <c r="S91" s="68"/>
      <c r="T91" s="40"/>
      <c r="U91" s="38"/>
      <c r="V91" s="74"/>
      <c r="W91" s="34" t="str">
        <f t="shared" si="21"/>
        <v>FALSE</v>
      </c>
      <c r="X91" s="34" t="str">
        <f t="shared" si="14"/>
        <v>FALSE</v>
      </c>
      <c r="Y91" s="35">
        <f t="shared" si="17"/>
        <v>0</v>
      </c>
      <c r="Z91" s="36" t="str">
        <f t="shared" si="18"/>
        <v/>
      </c>
      <c r="AA91" s="6"/>
      <c r="AB91" s="41"/>
      <c r="AC91" s="38"/>
      <c r="AD91" s="38"/>
      <c r="AE91" s="34"/>
      <c r="AF91" s="34" t="str">
        <f t="shared" si="19"/>
        <v>FALSE</v>
      </c>
      <c r="AG91" s="35">
        <f t="shared" si="20"/>
        <v>0</v>
      </c>
      <c r="AH91" s="36" t="str">
        <f t="shared" si="15"/>
        <v/>
      </c>
    </row>
    <row r="92" spans="1:34" ht="1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29" t="str">
        <f t="shared" si="16"/>
        <v/>
      </c>
      <c r="Q92" s="30"/>
      <c r="R92" s="31"/>
      <c r="S92" s="68"/>
      <c r="T92" s="40"/>
      <c r="U92" s="38"/>
      <c r="V92" s="74"/>
      <c r="W92" s="34" t="str">
        <f t="shared" si="21"/>
        <v>FALSE</v>
      </c>
      <c r="X92" s="34" t="str">
        <f t="shared" si="14"/>
        <v>FALSE</v>
      </c>
      <c r="Y92" s="35">
        <f t="shared" si="17"/>
        <v>0</v>
      </c>
      <c r="Z92" s="36" t="str">
        <f t="shared" si="18"/>
        <v/>
      </c>
      <c r="AA92" s="6"/>
      <c r="AB92" s="41"/>
      <c r="AC92" s="38"/>
      <c r="AD92" s="38"/>
      <c r="AE92" s="34"/>
      <c r="AF92" s="34" t="str">
        <f t="shared" si="19"/>
        <v>FALSE</v>
      </c>
      <c r="AG92" s="35">
        <f t="shared" si="20"/>
        <v>0</v>
      </c>
      <c r="AH92" s="36" t="str">
        <f t="shared" si="15"/>
        <v/>
      </c>
    </row>
    <row r="93" spans="1:34" ht="1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29" t="str">
        <f t="shared" si="16"/>
        <v/>
      </c>
      <c r="Q93" s="30"/>
      <c r="R93" s="31"/>
      <c r="S93" s="68"/>
      <c r="T93" s="40"/>
      <c r="U93" s="38"/>
      <c r="V93" s="74"/>
      <c r="W93" s="34" t="str">
        <f t="shared" si="21"/>
        <v>FALSE</v>
      </c>
      <c r="X93" s="34" t="str">
        <f t="shared" si="14"/>
        <v>FALSE</v>
      </c>
      <c r="Y93" s="35">
        <f t="shared" si="17"/>
        <v>0</v>
      </c>
      <c r="Z93" s="36" t="str">
        <f t="shared" si="18"/>
        <v/>
      </c>
      <c r="AA93" s="6"/>
      <c r="AB93" s="41"/>
      <c r="AC93" s="38"/>
      <c r="AD93" s="38"/>
      <c r="AE93" s="34"/>
      <c r="AF93" s="34" t="str">
        <f t="shared" si="19"/>
        <v>FALSE</v>
      </c>
      <c r="AG93" s="35">
        <f t="shared" si="20"/>
        <v>0</v>
      </c>
      <c r="AH93" s="36" t="str">
        <f t="shared" si="15"/>
        <v/>
      </c>
    </row>
    <row r="94" spans="1:34" ht="1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29" t="str">
        <f t="shared" si="16"/>
        <v/>
      </c>
      <c r="Q94" s="30"/>
      <c r="R94" s="31"/>
      <c r="S94" s="68"/>
      <c r="T94" s="40"/>
      <c r="U94" s="38"/>
      <c r="V94" s="74"/>
      <c r="W94" s="34" t="str">
        <f t="shared" si="21"/>
        <v>FALSE</v>
      </c>
      <c r="X94" s="34" t="str">
        <f t="shared" si="14"/>
        <v>FALSE</v>
      </c>
      <c r="Y94" s="35">
        <f t="shared" si="17"/>
        <v>0</v>
      </c>
      <c r="Z94" s="36" t="str">
        <f t="shared" si="18"/>
        <v/>
      </c>
      <c r="AA94" s="6"/>
      <c r="AB94" s="41"/>
      <c r="AC94" s="38"/>
      <c r="AD94" s="38"/>
      <c r="AE94" s="34"/>
      <c r="AF94" s="34" t="str">
        <f t="shared" si="19"/>
        <v>FALSE</v>
      </c>
      <c r="AG94" s="35">
        <f t="shared" si="20"/>
        <v>0</v>
      </c>
      <c r="AH94" s="36" t="str">
        <f t="shared" si="15"/>
        <v/>
      </c>
    </row>
    <row r="95" spans="1:34" ht="1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29" t="str">
        <f t="shared" si="16"/>
        <v/>
      </c>
      <c r="Q95" s="30"/>
      <c r="R95" s="31"/>
      <c r="S95" s="68"/>
      <c r="T95" s="40"/>
      <c r="U95" s="38"/>
      <c r="V95" s="74"/>
      <c r="W95" s="34" t="str">
        <f t="shared" si="21"/>
        <v>FALSE</v>
      </c>
      <c r="X95" s="34" t="str">
        <f t="shared" si="14"/>
        <v>FALSE</v>
      </c>
      <c r="Y95" s="35">
        <f t="shared" si="17"/>
        <v>0</v>
      </c>
      <c r="Z95" s="36" t="str">
        <f t="shared" si="18"/>
        <v/>
      </c>
      <c r="AA95" s="6"/>
      <c r="AB95" s="41"/>
      <c r="AC95" s="38"/>
      <c r="AD95" s="38"/>
      <c r="AE95" s="34"/>
      <c r="AF95" s="34" t="str">
        <f t="shared" si="19"/>
        <v>FALSE</v>
      </c>
      <c r="AG95" s="35">
        <f t="shared" si="20"/>
        <v>0</v>
      </c>
      <c r="AH95" s="36" t="str">
        <f t="shared" si="15"/>
        <v/>
      </c>
    </row>
    <row r="96" spans="1:34" ht="1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29" t="str">
        <f t="shared" si="16"/>
        <v/>
      </c>
      <c r="Q96" s="30"/>
      <c r="R96" s="31"/>
      <c r="S96" s="68"/>
      <c r="T96" s="40"/>
      <c r="U96" s="38"/>
      <c r="V96" s="74"/>
      <c r="W96" s="34" t="str">
        <f t="shared" si="21"/>
        <v>FALSE</v>
      </c>
      <c r="X96" s="34" t="str">
        <f t="shared" si="14"/>
        <v>FALSE</v>
      </c>
      <c r="Y96" s="35">
        <f t="shared" si="17"/>
        <v>0</v>
      </c>
      <c r="Z96" s="36" t="str">
        <f t="shared" si="18"/>
        <v/>
      </c>
      <c r="AA96" s="6"/>
      <c r="AB96" s="41"/>
      <c r="AC96" s="38"/>
      <c r="AD96" s="38"/>
      <c r="AE96" s="34"/>
      <c r="AF96" s="34" t="str">
        <f t="shared" si="19"/>
        <v>FALSE</v>
      </c>
      <c r="AG96" s="35">
        <f t="shared" si="20"/>
        <v>0</v>
      </c>
      <c r="AH96" s="36" t="str">
        <f t="shared" si="15"/>
        <v/>
      </c>
    </row>
    <row r="97" spans="1:34" ht="1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29" t="str">
        <f t="shared" si="16"/>
        <v/>
      </c>
      <c r="Q97" s="30"/>
      <c r="R97" s="31"/>
      <c r="S97" s="68"/>
      <c r="T97" s="40"/>
      <c r="U97" s="38"/>
      <c r="V97" s="74"/>
      <c r="W97" s="34" t="str">
        <f t="shared" si="21"/>
        <v>FALSE</v>
      </c>
      <c r="X97" s="34" t="str">
        <f t="shared" si="14"/>
        <v>FALSE</v>
      </c>
      <c r="Y97" s="35">
        <f t="shared" si="17"/>
        <v>0</v>
      </c>
      <c r="Z97" s="36" t="str">
        <f t="shared" si="18"/>
        <v/>
      </c>
      <c r="AA97" s="6"/>
      <c r="AB97" s="41"/>
      <c r="AC97" s="38"/>
      <c r="AD97" s="38"/>
      <c r="AE97" s="34"/>
      <c r="AF97" s="34" t="str">
        <f t="shared" si="19"/>
        <v>FALSE</v>
      </c>
      <c r="AG97" s="35">
        <f t="shared" si="20"/>
        <v>0</v>
      </c>
      <c r="AH97" s="36" t="str">
        <f t="shared" si="15"/>
        <v/>
      </c>
    </row>
    <row r="98" spans="1:34" ht="1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29" t="str">
        <f t="shared" si="16"/>
        <v/>
      </c>
      <c r="Q98" s="30"/>
      <c r="R98" s="31"/>
      <c r="S98" s="68"/>
      <c r="T98" s="40"/>
      <c r="U98" s="38"/>
      <c r="V98" s="74"/>
      <c r="W98" s="34" t="str">
        <f t="shared" si="21"/>
        <v>FALSE</v>
      </c>
      <c r="X98" s="34" t="str">
        <f t="shared" si="14"/>
        <v>FALSE</v>
      </c>
      <c r="Y98" s="35">
        <f t="shared" si="17"/>
        <v>0</v>
      </c>
      <c r="Z98" s="36" t="str">
        <f t="shared" si="18"/>
        <v/>
      </c>
      <c r="AA98" s="6"/>
      <c r="AB98" s="41"/>
      <c r="AC98" s="38"/>
      <c r="AD98" s="38"/>
      <c r="AE98" s="34"/>
      <c r="AF98" s="34" t="str">
        <f t="shared" si="19"/>
        <v>FALSE</v>
      </c>
      <c r="AG98" s="35">
        <f t="shared" si="20"/>
        <v>0</v>
      </c>
      <c r="AH98" s="36" t="str">
        <f t="shared" si="15"/>
        <v/>
      </c>
    </row>
    <row r="99" spans="1:34" ht="1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29" t="str">
        <f t="shared" si="16"/>
        <v/>
      </c>
      <c r="Q99" s="30"/>
      <c r="R99" s="31"/>
      <c r="S99" s="68"/>
      <c r="T99" s="40"/>
      <c r="U99" s="38"/>
      <c r="V99" s="74"/>
      <c r="W99" s="34" t="str">
        <f t="shared" si="21"/>
        <v>FALSE</v>
      </c>
      <c r="X99" s="34" t="str">
        <f t="shared" si="14"/>
        <v>FALSE</v>
      </c>
      <c r="Y99" s="35">
        <f t="shared" si="17"/>
        <v>0</v>
      </c>
      <c r="Z99" s="36" t="str">
        <f t="shared" si="18"/>
        <v/>
      </c>
      <c r="AA99" s="6"/>
      <c r="AB99" s="41"/>
      <c r="AC99" s="38"/>
      <c r="AD99" s="38"/>
      <c r="AE99" s="34"/>
      <c r="AF99" s="34" t="str">
        <f t="shared" si="19"/>
        <v>FALSE</v>
      </c>
      <c r="AG99" s="35">
        <f t="shared" si="20"/>
        <v>0</v>
      </c>
      <c r="AH99" s="36" t="str">
        <f t="shared" si="15"/>
        <v/>
      </c>
    </row>
    <row r="100" spans="1:34" ht="1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29" t="str">
        <f t="shared" si="16"/>
        <v/>
      </c>
      <c r="Q100" s="30"/>
      <c r="R100" s="31"/>
      <c r="S100" s="68"/>
      <c r="T100" s="40"/>
      <c r="U100" s="38"/>
      <c r="V100" s="74"/>
      <c r="W100" s="34" t="str">
        <f t="shared" si="21"/>
        <v>FALSE</v>
      </c>
      <c r="X100" s="34" t="str">
        <f t="shared" si="14"/>
        <v>FALSE</v>
      </c>
      <c r="Y100" s="35">
        <f t="shared" si="17"/>
        <v>0</v>
      </c>
      <c r="Z100" s="36" t="str">
        <f t="shared" si="18"/>
        <v/>
      </c>
      <c r="AA100" s="6"/>
      <c r="AB100" s="41"/>
      <c r="AC100" s="38"/>
      <c r="AD100" s="38"/>
      <c r="AE100" s="34"/>
      <c r="AF100" s="34" t="str">
        <f t="shared" si="19"/>
        <v>FALSE</v>
      </c>
      <c r="AG100" s="35">
        <f t="shared" si="20"/>
        <v>0</v>
      </c>
      <c r="AH100" s="36" t="str">
        <f t="shared" si="15"/>
        <v/>
      </c>
    </row>
    <row r="101" spans="1:34" ht="1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29" t="str">
        <f t="shared" si="16"/>
        <v/>
      </c>
      <c r="Q101" s="30"/>
      <c r="R101" s="31"/>
      <c r="S101" s="68"/>
      <c r="T101" s="40"/>
      <c r="U101" s="38"/>
      <c r="V101" s="74"/>
      <c r="W101" s="34" t="str">
        <f t="shared" si="21"/>
        <v>FALSE</v>
      </c>
      <c r="X101" s="34" t="str">
        <f t="shared" si="14"/>
        <v>FALSE</v>
      </c>
      <c r="Y101" s="35">
        <f t="shared" si="17"/>
        <v>0</v>
      </c>
      <c r="Z101" s="36" t="str">
        <f t="shared" si="18"/>
        <v/>
      </c>
      <c r="AA101" s="6"/>
      <c r="AB101" s="41"/>
      <c r="AC101" s="38"/>
      <c r="AD101" s="38"/>
      <c r="AE101" s="34"/>
      <c r="AF101" s="34" t="str">
        <f t="shared" si="19"/>
        <v>FALSE</v>
      </c>
      <c r="AG101" s="35">
        <f t="shared" si="20"/>
        <v>0</v>
      </c>
      <c r="AH101" s="36" t="str">
        <f t="shared" si="15"/>
        <v/>
      </c>
    </row>
    <row r="102" spans="1:34" ht="1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29" t="str">
        <f t="shared" si="16"/>
        <v/>
      </c>
      <c r="Q102" s="30"/>
      <c r="R102" s="31"/>
      <c r="S102" s="68"/>
      <c r="T102" s="40"/>
      <c r="U102" s="38"/>
      <c r="V102" s="74"/>
      <c r="W102" s="34" t="str">
        <f t="shared" si="21"/>
        <v>FALSE</v>
      </c>
      <c r="X102" s="34" t="str">
        <f t="shared" si="14"/>
        <v>FALSE</v>
      </c>
      <c r="Y102" s="35">
        <f t="shared" si="17"/>
        <v>0</v>
      </c>
      <c r="Z102" s="36" t="str">
        <f t="shared" si="18"/>
        <v/>
      </c>
      <c r="AA102" s="6"/>
      <c r="AB102" s="41"/>
      <c r="AC102" s="38"/>
      <c r="AD102" s="38"/>
      <c r="AE102" s="34"/>
      <c r="AF102" s="34" t="str">
        <f t="shared" si="19"/>
        <v>FALSE</v>
      </c>
      <c r="AG102" s="35">
        <f t="shared" si="20"/>
        <v>0</v>
      </c>
      <c r="AH102" s="36" t="str">
        <f t="shared" si="15"/>
        <v/>
      </c>
    </row>
    <row r="103" spans="1:34" ht="1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29" t="str">
        <f t="shared" si="16"/>
        <v/>
      </c>
      <c r="Q103" s="30"/>
      <c r="R103" s="31"/>
      <c r="S103" s="68"/>
      <c r="T103" s="40"/>
      <c r="U103" s="38"/>
      <c r="V103" s="74"/>
      <c r="W103" s="34" t="str">
        <f t="shared" si="21"/>
        <v>FALSE</v>
      </c>
      <c r="X103" s="34" t="str">
        <f t="shared" si="14"/>
        <v>FALSE</v>
      </c>
      <c r="Y103" s="35">
        <f t="shared" si="17"/>
        <v>0</v>
      </c>
      <c r="Z103" s="36" t="str">
        <f t="shared" si="18"/>
        <v/>
      </c>
      <c r="AA103" s="6"/>
      <c r="AB103" s="41"/>
      <c r="AC103" s="38"/>
      <c r="AD103" s="38"/>
      <c r="AE103" s="34"/>
      <c r="AF103" s="34" t="str">
        <f t="shared" si="19"/>
        <v>FALSE</v>
      </c>
      <c r="AG103" s="35">
        <f t="shared" si="20"/>
        <v>0</v>
      </c>
      <c r="AH103" s="36" t="str">
        <f t="shared" si="15"/>
        <v/>
      </c>
    </row>
    <row r="104" spans="1:34" ht="1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29" t="str">
        <f t="shared" si="16"/>
        <v/>
      </c>
      <c r="Q104" s="30"/>
      <c r="R104" s="31"/>
      <c r="S104" s="68"/>
      <c r="T104" s="40"/>
      <c r="U104" s="38"/>
      <c r="V104" s="74"/>
      <c r="W104" s="34" t="str">
        <f t="shared" si="21"/>
        <v>FALSE</v>
      </c>
      <c r="X104" s="34" t="str">
        <f t="shared" si="14"/>
        <v>FALSE</v>
      </c>
      <c r="Y104" s="35">
        <f t="shared" si="17"/>
        <v>0</v>
      </c>
      <c r="Z104" s="36" t="str">
        <f t="shared" si="18"/>
        <v/>
      </c>
      <c r="AA104" s="6"/>
      <c r="AB104" s="41"/>
      <c r="AC104" s="38"/>
      <c r="AD104" s="38"/>
      <c r="AE104" s="34"/>
      <c r="AF104" s="34" t="str">
        <f t="shared" si="19"/>
        <v>FALSE</v>
      </c>
      <c r="AG104" s="35">
        <f t="shared" si="20"/>
        <v>0</v>
      </c>
      <c r="AH104" s="36" t="str">
        <f t="shared" si="15"/>
        <v/>
      </c>
    </row>
    <row r="105" spans="1:34" ht="1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29" t="str">
        <f t="shared" si="16"/>
        <v/>
      </c>
      <c r="Q105" s="30"/>
      <c r="R105" s="31"/>
      <c r="S105" s="68"/>
      <c r="T105" s="40"/>
      <c r="U105" s="38"/>
      <c r="V105" s="74"/>
      <c r="W105" s="34" t="str">
        <f t="shared" si="21"/>
        <v>FALSE</v>
      </c>
      <c r="X105" s="34" t="str">
        <f t="shared" si="14"/>
        <v>FALSE</v>
      </c>
      <c r="Y105" s="35">
        <f t="shared" si="17"/>
        <v>0</v>
      </c>
      <c r="Z105" s="36" t="str">
        <f t="shared" si="18"/>
        <v/>
      </c>
      <c r="AA105" s="6"/>
      <c r="AB105" s="41"/>
      <c r="AC105" s="38"/>
      <c r="AD105" s="38"/>
      <c r="AE105" s="34"/>
      <c r="AF105" s="34" t="str">
        <f t="shared" si="19"/>
        <v>FALSE</v>
      </c>
      <c r="AG105" s="35">
        <f t="shared" si="20"/>
        <v>0</v>
      </c>
      <c r="AH105" s="36" t="str">
        <f t="shared" si="15"/>
        <v/>
      </c>
    </row>
    <row r="106" spans="1:34" ht="1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29" t="str">
        <f t="shared" si="16"/>
        <v/>
      </c>
      <c r="Q106" s="30"/>
      <c r="R106" s="31"/>
      <c r="S106" s="68"/>
      <c r="T106" s="40"/>
      <c r="U106" s="38"/>
      <c r="V106" s="74"/>
      <c r="W106" s="34" t="str">
        <f t="shared" si="21"/>
        <v>FALSE</v>
      </c>
      <c r="X106" s="34" t="str">
        <f t="shared" si="14"/>
        <v>FALSE</v>
      </c>
      <c r="Y106" s="35">
        <f t="shared" si="17"/>
        <v>0</v>
      </c>
      <c r="Z106" s="36" t="str">
        <f t="shared" si="18"/>
        <v/>
      </c>
      <c r="AA106" s="6"/>
      <c r="AB106" s="41"/>
      <c r="AC106" s="38"/>
      <c r="AD106" s="38"/>
      <c r="AE106" s="34"/>
      <c r="AF106" s="34" t="str">
        <f t="shared" si="19"/>
        <v>FALSE</v>
      </c>
      <c r="AG106" s="35">
        <f t="shared" si="20"/>
        <v>0</v>
      </c>
      <c r="AH106" s="36" t="str">
        <f t="shared" si="15"/>
        <v/>
      </c>
    </row>
    <row r="107" spans="1:34" ht="1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29" t="str">
        <f t="shared" si="16"/>
        <v/>
      </c>
      <c r="Q107" s="30"/>
      <c r="R107" s="31"/>
      <c r="S107" s="68"/>
      <c r="T107" s="40"/>
      <c r="U107" s="38"/>
      <c r="V107" s="74"/>
      <c r="W107" s="34" t="str">
        <f t="shared" si="21"/>
        <v>FALSE</v>
      </c>
      <c r="X107" s="34" t="str">
        <f t="shared" si="14"/>
        <v>FALSE</v>
      </c>
      <c r="Y107" s="35">
        <f t="shared" si="17"/>
        <v>0</v>
      </c>
      <c r="Z107" s="36" t="str">
        <f t="shared" si="18"/>
        <v/>
      </c>
      <c r="AA107" s="6"/>
      <c r="AB107" s="41"/>
      <c r="AC107" s="38"/>
      <c r="AD107" s="38"/>
      <c r="AE107" s="34"/>
      <c r="AF107" s="34" t="str">
        <f t="shared" si="19"/>
        <v>FALSE</v>
      </c>
      <c r="AG107" s="35">
        <f t="shared" si="20"/>
        <v>0</v>
      </c>
      <c r="AH107" s="36" t="str">
        <f t="shared" si="15"/>
        <v/>
      </c>
    </row>
    <row r="108" spans="1:34" ht="1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29" t="str">
        <f t="shared" si="16"/>
        <v/>
      </c>
      <c r="Q108" s="30"/>
      <c r="R108" s="31"/>
      <c r="S108" s="68"/>
      <c r="T108" s="40"/>
      <c r="U108" s="38"/>
      <c r="V108" s="74"/>
      <c r="W108" s="34" t="str">
        <f t="shared" si="21"/>
        <v>FALSE</v>
      </c>
      <c r="X108" s="34" t="str">
        <f t="shared" si="14"/>
        <v>FALSE</v>
      </c>
      <c r="Y108" s="35">
        <f t="shared" si="17"/>
        <v>0</v>
      </c>
      <c r="Z108" s="36" t="str">
        <f t="shared" si="18"/>
        <v/>
      </c>
      <c r="AA108" s="6"/>
      <c r="AB108" s="41"/>
      <c r="AC108" s="38"/>
      <c r="AD108" s="38"/>
      <c r="AE108" s="34"/>
      <c r="AF108" s="34" t="str">
        <f t="shared" si="19"/>
        <v>FALSE</v>
      </c>
      <c r="AG108" s="35">
        <f t="shared" si="20"/>
        <v>0</v>
      </c>
      <c r="AH108" s="36" t="str">
        <f t="shared" si="15"/>
        <v/>
      </c>
    </row>
    <row r="109" spans="1:34" ht="1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29" t="str">
        <f t="shared" si="16"/>
        <v/>
      </c>
      <c r="Q109" s="30"/>
      <c r="R109" s="31"/>
      <c r="S109" s="68"/>
      <c r="T109" s="40"/>
      <c r="U109" s="38"/>
      <c r="V109" s="74"/>
      <c r="W109" s="34" t="str">
        <f t="shared" si="21"/>
        <v>FALSE</v>
      </c>
      <c r="X109" s="34" t="str">
        <f t="shared" si="14"/>
        <v>FALSE</v>
      </c>
      <c r="Y109" s="35">
        <f t="shared" si="17"/>
        <v>0</v>
      </c>
      <c r="Z109" s="36" t="str">
        <f t="shared" si="18"/>
        <v/>
      </c>
      <c r="AA109" s="6"/>
      <c r="AB109" s="41"/>
      <c r="AC109" s="38"/>
      <c r="AD109" s="38"/>
      <c r="AE109" s="34"/>
      <c r="AF109" s="34" t="str">
        <f t="shared" si="19"/>
        <v>FALSE</v>
      </c>
      <c r="AG109" s="35">
        <f t="shared" si="20"/>
        <v>0</v>
      </c>
      <c r="AH109" s="36" t="str">
        <f t="shared" si="15"/>
        <v/>
      </c>
    </row>
    <row r="110" spans="1:34" ht="1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29" t="str">
        <f t="shared" si="16"/>
        <v/>
      </c>
      <c r="Q110" s="30"/>
      <c r="R110" s="31"/>
      <c r="S110" s="68"/>
      <c r="T110" s="40"/>
      <c r="U110" s="38"/>
      <c r="V110" s="74"/>
      <c r="W110" s="34" t="str">
        <f t="shared" si="21"/>
        <v>FALSE</v>
      </c>
      <c r="X110" s="34" t="str">
        <f t="shared" ref="X110:X120" si="22">IF(U110="","FALSE",ABS((U110-AVERAGE($U$14:$U$120))/_xlfn.STDEV.S($U$14:$U$104)))</f>
        <v>FALSE</v>
      </c>
      <c r="Y110" s="35">
        <f t="shared" si="17"/>
        <v>0</v>
      </c>
      <c r="Z110" s="36" t="str">
        <f t="shared" si="18"/>
        <v/>
      </c>
      <c r="AA110" s="6"/>
      <c r="AB110" s="41"/>
      <c r="AC110" s="38"/>
      <c r="AD110" s="38"/>
      <c r="AE110" s="34"/>
      <c r="AF110" s="34" t="str">
        <f t="shared" si="19"/>
        <v>FALSE</v>
      </c>
      <c r="AG110" s="35">
        <f t="shared" si="20"/>
        <v>0</v>
      </c>
      <c r="AH110" s="36" t="str">
        <f t="shared" ref="AH110:AH120" si="23">IF(AC110="","",AC110/AB110)</f>
        <v/>
      </c>
    </row>
    <row r="111" spans="1:34" ht="1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29" t="str">
        <f t="shared" ref="P111:P120" si="24">IF(R111&lt;&gt;"",P110+1,"")</f>
        <v/>
      </c>
      <c r="Q111" s="30"/>
      <c r="R111" s="31"/>
      <c r="S111" s="68"/>
      <c r="T111" s="40"/>
      <c r="U111" s="38"/>
      <c r="V111" s="74"/>
      <c r="W111" s="34" t="str">
        <f t="shared" si="21"/>
        <v>FALSE</v>
      </c>
      <c r="X111" s="34" t="str">
        <f t="shared" si="22"/>
        <v>FALSE</v>
      </c>
      <c r="Y111" s="35">
        <f t="shared" si="17"/>
        <v>0</v>
      </c>
      <c r="Z111" s="36" t="str">
        <f t="shared" si="18"/>
        <v/>
      </c>
      <c r="AA111" s="6"/>
      <c r="AB111" s="41"/>
      <c r="AC111" s="38"/>
      <c r="AD111" s="38"/>
      <c r="AE111" s="34"/>
      <c r="AF111" s="34" t="str">
        <f t="shared" si="19"/>
        <v>FALSE</v>
      </c>
      <c r="AG111" s="35">
        <f t="shared" si="20"/>
        <v>0</v>
      </c>
      <c r="AH111" s="36" t="str">
        <f t="shared" si="23"/>
        <v/>
      </c>
    </row>
    <row r="112" spans="1:34" ht="1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29" t="str">
        <f t="shared" si="24"/>
        <v/>
      </c>
      <c r="Q112" s="30"/>
      <c r="R112" s="31"/>
      <c r="S112" s="68"/>
      <c r="T112" s="40"/>
      <c r="U112" s="38"/>
      <c r="V112" s="74"/>
      <c r="W112" s="34" t="str">
        <f t="shared" si="21"/>
        <v>FALSE</v>
      </c>
      <c r="X112" s="34" t="str">
        <f t="shared" si="22"/>
        <v>FALSE</v>
      </c>
      <c r="Y112" s="35">
        <f t="shared" si="17"/>
        <v>0</v>
      </c>
      <c r="Z112" s="36" t="str">
        <f t="shared" si="18"/>
        <v/>
      </c>
      <c r="AA112" s="6"/>
      <c r="AB112" s="41"/>
      <c r="AC112" s="38"/>
      <c r="AD112" s="38"/>
      <c r="AE112" s="34"/>
      <c r="AF112" s="34" t="str">
        <f t="shared" si="19"/>
        <v>FALSE</v>
      </c>
      <c r="AG112" s="35">
        <f t="shared" si="20"/>
        <v>0</v>
      </c>
      <c r="AH112" s="36" t="str">
        <f t="shared" si="23"/>
        <v/>
      </c>
    </row>
    <row r="113" spans="1:34" ht="1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29" t="str">
        <f t="shared" si="24"/>
        <v/>
      </c>
      <c r="Q113" s="30"/>
      <c r="R113" s="31"/>
      <c r="S113" s="68"/>
      <c r="T113" s="40"/>
      <c r="U113" s="38"/>
      <c r="V113" s="74"/>
      <c r="W113" s="34" t="str">
        <f t="shared" si="21"/>
        <v>FALSE</v>
      </c>
      <c r="X113" s="34" t="str">
        <f t="shared" si="22"/>
        <v>FALSE</v>
      </c>
      <c r="Y113" s="35">
        <f t="shared" si="17"/>
        <v>0</v>
      </c>
      <c r="Z113" s="36" t="str">
        <f t="shared" si="18"/>
        <v/>
      </c>
      <c r="AA113" s="6"/>
      <c r="AB113" s="41"/>
      <c r="AC113" s="38"/>
      <c r="AD113" s="38"/>
      <c r="AE113" s="34"/>
      <c r="AF113" s="34" t="str">
        <f t="shared" si="19"/>
        <v>FALSE</v>
      </c>
      <c r="AG113" s="35">
        <f t="shared" si="20"/>
        <v>0</v>
      </c>
      <c r="AH113" s="36" t="str">
        <f t="shared" si="23"/>
        <v/>
      </c>
    </row>
    <row r="114" spans="1:34" ht="1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29" t="str">
        <f t="shared" si="24"/>
        <v/>
      </c>
      <c r="Q114" s="30"/>
      <c r="R114" s="31"/>
      <c r="S114" s="68"/>
      <c r="T114" s="40"/>
      <c r="U114" s="38"/>
      <c r="V114" s="74"/>
      <c r="W114" s="34" t="str">
        <f t="shared" si="21"/>
        <v>FALSE</v>
      </c>
      <c r="X114" s="34" t="str">
        <f t="shared" si="22"/>
        <v>FALSE</v>
      </c>
      <c r="Y114" s="35">
        <f t="shared" si="17"/>
        <v>0</v>
      </c>
      <c r="Z114" s="36" t="str">
        <f t="shared" si="18"/>
        <v/>
      </c>
      <c r="AA114" s="6"/>
      <c r="AB114" s="41"/>
      <c r="AC114" s="38"/>
      <c r="AD114" s="38"/>
      <c r="AE114" s="34"/>
      <c r="AF114" s="34" t="str">
        <f t="shared" si="19"/>
        <v>FALSE</v>
      </c>
      <c r="AG114" s="35">
        <f t="shared" si="20"/>
        <v>0</v>
      </c>
      <c r="AH114" s="36" t="str">
        <f t="shared" si="23"/>
        <v/>
      </c>
    </row>
    <row r="115" spans="1:34" ht="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29" t="str">
        <f t="shared" si="24"/>
        <v/>
      </c>
      <c r="Q115" s="30"/>
      <c r="R115" s="31"/>
      <c r="S115" s="68"/>
      <c r="T115" s="40"/>
      <c r="U115" s="38"/>
      <c r="V115" s="74"/>
      <c r="W115" s="34" t="str">
        <f t="shared" si="21"/>
        <v>FALSE</v>
      </c>
      <c r="X115" s="34" t="str">
        <f t="shared" si="22"/>
        <v>FALSE</v>
      </c>
      <c r="Y115" s="35">
        <f t="shared" si="17"/>
        <v>0</v>
      </c>
      <c r="Z115" s="36" t="str">
        <f t="shared" si="18"/>
        <v/>
      </c>
      <c r="AA115" s="6"/>
      <c r="AB115" s="41"/>
      <c r="AC115" s="38"/>
      <c r="AD115" s="38"/>
      <c r="AE115" s="34"/>
      <c r="AF115" s="34" t="str">
        <f t="shared" si="19"/>
        <v>FALSE</v>
      </c>
      <c r="AG115" s="35">
        <f t="shared" si="20"/>
        <v>0</v>
      </c>
      <c r="AH115" s="36" t="str">
        <f t="shared" si="23"/>
        <v/>
      </c>
    </row>
    <row r="116" spans="1:34" ht="1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29" t="str">
        <f t="shared" si="24"/>
        <v/>
      </c>
      <c r="Q116" s="30"/>
      <c r="R116" s="31"/>
      <c r="S116" s="68"/>
      <c r="T116" s="40"/>
      <c r="U116" s="38"/>
      <c r="V116" s="74"/>
      <c r="W116" s="34" t="str">
        <f t="shared" si="21"/>
        <v>FALSE</v>
      </c>
      <c r="X116" s="34" t="str">
        <f t="shared" si="22"/>
        <v>FALSE</v>
      </c>
      <c r="Y116" s="35">
        <f t="shared" si="17"/>
        <v>0</v>
      </c>
      <c r="Z116" s="36" t="str">
        <f t="shared" si="18"/>
        <v/>
      </c>
      <c r="AA116" s="6"/>
      <c r="AB116" s="41"/>
      <c r="AC116" s="38"/>
      <c r="AD116" s="38"/>
      <c r="AE116" s="34"/>
      <c r="AF116" s="34" t="str">
        <f t="shared" si="19"/>
        <v>FALSE</v>
      </c>
      <c r="AG116" s="35">
        <f t="shared" si="20"/>
        <v>0</v>
      </c>
      <c r="AH116" s="36" t="str">
        <f t="shared" si="23"/>
        <v/>
      </c>
    </row>
    <row r="117" spans="1:34" ht="1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29" t="str">
        <f t="shared" si="24"/>
        <v/>
      </c>
      <c r="Q117" s="30"/>
      <c r="R117" s="31"/>
      <c r="S117" s="68"/>
      <c r="T117" s="40"/>
      <c r="U117" s="38"/>
      <c r="V117" s="74"/>
      <c r="W117" s="34" t="str">
        <f t="shared" si="21"/>
        <v>FALSE</v>
      </c>
      <c r="X117" s="34" t="str">
        <f t="shared" si="22"/>
        <v>FALSE</v>
      </c>
      <c r="Y117" s="35">
        <f t="shared" si="17"/>
        <v>0</v>
      </c>
      <c r="Z117" s="36" t="str">
        <f t="shared" si="18"/>
        <v/>
      </c>
      <c r="AA117" s="6"/>
      <c r="AB117" s="41"/>
      <c r="AC117" s="38"/>
      <c r="AD117" s="38"/>
      <c r="AE117" s="34"/>
      <c r="AF117" s="34" t="str">
        <f t="shared" si="19"/>
        <v>FALSE</v>
      </c>
      <c r="AG117" s="35">
        <f t="shared" si="20"/>
        <v>0</v>
      </c>
      <c r="AH117" s="36" t="str">
        <f t="shared" si="23"/>
        <v/>
      </c>
    </row>
    <row r="118" spans="1:34" ht="1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29" t="str">
        <f t="shared" si="24"/>
        <v/>
      </c>
      <c r="Q118" s="30"/>
      <c r="R118" s="31"/>
      <c r="S118" s="68"/>
      <c r="T118" s="40"/>
      <c r="U118" s="38"/>
      <c r="V118" s="74"/>
      <c r="W118" s="34" t="str">
        <f t="shared" si="21"/>
        <v>FALSE</v>
      </c>
      <c r="X118" s="34" t="str">
        <f t="shared" si="22"/>
        <v>FALSE</v>
      </c>
      <c r="Y118" s="35">
        <f t="shared" si="17"/>
        <v>0</v>
      </c>
      <c r="Z118" s="36" t="str">
        <f t="shared" si="18"/>
        <v/>
      </c>
      <c r="AA118" s="6"/>
      <c r="AB118" s="41"/>
      <c r="AC118" s="38"/>
      <c r="AD118" s="38"/>
      <c r="AE118" s="34"/>
      <c r="AF118" s="34" t="str">
        <f t="shared" si="19"/>
        <v>FALSE</v>
      </c>
      <c r="AG118" s="35">
        <f t="shared" si="20"/>
        <v>0</v>
      </c>
      <c r="AH118" s="36" t="str">
        <f t="shared" si="23"/>
        <v/>
      </c>
    </row>
    <row r="119" spans="1:34" ht="1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29" t="str">
        <f t="shared" si="24"/>
        <v/>
      </c>
      <c r="Q119" s="30"/>
      <c r="R119" s="31"/>
      <c r="S119" s="68"/>
      <c r="T119" s="40"/>
      <c r="U119" s="38"/>
      <c r="V119" s="74"/>
      <c r="W119" s="34" t="str">
        <f t="shared" si="21"/>
        <v>FALSE</v>
      </c>
      <c r="X119" s="34" t="str">
        <f t="shared" si="22"/>
        <v>FALSE</v>
      </c>
      <c r="Y119" s="35">
        <f t="shared" si="17"/>
        <v>0</v>
      </c>
      <c r="Z119" s="36" t="str">
        <f t="shared" si="18"/>
        <v/>
      </c>
      <c r="AA119" s="6"/>
      <c r="AB119" s="41"/>
      <c r="AC119" s="38"/>
      <c r="AD119" s="38"/>
      <c r="AE119" s="34"/>
      <c r="AF119" s="34" t="str">
        <f t="shared" si="19"/>
        <v>FALSE</v>
      </c>
      <c r="AG119" s="35">
        <f t="shared" si="20"/>
        <v>0</v>
      </c>
      <c r="AH119" s="36" t="str">
        <f t="shared" si="23"/>
        <v/>
      </c>
    </row>
    <row r="120" spans="1:34" ht="1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29" t="str">
        <f t="shared" si="24"/>
        <v/>
      </c>
      <c r="Q120" s="30"/>
      <c r="R120" s="31"/>
      <c r="S120" s="68"/>
      <c r="T120" s="40"/>
      <c r="U120" s="38"/>
      <c r="V120" s="74"/>
      <c r="W120" s="34" t="str">
        <f t="shared" si="21"/>
        <v>FALSE</v>
      </c>
      <c r="X120" s="34" t="str">
        <f t="shared" si="22"/>
        <v>FALSE</v>
      </c>
      <c r="Y120" s="35">
        <f t="shared" si="17"/>
        <v>0</v>
      </c>
      <c r="Z120" s="36" t="str">
        <f t="shared" si="18"/>
        <v/>
      </c>
      <c r="AA120" s="6"/>
      <c r="AB120" s="41"/>
      <c r="AC120" s="38"/>
      <c r="AD120" s="38"/>
      <c r="AE120" s="34"/>
      <c r="AF120" s="34" t="str">
        <f t="shared" si="19"/>
        <v>FALSE</v>
      </c>
      <c r="AG120" s="35">
        <f t="shared" si="20"/>
        <v>0</v>
      </c>
      <c r="AH120" s="36" t="str">
        <f t="shared" si="23"/>
        <v/>
      </c>
    </row>
  </sheetData>
  <mergeCells count="11">
    <mergeCell ref="D1:L2"/>
    <mergeCell ref="P3:R3"/>
    <mergeCell ref="T3:U3"/>
    <mergeCell ref="AB8:AH8"/>
    <mergeCell ref="AC2:AG2"/>
    <mergeCell ref="AC3:AG3"/>
    <mergeCell ref="P6:U6"/>
    <mergeCell ref="Q8:Z8"/>
    <mergeCell ref="X6:AA6"/>
    <mergeCell ref="X3:AA3"/>
    <mergeCell ref="X2:AA2"/>
  </mergeCells>
  <conditionalFormatting sqref="U14:U120">
    <cfRule type="containsBlanks" dxfId="219" priority="1">
      <formula>LEN(TRIM(U14))=0</formula>
    </cfRule>
    <cfRule type="expression" dxfId="218" priority="2">
      <formula>AND(X14&gt;=2,X14&lt;3)</formula>
    </cfRule>
    <cfRule type="expression" dxfId="217" priority="3">
      <formula>X14&gt;3</formula>
    </cfRule>
  </conditionalFormatting>
  <conditionalFormatting sqref="W14:W120">
    <cfRule type="expression" dxfId="216" priority="26">
      <formula>X14="FALSE"</formula>
    </cfRule>
  </conditionalFormatting>
  <conditionalFormatting sqref="X14:X120">
    <cfRule type="expression" dxfId="215" priority="25">
      <formula>X14="FALSE"</formula>
    </cfRule>
    <cfRule type="expression" dxfId="214" priority="27">
      <formula>AND(X14&gt;2,X14&lt;3)</formula>
    </cfRule>
  </conditionalFormatting>
  <conditionalFormatting sqref="X14:Y50 X51:X120">
    <cfRule type="expression" dxfId="213" priority="36">
      <formula>X14&gt;=3</formula>
    </cfRule>
  </conditionalFormatting>
  <conditionalFormatting sqref="Y14:Y50">
    <cfRule type="expression" dxfId="212" priority="35">
      <formula>AND(X14&gt;=2,X14&lt;3)</formula>
    </cfRule>
  </conditionalFormatting>
  <conditionalFormatting sqref="Z14:Z120">
    <cfRule type="cellIs" dxfId="211" priority="33" operator="notBetween">
      <formula>0.8</formula>
      <formula>1.15</formula>
    </cfRule>
  </conditionalFormatting>
  <conditionalFormatting sqref="AC14:AC120">
    <cfRule type="containsBlanks" dxfId="210" priority="4">
      <formula>LEN(TRIM(AC14))=0</formula>
    </cfRule>
    <cfRule type="expression" dxfId="209" priority="5">
      <formula>AND(AF14&gt;=2,AF14&lt;3)</formula>
    </cfRule>
    <cfRule type="expression" dxfId="208" priority="6">
      <formula>AF14&gt;3</formula>
    </cfRule>
  </conditionalFormatting>
  <conditionalFormatting sqref="AE14:AE120">
    <cfRule type="expression" dxfId="207" priority="23">
      <formula>AF14="FALSE"</formula>
    </cfRule>
  </conditionalFormatting>
  <conditionalFormatting sqref="AF14:AF120">
    <cfRule type="expression" dxfId="206" priority="15">
      <formula>AF14="FALSE"</formula>
    </cfRule>
    <cfRule type="expression" dxfId="205" priority="16">
      <formula>AND(AF14&gt;2,AF14&lt;3)</formula>
    </cfRule>
    <cfRule type="expression" dxfId="204" priority="17">
      <formula>AF14&gt;=3</formula>
    </cfRule>
  </conditionalFormatting>
  <conditionalFormatting sqref="AG14:AG120">
    <cfRule type="expression" dxfId="203" priority="12">
      <formula>AF14=0</formula>
    </cfRule>
    <cfRule type="expression" dxfId="202" priority="13">
      <formula>AND(AF14&gt;=2,AF14&lt;3)</formula>
    </cfRule>
    <cfRule type="expression" dxfId="201" priority="14">
      <formula>AG14&gt;=3</formula>
    </cfRule>
  </conditionalFormatting>
  <conditionalFormatting sqref="AH14:AH120">
    <cfRule type="cellIs" dxfId="200" priority="34" operator="notBetween">
      <formula>0.8</formula>
      <formula>1.15</formula>
    </cfRule>
  </conditionalFormatting>
  <pageMargins left="0.4" right="0.4" top="0.4" bottom="0.4" header="0" footer="0"/>
  <pageSetup scale="10" fitToHeight="0" orientation="landscape" horizontalDpi="4294967292" verticalDpi="4294967292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A1D58-062F-495C-ABBD-D03794E209A8}">
  <sheetPr>
    <tabColor rgb="FFFFFFFF"/>
    <pageSetUpPr fitToPage="1"/>
  </sheetPr>
  <dimension ref="A1:AH120"/>
  <sheetViews>
    <sheetView showGridLines="0" topLeftCell="A60" zoomScale="70" zoomScaleNormal="70" workbookViewId="0">
      <selection activeCell="AC56" sqref="AC56"/>
    </sheetView>
  </sheetViews>
  <sheetFormatPr defaultColWidth="11" defaultRowHeight="13.5" customHeight="1"/>
  <cols>
    <col min="1" max="2" width="3.125" style="12" customWidth="1"/>
    <col min="3" max="8" width="11" style="12"/>
    <col min="9" max="9" width="9" style="12" customWidth="1"/>
    <col min="10" max="13" width="11" style="12"/>
    <col min="14" max="15" width="4" style="12" customWidth="1"/>
    <col min="16" max="16" width="6.125" style="43" customWidth="1"/>
    <col min="17" max="17" width="13" style="12" customWidth="1"/>
    <col min="18" max="18" width="12.875" style="44" customWidth="1"/>
    <col min="19" max="19" width="3" style="44" customWidth="1"/>
    <col min="20" max="20" width="12" style="45" customWidth="1"/>
    <col min="21" max="21" width="14.875" style="8" customWidth="1"/>
    <col min="22" max="22" width="2.375" style="12" customWidth="1"/>
    <col min="23" max="23" width="12.875" style="6" customWidth="1"/>
    <col min="24" max="24" width="11.5" style="6" customWidth="1"/>
    <col min="25" max="25" width="13" style="12" customWidth="1"/>
    <col min="26" max="26" width="11.625" style="12" customWidth="1"/>
    <col min="27" max="27" width="9.125" style="12" customWidth="1"/>
    <col min="28" max="28" width="13.375" style="8" customWidth="1"/>
    <col min="29" max="29" width="13.75" style="12" customWidth="1"/>
    <col min="30" max="30" width="2" style="12" customWidth="1"/>
    <col min="31" max="31" width="12.75" style="12" customWidth="1"/>
    <col min="32" max="32" width="12.375" style="12" customWidth="1"/>
    <col min="33" max="33" width="13.125" style="12" customWidth="1"/>
    <col min="34" max="34" width="15.25" style="12" customWidth="1"/>
    <col min="35" max="16384" width="11" style="12"/>
  </cols>
  <sheetData>
    <row r="1" spans="1:34" s="7" customFormat="1" ht="31.5" customHeight="1">
      <c r="A1" s="1"/>
      <c r="B1" s="1"/>
      <c r="C1" s="1"/>
      <c r="D1" s="162" t="s">
        <v>22</v>
      </c>
      <c r="E1" s="162"/>
      <c r="F1" s="162"/>
      <c r="G1" s="162"/>
      <c r="H1" s="162"/>
      <c r="I1" s="162"/>
      <c r="J1" s="162"/>
      <c r="K1" s="162"/>
      <c r="L1" s="162"/>
      <c r="M1" s="1"/>
      <c r="N1" s="1"/>
      <c r="O1" s="1"/>
      <c r="P1" s="2"/>
      <c r="Q1" s="3" t="s">
        <v>74</v>
      </c>
      <c r="R1" s="4"/>
      <c r="S1" s="4"/>
      <c r="T1" s="4"/>
      <c r="U1" s="5"/>
      <c r="V1" s="6"/>
      <c r="W1" s="6"/>
      <c r="X1" s="6"/>
      <c r="Y1" s="5"/>
      <c r="Z1" s="5"/>
      <c r="AA1" s="5"/>
      <c r="AB1" s="5"/>
      <c r="AC1" s="5"/>
      <c r="AD1" s="5"/>
      <c r="AE1" s="5"/>
      <c r="AF1" s="5"/>
      <c r="AG1" s="5"/>
      <c r="AH1"/>
    </row>
    <row r="2" spans="1:34" ht="15.75" customHeight="1">
      <c r="A2" s="8"/>
      <c r="B2" s="8"/>
      <c r="C2" s="8"/>
      <c r="D2" s="162"/>
      <c r="E2" s="162"/>
      <c r="F2" s="162"/>
      <c r="G2" s="162"/>
      <c r="H2" s="162"/>
      <c r="I2" s="162"/>
      <c r="J2" s="162"/>
      <c r="K2" s="162"/>
      <c r="L2" s="162"/>
      <c r="M2" s="8"/>
      <c r="N2" s="8"/>
      <c r="O2" s="8"/>
      <c r="P2" s="9"/>
      <c r="Q2" s="10" t="s">
        <v>75</v>
      </c>
      <c r="R2" s="11"/>
      <c r="S2" s="11"/>
      <c r="T2" s="10" t="s">
        <v>76</v>
      </c>
      <c r="X2" s="163" t="s">
        <v>77</v>
      </c>
      <c r="Y2" s="163"/>
      <c r="Z2" s="163"/>
      <c r="AA2" s="163"/>
      <c r="AC2" s="163" t="s">
        <v>78</v>
      </c>
      <c r="AD2" s="163"/>
      <c r="AE2" s="163"/>
      <c r="AF2" s="163"/>
      <c r="AG2" s="163"/>
      <c r="AH2"/>
    </row>
    <row r="3" spans="1:34" ht="26.2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164">
        <f>MIN(R14:R16)</f>
        <v>45677</v>
      </c>
      <c r="Q3" s="165"/>
      <c r="R3" s="166"/>
      <c r="S3" s="65"/>
      <c r="T3" s="167">
        <f>MAX(R14:R116)</f>
        <v>46065</v>
      </c>
      <c r="U3" s="168"/>
      <c r="X3" s="164" t="s">
        <v>79</v>
      </c>
      <c r="Y3" s="165"/>
      <c r="Z3" s="165"/>
      <c r="AA3" s="168"/>
      <c r="AC3" s="169" t="s">
        <v>80</v>
      </c>
      <c r="AD3" s="170"/>
      <c r="AE3" s="170"/>
      <c r="AF3" s="170"/>
      <c r="AG3" s="171"/>
      <c r="AH3"/>
    </row>
    <row r="4" spans="1:34" ht="15.7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13"/>
      <c r="Q4" s="14"/>
      <c r="R4" s="15">
        <f>MIN(P14:P120)</f>
        <v>1</v>
      </c>
      <c r="S4" s="15"/>
      <c r="T4" s="16">
        <f>MAX(P14:P120)</f>
        <v>42</v>
      </c>
      <c r="U4" s="14"/>
      <c r="V4" s="6"/>
      <c r="X4" s="14"/>
      <c r="Y4" s="14"/>
      <c r="Z4" s="14"/>
      <c r="AA4" s="14"/>
      <c r="AB4"/>
      <c r="AC4" s="14"/>
      <c r="AD4" s="14"/>
      <c r="AE4" s="14"/>
      <c r="AF4" s="14"/>
      <c r="AH4" s="8"/>
    </row>
    <row r="5" spans="1:34" ht="20.2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17"/>
      <c r="Q5" s="17" t="s">
        <v>81</v>
      </c>
      <c r="R5" s="11"/>
      <c r="S5" s="11"/>
      <c r="T5" s="18"/>
      <c r="U5" s="17"/>
      <c r="V5" s="6"/>
      <c r="X5" s="17" t="s">
        <v>82</v>
      </c>
      <c r="Y5" s="17"/>
      <c r="Z5" s="17"/>
      <c r="AA5" s="14"/>
      <c r="AB5"/>
      <c r="AC5" s="10"/>
      <c r="AD5" s="10"/>
    </row>
    <row r="6" spans="1:34" ht="25.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158" t="s">
        <v>83</v>
      </c>
      <c r="Q6" s="158"/>
      <c r="R6" s="158"/>
      <c r="S6" s="158"/>
      <c r="T6" s="158"/>
      <c r="U6" s="158"/>
      <c r="V6" s="6"/>
      <c r="X6" s="159"/>
      <c r="Y6" s="159"/>
      <c r="Z6" s="159"/>
      <c r="AA6" s="159"/>
      <c r="AB6"/>
      <c r="AC6" s="6"/>
      <c r="AD6" s="6"/>
    </row>
    <row r="7" spans="1:34" ht="23.2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19"/>
      <c r="Q7" s="20" t="s">
        <v>84</v>
      </c>
      <c r="R7" s="21"/>
      <c r="S7" s="21"/>
      <c r="T7" s="22"/>
      <c r="V7" s="8"/>
      <c r="Y7" s="8"/>
      <c r="Z7" s="8"/>
      <c r="AA7" s="8"/>
      <c r="AC7" s="8"/>
      <c r="AD7" s="8"/>
      <c r="AE7" s="8"/>
      <c r="AF7" s="8"/>
      <c r="AG7" s="8"/>
      <c r="AH7" s="8"/>
    </row>
    <row r="8" spans="1:34" ht="31.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19"/>
      <c r="Q8" s="160" t="s">
        <v>85</v>
      </c>
      <c r="R8" s="160"/>
      <c r="S8" s="160"/>
      <c r="T8" s="160"/>
      <c r="U8" s="160"/>
      <c r="V8" s="160"/>
      <c r="W8" s="160"/>
      <c r="X8" s="160"/>
      <c r="Y8" s="160"/>
      <c r="Z8" s="160"/>
      <c r="AA8" s="6"/>
      <c r="AB8" s="161" t="s">
        <v>86</v>
      </c>
      <c r="AC8" s="161"/>
      <c r="AD8" s="161"/>
      <c r="AE8" s="161"/>
      <c r="AF8" s="161"/>
      <c r="AG8" s="161"/>
      <c r="AH8" s="161"/>
    </row>
    <row r="9" spans="1:34" customFormat="1" ht="11.25" customHeight="1"/>
    <row r="10" spans="1:34" s="52" customFormat="1" ht="27.75" customHeight="1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Q10" s="73" t="s">
        <v>87</v>
      </c>
      <c r="R10" s="73" t="s">
        <v>88</v>
      </c>
      <c r="S10" s="66"/>
      <c r="T10" s="49" t="s">
        <v>89</v>
      </c>
      <c r="U10" s="46" t="s">
        <v>90</v>
      </c>
      <c r="V10" s="50"/>
      <c r="W10" s="47" t="s">
        <v>91</v>
      </c>
      <c r="X10" s="61" t="s">
        <v>92</v>
      </c>
      <c r="Y10" s="61" t="s">
        <v>93</v>
      </c>
      <c r="Z10" s="48" t="s">
        <v>94</v>
      </c>
      <c r="AA10" s="53"/>
      <c r="AB10" s="49" t="s">
        <v>95</v>
      </c>
      <c r="AC10" s="46" t="s">
        <v>90</v>
      </c>
      <c r="AE10" s="47" t="s">
        <v>91</v>
      </c>
      <c r="AF10" s="61" t="s">
        <v>92</v>
      </c>
      <c r="AG10" s="61" t="s">
        <v>93</v>
      </c>
      <c r="AH10" s="48" t="s">
        <v>94</v>
      </c>
    </row>
    <row r="11" spans="1:34" s="55" customFormat="1" ht="27.75" customHeight="1" thickBot="1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Q11" s="64">
        <f>IF(U11="","",1.15)</f>
        <v>1.1499999999999999</v>
      </c>
      <c r="R11" s="64">
        <f>IF(U11="","",0.8)</f>
        <v>0.8</v>
      </c>
      <c r="S11" s="67"/>
      <c r="T11" s="62">
        <f>_xlfn.STDEV.P($U$14:$U$120)/$U$11</f>
        <v>0.14466572574530578</v>
      </c>
      <c r="U11" s="63">
        <f>AVERAGE($W$14:$W$120)</f>
        <v>128.16917073170731</v>
      </c>
      <c r="V11" s="56"/>
      <c r="W11" s="60">
        <f>$U$11-(3*_xlfn.STDEV.S($W$14:$W$120))</f>
        <v>86.433135652819345</v>
      </c>
      <c r="X11" s="59">
        <f>$U$11-(2*_xlfn.STDEV.S($W$14:$W$120))</f>
        <v>100.34514734578201</v>
      </c>
      <c r="Y11" s="59">
        <f>$U$11+(2*_xlfn.STDEV.S($W$14:$W$120))</f>
        <v>155.99319411763261</v>
      </c>
      <c r="Z11" s="58">
        <f>$U$11+(3*_xlfn.STDEV.S($W$14:$W$120))</f>
        <v>169.90520581059528</v>
      </c>
      <c r="AA11" s="57"/>
      <c r="AB11" s="62">
        <f>_xlfn.STDEV.P($AC$14:$AC$120)/$AC$11</f>
        <v>8.9284133084583411E-2</v>
      </c>
      <c r="AC11" s="63">
        <f>AVERAGE($AC$14:$AC$120)</f>
        <v>6.8150595238095226</v>
      </c>
      <c r="AE11" s="60">
        <f>$AC$11-(3*_xlfn.STDEV.S($AE$14:$AE$120))</f>
        <v>4.9675022466306942</v>
      </c>
      <c r="AF11" s="59">
        <f>$AC$11-(2*_xlfn.STDEV.S($AE$14:$AE$120))</f>
        <v>5.58335467235697</v>
      </c>
      <c r="AG11" s="59">
        <f>$AC$11+(2*_xlfn.STDEV.S($AE$14:$AE$120))</f>
        <v>8.0467643752620752</v>
      </c>
      <c r="AH11" s="58">
        <f>$AC$11+(3*_xlfn.STDEV.S($AE$14:$AE$120))</f>
        <v>8.6626168009883511</v>
      </c>
    </row>
    <row r="12" spans="1:34" ht="11.2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19"/>
      <c r="Q12" s="20"/>
      <c r="R12" s="21"/>
      <c r="S12" s="21"/>
      <c r="T12" s="22"/>
      <c r="V12" s="8"/>
      <c r="Y12" s="8"/>
      <c r="Z12" s="8"/>
      <c r="AA12" s="6"/>
      <c r="AC12" s="8"/>
      <c r="AD12" s="8"/>
      <c r="AE12" s="8"/>
      <c r="AF12" s="8"/>
      <c r="AG12" s="8"/>
      <c r="AH12" s="8"/>
    </row>
    <row r="13" spans="1:34" ht="4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70" t="s">
        <v>96</v>
      </c>
      <c r="Q13" s="71" t="s">
        <v>97</v>
      </c>
      <c r="R13" s="71" t="s">
        <v>98</v>
      </c>
      <c r="S13" s="69"/>
      <c r="T13" s="72" t="s">
        <v>99</v>
      </c>
      <c r="U13" s="71" t="s">
        <v>100</v>
      </c>
      <c r="V13" s="69"/>
      <c r="W13" s="75" t="s">
        <v>101</v>
      </c>
      <c r="X13" s="75" t="s">
        <v>102</v>
      </c>
      <c r="Y13" s="76" t="s">
        <v>103</v>
      </c>
      <c r="Z13" s="77" t="s">
        <v>104</v>
      </c>
      <c r="AA13" s="6"/>
      <c r="AB13" s="26" t="s">
        <v>99</v>
      </c>
      <c r="AC13" s="27" t="s">
        <v>100</v>
      </c>
      <c r="AD13" s="28"/>
      <c r="AE13" s="23" t="s">
        <v>101</v>
      </c>
      <c r="AF13" s="23" t="s">
        <v>102</v>
      </c>
      <c r="AG13" s="24" t="s">
        <v>105</v>
      </c>
      <c r="AH13" s="25" t="s">
        <v>104</v>
      </c>
    </row>
    <row r="14" spans="1:34" ht="1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29">
        <v>1</v>
      </c>
      <c r="Q14" s="30" t="s">
        <v>106</v>
      </c>
      <c r="R14" s="31">
        <v>45677</v>
      </c>
      <c r="S14" s="68"/>
      <c r="T14" s="32">
        <v>118.7</v>
      </c>
      <c r="U14" s="38">
        <v>123.07</v>
      </c>
      <c r="V14" s="74"/>
      <c r="W14" s="34">
        <f>IF(X14&gt;3,"FALSE",U14)</f>
        <v>123.07</v>
      </c>
      <c r="X14" s="34">
        <f t="shared" ref="X14:X77" si="0">IF(U14="","FALSE",ABS((U14-AVERAGE($U$14:$U$120))/_xlfn.STDEV.S($U$14:$U$104)))</f>
        <v>0.37680735252716013</v>
      </c>
      <c r="Y14" s="35" t="str">
        <f>IF(OR(U14&gt;$Y$11,U14&lt;$X$11),U14,"")</f>
        <v/>
      </c>
      <c r="Z14" s="36">
        <f>IF(U14="","",U14/T14)</f>
        <v>1.0368155012636899</v>
      </c>
      <c r="AA14" s="6"/>
      <c r="AB14" s="37">
        <v>6.52</v>
      </c>
      <c r="AC14" s="38">
        <v>6.9509999999999996</v>
      </c>
      <c r="AD14" s="38"/>
      <c r="AE14" s="34">
        <f>IF(AF14&gt;3,"FALSE",AC14)</f>
        <v>6.9509999999999996</v>
      </c>
      <c r="AF14" s="34">
        <f>IF(AC14="","FALSE",ABS((AC14-AVERAGE($AC$14:$AC$120))/_xlfn.STDEV.S($AC$14:$AC$104)))</f>
        <v>0.22073547251220466</v>
      </c>
      <c r="AG14" s="35" t="str">
        <f t="shared" ref="AG14:AG77" si="1">IF(OR(AC14&gt;$AG$11,AC14&lt;$AF$11),AC14,"")</f>
        <v/>
      </c>
      <c r="AH14" s="36">
        <f t="shared" ref="AH14:AH77" si="2">IF(AC14="","",AC14/AB14)</f>
        <v>1.0661042944785277</v>
      </c>
    </row>
    <row r="15" spans="1:34" ht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29">
        <f t="shared" ref="P15:P78" si="3">IF(R15&lt;&gt;"",P14+1,"")</f>
        <v>2</v>
      </c>
      <c r="Q15" s="30" t="s">
        <v>106</v>
      </c>
      <c r="R15" s="31">
        <v>45677</v>
      </c>
      <c r="S15" s="68"/>
      <c r="T15" s="32">
        <v>118.7</v>
      </c>
      <c r="U15" s="38">
        <v>120.10299999999999</v>
      </c>
      <c r="V15" s="74"/>
      <c r="W15" s="34">
        <f t="shared" ref="W15:W78" si="4">IF(X15&gt;3,"FALSE",U15)</f>
        <v>120.10299999999999</v>
      </c>
      <c r="X15" s="34">
        <f t="shared" si="0"/>
        <v>0.5349087122351005</v>
      </c>
      <c r="Y15" s="35" t="str">
        <f t="shared" ref="Y15:Y78" si="5">IF(OR(U15&gt;$Y$11,U15&lt;$X$11),U15,"")</f>
        <v/>
      </c>
      <c r="Z15" s="36">
        <f t="shared" ref="Z15:Z78" si="6">IF(U15="","",U15/T15)</f>
        <v>1.0118197135636056</v>
      </c>
      <c r="AA15" s="6"/>
      <c r="AB15" s="37">
        <v>6.52</v>
      </c>
      <c r="AC15" s="38">
        <v>6.9329999999999998</v>
      </c>
      <c r="AD15" s="38"/>
      <c r="AE15" s="34">
        <f t="shared" ref="AE15:AE58" si="7">IF(AF15&gt;3,"FALSE",AC15)</f>
        <v>6.9329999999999998</v>
      </c>
      <c r="AF15" s="34">
        <f t="shared" ref="AF15:AF78" si="8">IF(AC15="","FALSE",ABS((AC15-AVERAGE($AC$14:$AC$120))/_xlfn.STDEV.S($AC$14:$AC$104)))</f>
        <v>0.19150769123201833</v>
      </c>
      <c r="AG15" s="35" t="str">
        <f t="shared" si="1"/>
        <v/>
      </c>
      <c r="AH15" s="36">
        <f t="shared" si="2"/>
        <v>1.0633435582822086</v>
      </c>
    </row>
    <row r="16" spans="1:34" ht="1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29">
        <f t="shared" si="3"/>
        <v>3</v>
      </c>
      <c r="Q16" s="30" t="s">
        <v>106</v>
      </c>
      <c r="R16" s="31">
        <v>45677</v>
      </c>
      <c r="S16" s="68"/>
      <c r="T16" s="32">
        <v>118.7</v>
      </c>
      <c r="U16" s="38">
        <v>135.714</v>
      </c>
      <c r="V16" s="74"/>
      <c r="W16" s="34">
        <f t="shared" si="4"/>
        <v>135.714</v>
      </c>
      <c r="X16" s="34">
        <f t="shared" si="0"/>
        <v>0.29694849248369243</v>
      </c>
      <c r="Y16" s="35" t="str">
        <f t="shared" si="5"/>
        <v/>
      </c>
      <c r="Z16" s="36">
        <f t="shared" si="6"/>
        <v>1.1433361415332772</v>
      </c>
      <c r="AA16" s="6"/>
      <c r="AB16" s="37">
        <v>6.52</v>
      </c>
      <c r="AC16" s="38">
        <v>7.4290000000000003</v>
      </c>
      <c r="AD16" s="38"/>
      <c r="AE16" s="34">
        <f t="shared" si="7"/>
        <v>7.4290000000000003</v>
      </c>
      <c r="AF16" s="34">
        <f t="shared" si="8"/>
        <v>0.99689544206382918</v>
      </c>
      <c r="AG16" s="35" t="str">
        <f t="shared" si="1"/>
        <v/>
      </c>
      <c r="AH16" s="36">
        <f t="shared" si="2"/>
        <v>1.1394171779141105</v>
      </c>
    </row>
    <row r="17" spans="1:34" ht="1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29">
        <f t="shared" si="3"/>
        <v>4</v>
      </c>
      <c r="Q17" s="30" t="s">
        <v>106</v>
      </c>
      <c r="R17" s="31">
        <v>45677</v>
      </c>
      <c r="S17" s="68"/>
      <c r="T17" s="32">
        <v>118.7</v>
      </c>
      <c r="U17" s="38">
        <v>125.651</v>
      </c>
      <c r="V17" s="74"/>
      <c r="W17" s="34">
        <f t="shared" si="4"/>
        <v>125.651</v>
      </c>
      <c r="X17" s="34">
        <f t="shared" si="0"/>
        <v>0.23927462269696304</v>
      </c>
      <c r="Y17" s="35" t="str">
        <f t="shared" si="5"/>
        <v/>
      </c>
      <c r="Z17" s="36">
        <f t="shared" si="6"/>
        <v>1.058559393428812</v>
      </c>
      <c r="AA17" s="6"/>
      <c r="AB17" s="37">
        <v>6.52</v>
      </c>
      <c r="AC17" s="38">
        <v>6.7039999999999997</v>
      </c>
      <c r="AD17" s="38"/>
      <c r="AE17" s="34">
        <f t="shared" si="7"/>
        <v>6.7039999999999997</v>
      </c>
      <c r="AF17" s="34">
        <f t="shared" si="8"/>
        <v>0.1803346372770232</v>
      </c>
      <c r="AG17" s="35" t="str">
        <f t="shared" si="1"/>
        <v/>
      </c>
      <c r="AH17" s="36">
        <f t="shared" si="2"/>
        <v>1.0282208588957056</v>
      </c>
    </row>
    <row r="18" spans="1:34" ht="1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29">
        <f t="shared" si="3"/>
        <v>5</v>
      </c>
      <c r="Q18" s="30" t="s">
        <v>106</v>
      </c>
      <c r="R18" s="31">
        <v>45677</v>
      </c>
      <c r="S18" s="68"/>
      <c r="T18" s="32">
        <v>118.7</v>
      </c>
      <c r="U18" s="38">
        <v>138.25299999999999</v>
      </c>
      <c r="V18" s="74"/>
      <c r="W18" s="34">
        <f t="shared" si="4"/>
        <v>138.25299999999999</v>
      </c>
      <c r="X18" s="34">
        <f t="shared" si="0"/>
        <v>0.43224318486605123</v>
      </c>
      <c r="Y18" s="35" t="str">
        <f t="shared" si="5"/>
        <v/>
      </c>
      <c r="Z18" s="36">
        <f t="shared" si="6"/>
        <v>1.1647262005054759</v>
      </c>
      <c r="AA18" s="6"/>
      <c r="AB18" s="37">
        <v>6.52</v>
      </c>
      <c r="AC18" s="38">
        <v>6.782</v>
      </c>
      <c r="AD18" s="38"/>
      <c r="AE18" s="34">
        <f t="shared" si="7"/>
        <v>6.782</v>
      </c>
      <c r="AF18" s="34">
        <f t="shared" si="8"/>
        <v>5.3680918396213868E-2</v>
      </c>
      <c r="AG18" s="35" t="str">
        <f t="shared" si="1"/>
        <v/>
      </c>
      <c r="AH18" s="36">
        <f t="shared" si="2"/>
        <v>1.0401840490797547</v>
      </c>
    </row>
    <row r="19" spans="1:34" ht="1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29">
        <f t="shared" si="3"/>
        <v>6</v>
      </c>
      <c r="Q19" s="30" t="s">
        <v>106</v>
      </c>
      <c r="R19" s="31">
        <v>45678</v>
      </c>
      <c r="S19" s="68"/>
      <c r="T19" s="32">
        <v>118.7</v>
      </c>
      <c r="U19" s="38">
        <v>130.99600000000001</v>
      </c>
      <c r="V19" s="74"/>
      <c r="W19" s="34">
        <f t="shared" si="4"/>
        <v>130.99600000000001</v>
      </c>
      <c r="X19" s="34">
        <f t="shared" si="0"/>
        <v>4.5542285843294304E-2</v>
      </c>
      <c r="Y19" s="35" t="str">
        <f t="shared" si="5"/>
        <v/>
      </c>
      <c r="Z19" s="36">
        <f t="shared" si="6"/>
        <v>1.1035888795282225</v>
      </c>
      <c r="AA19" s="6"/>
      <c r="AB19" s="37">
        <v>6.52</v>
      </c>
      <c r="AC19" s="38">
        <v>8.0399999999999991</v>
      </c>
      <c r="AD19" s="38"/>
      <c r="AE19" s="34">
        <f t="shared" si="7"/>
        <v>8.0399999999999991</v>
      </c>
      <c r="AF19" s="34">
        <f t="shared" si="8"/>
        <v>1.9890162399634967</v>
      </c>
      <c r="AG19" s="35" t="str">
        <f t="shared" si="1"/>
        <v/>
      </c>
      <c r="AH19" s="36">
        <f t="shared" si="2"/>
        <v>1.2331288343558282</v>
      </c>
    </row>
    <row r="20" spans="1:34" ht="1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29">
        <f t="shared" si="3"/>
        <v>7</v>
      </c>
      <c r="Q20" s="30" t="s">
        <v>106</v>
      </c>
      <c r="R20" s="31">
        <v>45678</v>
      </c>
      <c r="S20" s="68"/>
      <c r="T20" s="32">
        <v>118.7</v>
      </c>
      <c r="U20" s="38">
        <v>118.441</v>
      </c>
      <c r="V20" s="74"/>
      <c r="W20" s="34">
        <f t="shared" si="4"/>
        <v>118.441</v>
      </c>
      <c r="X20" s="34">
        <f t="shared" si="0"/>
        <v>0.62347105124237912</v>
      </c>
      <c r="Y20" s="35" t="str">
        <f t="shared" si="5"/>
        <v/>
      </c>
      <c r="Z20" s="36">
        <f t="shared" si="6"/>
        <v>0.99781802864363944</v>
      </c>
      <c r="AA20" s="6"/>
      <c r="AB20" s="37">
        <v>6.52</v>
      </c>
      <c r="AC20" s="38">
        <v>6.4550000000000001</v>
      </c>
      <c r="AD20" s="38"/>
      <c r="AE20" s="34">
        <f t="shared" si="7"/>
        <v>6.4550000000000001</v>
      </c>
      <c r="AF20" s="34">
        <f t="shared" si="8"/>
        <v>0.58465227831960476</v>
      </c>
      <c r="AG20" s="35" t="str">
        <f t="shared" si="1"/>
        <v/>
      </c>
      <c r="AH20" s="36">
        <f t="shared" si="2"/>
        <v>0.99003067484662588</v>
      </c>
    </row>
    <row r="21" spans="1:34" ht="1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29">
        <f t="shared" si="3"/>
        <v>8</v>
      </c>
      <c r="Q21" s="30" t="s">
        <v>106</v>
      </c>
      <c r="R21" s="31">
        <v>45678</v>
      </c>
      <c r="S21" s="68"/>
      <c r="T21" s="32">
        <v>118.7</v>
      </c>
      <c r="U21" s="38">
        <v>124.931</v>
      </c>
      <c r="V21" s="74"/>
      <c r="W21" s="34">
        <f t="shared" si="4"/>
        <v>124.931</v>
      </c>
      <c r="X21" s="34">
        <f t="shared" si="0"/>
        <v>0.27764097894560374</v>
      </c>
      <c r="Y21" s="35" t="str">
        <f t="shared" si="5"/>
        <v/>
      </c>
      <c r="Z21" s="36">
        <f t="shared" si="6"/>
        <v>1.0524936815501262</v>
      </c>
      <c r="AA21" s="6"/>
      <c r="AB21" s="37">
        <v>6.52</v>
      </c>
      <c r="AC21" s="38">
        <v>6.69</v>
      </c>
      <c r="AD21" s="38"/>
      <c r="AE21" s="34">
        <f t="shared" si="7"/>
        <v>6.69</v>
      </c>
      <c r="AF21" s="34">
        <f t="shared" si="8"/>
        <v>0.20306735605050066</v>
      </c>
      <c r="AG21" s="35" t="str">
        <f t="shared" si="1"/>
        <v/>
      </c>
      <c r="AH21" s="36">
        <f t="shared" si="2"/>
        <v>1.026073619631902</v>
      </c>
    </row>
    <row r="22" spans="1:34" ht="1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29">
        <f t="shared" si="3"/>
        <v>9</v>
      </c>
      <c r="Q22" s="30" t="s">
        <v>106</v>
      </c>
      <c r="R22" s="31">
        <v>45678</v>
      </c>
      <c r="S22" s="68"/>
      <c r="T22" s="32">
        <v>118.7</v>
      </c>
      <c r="U22" s="38">
        <v>125.194</v>
      </c>
      <c r="V22" s="74"/>
      <c r="W22" s="34">
        <f t="shared" si="4"/>
        <v>125.194</v>
      </c>
      <c r="X22" s="34">
        <f t="shared" si="0"/>
        <v>0.26362660159366941</v>
      </c>
      <c r="Y22" s="35" t="str">
        <f t="shared" si="5"/>
        <v/>
      </c>
      <c r="Z22" s="36">
        <f t="shared" si="6"/>
        <v>1.054709351305813</v>
      </c>
      <c r="AA22" s="6"/>
      <c r="AB22" s="37">
        <v>6.52</v>
      </c>
      <c r="AC22" s="38">
        <v>7.19</v>
      </c>
      <c r="AD22" s="38"/>
      <c r="AE22" s="34">
        <f t="shared" si="7"/>
        <v>7.19</v>
      </c>
      <c r="AF22" s="34">
        <f t="shared" si="8"/>
        <v>0.60881545728801767</v>
      </c>
      <c r="AG22" s="35" t="str">
        <f t="shared" si="1"/>
        <v/>
      </c>
      <c r="AH22" s="36">
        <f t="shared" si="2"/>
        <v>1.1027607361963192</v>
      </c>
    </row>
    <row r="23" spans="1:34" ht="1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29">
        <f t="shared" si="3"/>
        <v>10</v>
      </c>
      <c r="Q23" s="30" t="s">
        <v>106</v>
      </c>
      <c r="R23" s="31">
        <v>45678</v>
      </c>
      <c r="S23" s="68"/>
      <c r="T23" s="32">
        <v>118.7</v>
      </c>
      <c r="U23" s="38">
        <v>116.41800000000001</v>
      </c>
      <c r="V23" s="74"/>
      <c r="W23" s="34">
        <f t="shared" si="4"/>
        <v>116.41800000000001</v>
      </c>
      <c r="X23" s="34">
        <f t="shared" si="0"/>
        <v>0.73126985497987917</v>
      </c>
      <c r="Y23" s="35" t="str">
        <f t="shared" si="5"/>
        <v/>
      </c>
      <c r="Z23" s="36">
        <f t="shared" si="6"/>
        <v>0.98077506318449881</v>
      </c>
      <c r="AA23" s="6"/>
      <c r="AB23" s="37">
        <v>6.52</v>
      </c>
      <c r="AC23" s="38">
        <v>7.2590000000000003</v>
      </c>
      <c r="AD23" s="38"/>
      <c r="AE23" s="34">
        <f t="shared" si="7"/>
        <v>7.2590000000000003</v>
      </c>
      <c r="AF23" s="34">
        <f t="shared" si="8"/>
        <v>0.72085528552873313</v>
      </c>
      <c r="AG23" s="35" t="str">
        <f t="shared" si="1"/>
        <v/>
      </c>
      <c r="AH23" s="36">
        <f t="shared" si="2"/>
        <v>1.1133435582822087</v>
      </c>
    </row>
    <row r="24" spans="1:34" ht="1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29">
        <f t="shared" si="3"/>
        <v>11</v>
      </c>
      <c r="Q24" s="30" t="s">
        <v>106</v>
      </c>
      <c r="R24" s="31">
        <v>45679</v>
      </c>
      <c r="S24" s="68"/>
      <c r="T24" s="32">
        <v>118.7</v>
      </c>
      <c r="U24" s="38">
        <v>150.101</v>
      </c>
      <c r="V24" s="74"/>
      <c r="W24" s="34">
        <f t="shared" si="4"/>
        <v>150.101</v>
      </c>
      <c r="X24" s="34">
        <f t="shared" si="0"/>
        <v>1.0635828915797958</v>
      </c>
      <c r="Y24" s="35" t="str">
        <f t="shared" si="5"/>
        <v/>
      </c>
      <c r="Z24" s="36">
        <f t="shared" si="6"/>
        <v>1.2645408593091827</v>
      </c>
      <c r="AA24" s="6"/>
      <c r="AB24" s="37">
        <v>6.52</v>
      </c>
      <c r="AC24" s="38">
        <v>7.84</v>
      </c>
      <c r="AD24" s="38"/>
      <c r="AE24" s="34">
        <f t="shared" si="7"/>
        <v>7.84</v>
      </c>
      <c r="AF24" s="34">
        <f t="shared" si="8"/>
        <v>1.6642631146280906</v>
      </c>
      <c r="AG24" s="35" t="str">
        <f t="shared" si="1"/>
        <v/>
      </c>
      <c r="AH24" s="36">
        <f t="shared" si="2"/>
        <v>1.2024539877300615</v>
      </c>
    </row>
    <row r="25" spans="1:34" ht="1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29">
        <f t="shared" si="3"/>
        <v>12</v>
      </c>
      <c r="Q25" s="30" t="s">
        <v>106</v>
      </c>
      <c r="R25" s="31">
        <v>45679</v>
      </c>
      <c r="S25" s="68"/>
      <c r="T25" s="32">
        <v>118.7</v>
      </c>
      <c r="U25" s="38">
        <v>167.75399999999999</v>
      </c>
      <c r="V25" s="74"/>
      <c r="W25" s="34">
        <f t="shared" si="4"/>
        <v>167.75399999999999</v>
      </c>
      <c r="X25" s="34">
        <f t="shared" si="0"/>
        <v>2.0042513455482052</v>
      </c>
      <c r="Y25" s="35">
        <f t="shared" si="5"/>
        <v>167.75399999999999</v>
      </c>
      <c r="Z25" s="36">
        <f t="shared" si="6"/>
        <v>1.4132603201347935</v>
      </c>
      <c r="AA25" s="6"/>
      <c r="AB25" s="37">
        <v>6.52</v>
      </c>
      <c r="AC25" s="38">
        <v>6.827</v>
      </c>
      <c r="AD25" s="38"/>
      <c r="AE25" s="34">
        <f t="shared" si="7"/>
        <v>6.827</v>
      </c>
      <c r="AF25" s="34">
        <f t="shared" si="8"/>
        <v>1.9388534804252663E-2</v>
      </c>
      <c r="AG25" s="35" t="str">
        <f t="shared" si="1"/>
        <v/>
      </c>
      <c r="AH25" s="36">
        <f t="shared" si="2"/>
        <v>1.0470858895705522</v>
      </c>
    </row>
    <row r="26" spans="1:34" ht="1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29">
        <f t="shared" si="3"/>
        <v>13</v>
      </c>
      <c r="Q26" s="30" t="s">
        <v>106</v>
      </c>
      <c r="R26" s="31">
        <v>45679</v>
      </c>
      <c r="S26" s="68"/>
      <c r="T26" s="32">
        <v>118.7</v>
      </c>
      <c r="U26" s="38">
        <v>165.22900000000001</v>
      </c>
      <c r="V26" s="74"/>
      <c r="W26" s="34">
        <f t="shared" si="4"/>
        <v>165.22900000000001</v>
      </c>
      <c r="X26" s="34">
        <f t="shared" si="0"/>
        <v>1.8697026656484594</v>
      </c>
      <c r="Y26" s="35">
        <f t="shared" si="5"/>
        <v>165.22900000000001</v>
      </c>
      <c r="Z26" s="36">
        <f t="shared" si="6"/>
        <v>1.3919882055602359</v>
      </c>
      <c r="AA26" s="6"/>
      <c r="AB26" s="37">
        <v>6.52</v>
      </c>
      <c r="AC26" s="38">
        <v>6.0220000000000002</v>
      </c>
      <c r="AD26" s="38"/>
      <c r="AE26" s="34">
        <f t="shared" si="7"/>
        <v>6.0220000000000002</v>
      </c>
      <c r="AF26" s="34">
        <f t="shared" si="8"/>
        <v>1.2877427946707614</v>
      </c>
      <c r="AG26" s="35" t="str">
        <f t="shared" si="1"/>
        <v/>
      </c>
      <c r="AH26" s="36">
        <f t="shared" si="2"/>
        <v>0.9236196319018406</v>
      </c>
    </row>
    <row r="27" spans="1:34" ht="1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29">
        <f t="shared" si="3"/>
        <v>14</v>
      </c>
      <c r="Q27" s="30" t="s">
        <v>106</v>
      </c>
      <c r="R27" s="31">
        <v>45679</v>
      </c>
      <c r="S27" s="68"/>
      <c r="T27" s="32">
        <v>118.7</v>
      </c>
      <c r="U27" s="38">
        <v>211</v>
      </c>
      <c r="V27" s="74"/>
      <c r="W27" s="34" t="str">
        <f t="shared" si="4"/>
        <v>FALSE</v>
      </c>
      <c r="X27" s="34">
        <f t="shared" si="0"/>
        <v>4.3086839043380918</v>
      </c>
      <c r="Y27" s="35">
        <f t="shared" si="5"/>
        <v>211</v>
      </c>
      <c r="Z27" s="36">
        <f t="shared" si="6"/>
        <v>1.7775905644481886</v>
      </c>
      <c r="AA27" s="6"/>
      <c r="AB27" s="37">
        <v>6.52</v>
      </c>
      <c r="AC27" s="38">
        <v>7.0650000000000004</v>
      </c>
      <c r="AD27" s="38"/>
      <c r="AE27" s="34">
        <f t="shared" si="7"/>
        <v>7.0650000000000004</v>
      </c>
      <c r="AF27" s="34">
        <f t="shared" si="8"/>
        <v>0.40584475395338809</v>
      </c>
      <c r="AG27" s="35" t="str">
        <f t="shared" si="1"/>
        <v/>
      </c>
      <c r="AH27" s="36">
        <f t="shared" si="2"/>
        <v>1.0835889570552149</v>
      </c>
    </row>
    <row r="28" spans="1:34" ht="1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29">
        <f t="shared" si="3"/>
        <v>15</v>
      </c>
      <c r="Q28" s="30" t="s">
        <v>106</v>
      </c>
      <c r="R28" s="31">
        <v>45679</v>
      </c>
      <c r="S28" s="68"/>
      <c r="T28" s="32">
        <v>118.7</v>
      </c>
      <c r="U28" s="38">
        <v>140.46299999999999</v>
      </c>
      <c r="V28" s="74"/>
      <c r="W28" s="34">
        <f t="shared" si="4"/>
        <v>140.46299999999999</v>
      </c>
      <c r="X28" s="34">
        <f t="shared" si="0"/>
        <v>0.5500065839070184</v>
      </c>
      <c r="Y28" s="35" t="str">
        <f t="shared" si="5"/>
        <v/>
      </c>
      <c r="Z28" s="36">
        <f t="shared" si="6"/>
        <v>1.1833445661331086</v>
      </c>
      <c r="AA28" s="6"/>
      <c r="AB28" s="37">
        <v>6.52</v>
      </c>
      <c r="AC28" s="38">
        <v>6.6589999999999998</v>
      </c>
      <c r="AD28" s="38"/>
      <c r="AE28" s="34">
        <f t="shared" si="7"/>
        <v>6.6589999999999998</v>
      </c>
      <c r="AF28" s="34">
        <f t="shared" si="8"/>
        <v>0.25340409047748974</v>
      </c>
      <c r="AG28" s="35" t="str">
        <f t="shared" si="1"/>
        <v/>
      </c>
      <c r="AH28" s="36">
        <f t="shared" si="2"/>
        <v>1.0213190184049079</v>
      </c>
    </row>
    <row r="29" spans="1:34" ht="1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 t="s">
        <v>107</v>
      </c>
      <c r="O29" s="8"/>
      <c r="P29" s="29">
        <f t="shared" si="3"/>
        <v>16</v>
      </c>
      <c r="Q29" s="30" t="s">
        <v>106</v>
      </c>
      <c r="R29" s="31">
        <v>45681</v>
      </c>
      <c r="S29" s="68"/>
      <c r="T29" s="32">
        <v>118.7</v>
      </c>
      <c r="U29" s="38">
        <v>142.66200000000001</v>
      </c>
      <c r="V29" s="74"/>
      <c r="W29" s="34">
        <f t="shared" si="4"/>
        <v>142.66200000000001</v>
      </c>
      <c r="X29" s="34">
        <f t="shared" si="0"/>
        <v>0.66718383028307604</v>
      </c>
      <c r="Y29" s="35" t="str">
        <f t="shared" si="5"/>
        <v/>
      </c>
      <c r="Z29" s="36">
        <f t="shared" si="6"/>
        <v>1.2018702611625949</v>
      </c>
      <c r="AA29" s="6"/>
      <c r="AB29" s="37">
        <v>6.52</v>
      </c>
      <c r="AC29" s="38">
        <v>5.694</v>
      </c>
      <c r="AD29" s="38"/>
      <c r="AE29" s="34">
        <f t="shared" si="7"/>
        <v>5.694</v>
      </c>
      <c r="AF29" s="34">
        <f t="shared" si="8"/>
        <v>1.8203379202208299</v>
      </c>
      <c r="AG29" s="35" t="str">
        <f t="shared" si="1"/>
        <v/>
      </c>
      <c r="AH29" s="36">
        <f t="shared" si="2"/>
        <v>0.87331288343558289</v>
      </c>
    </row>
    <row r="30" spans="1:34" ht="1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29">
        <f t="shared" si="3"/>
        <v>17</v>
      </c>
      <c r="Q30" s="30" t="s">
        <v>106</v>
      </c>
      <c r="R30" s="31">
        <v>45681</v>
      </c>
      <c r="S30" s="68"/>
      <c r="T30" s="32">
        <v>118.7</v>
      </c>
      <c r="U30" s="38">
        <v>121.521</v>
      </c>
      <c r="V30" s="74"/>
      <c r="W30" s="34">
        <f t="shared" si="4"/>
        <v>121.521</v>
      </c>
      <c r="X30" s="34">
        <f t="shared" si="0"/>
        <v>0.45934830506763819</v>
      </c>
      <c r="Y30" s="35" t="str">
        <f t="shared" si="5"/>
        <v/>
      </c>
      <c r="Z30" s="36">
        <f t="shared" si="6"/>
        <v>1.023765796124684</v>
      </c>
      <c r="AA30" s="6"/>
      <c r="AB30" s="37">
        <v>6.52</v>
      </c>
      <c r="AC30" s="38">
        <v>6.6689999999999996</v>
      </c>
      <c r="AD30" s="38"/>
      <c r="AE30" s="34">
        <f t="shared" si="7"/>
        <v>6.6689999999999996</v>
      </c>
      <c r="AF30" s="34">
        <f t="shared" si="8"/>
        <v>0.2371664342107197</v>
      </c>
      <c r="AG30" s="35" t="str">
        <f t="shared" si="1"/>
        <v/>
      </c>
      <c r="AH30" s="36">
        <f t="shared" si="2"/>
        <v>1.0228527607361964</v>
      </c>
    </row>
    <row r="31" spans="1:34" ht="1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29">
        <f t="shared" si="3"/>
        <v>18</v>
      </c>
      <c r="Q31" s="30" t="s">
        <v>106</v>
      </c>
      <c r="R31" s="31">
        <v>45681</v>
      </c>
      <c r="S31" s="68"/>
      <c r="T31" s="32">
        <v>118.7</v>
      </c>
      <c r="U31" s="38">
        <v>134.077</v>
      </c>
      <c r="V31" s="74"/>
      <c r="W31" s="34">
        <f t="shared" si="4"/>
        <v>134.077</v>
      </c>
      <c r="X31" s="34">
        <f t="shared" si="0"/>
        <v>0.20971831862393558</v>
      </c>
      <c r="Y31" s="35" t="str">
        <f t="shared" si="5"/>
        <v/>
      </c>
      <c r="Z31" s="36">
        <f t="shared" si="6"/>
        <v>1.1295450716090984</v>
      </c>
      <c r="AA31" s="6"/>
      <c r="AB31" s="37">
        <v>6.52</v>
      </c>
      <c r="AC31" s="38">
        <v>6.5039999999999996</v>
      </c>
      <c r="AD31" s="38"/>
      <c r="AE31" s="34">
        <f t="shared" si="7"/>
        <v>6.5039999999999996</v>
      </c>
      <c r="AF31" s="34">
        <f t="shared" si="8"/>
        <v>0.50508776261243082</v>
      </c>
      <c r="AG31" s="35" t="str">
        <f t="shared" si="1"/>
        <v/>
      </c>
      <c r="AH31" s="36">
        <f t="shared" si="2"/>
        <v>0.99754601226993866</v>
      </c>
    </row>
    <row r="32" spans="1:34" ht="1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29">
        <f t="shared" si="3"/>
        <v>19</v>
      </c>
      <c r="Q32" s="30" t="s">
        <v>106</v>
      </c>
      <c r="R32" s="31">
        <v>45681</v>
      </c>
      <c r="S32" s="68"/>
      <c r="T32" s="32">
        <v>118.7</v>
      </c>
      <c r="U32" s="38">
        <v>129.43600000000001</v>
      </c>
      <c r="V32" s="74"/>
      <c r="W32" s="34">
        <f t="shared" si="4"/>
        <v>129.43600000000001</v>
      </c>
      <c r="X32" s="34">
        <f t="shared" si="0"/>
        <v>3.7584819362094103E-2</v>
      </c>
      <c r="Y32" s="35" t="str">
        <f t="shared" si="5"/>
        <v/>
      </c>
      <c r="Z32" s="36">
        <f t="shared" si="6"/>
        <v>1.09044650379107</v>
      </c>
      <c r="AA32" s="6"/>
      <c r="AB32" s="37">
        <v>6.52</v>
      </c>
      <c r="AC32" s="38">
        <v>7.2649999999999997</v>
      </c>
      <c r="AD32" s="38"/>
      <c r="AE32" s="34">
        <f t="shared" si="7"/>
        <v>7.2649999999999997</v>
      </c>
      <c r="AF32" s="34">
        <f t="shared" si="8"/>
        <v>0.73059787928879427</v>
      </c>
      <c r="AG32" s="35" t="str">
        <f t="shared" si="1"/>
        <v/>
      </c>
      <c r="AH32" s="36">
        <f t="shared" si="2"/>
        <v>1.1142638036809815</v>
      </c>
    </row>
    <row r="33" spans="1:34" ht="1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29">
        <f t="shared" si="3"/>
        <v>20</v>
      </c>
      <c r="Q33" s="30" t="s">
        <v>106</v>
      </c>
      <c r="R33" s="31">
        <v>45681</v>
      </c>
      <c r="S33" s="68"/>
      <c r="T33" s="32">
        <v>118.7</v>
      </c>
      <c r="U33" s="38">
        <v>121.377</v>
      </c>
      <c r="V33" s="74"/>
      <c r="W33" s="34">
        <f t="shared" si="4"/>
        <v>121.377</v>
      </c>
      <c r="X33" s="34">
        <f t="shared" si="0"/>
        <v>0.46702157631736663</v>
      </c>
      <c r="Y33" s="35" t="str">
        <f t="shared" si="5"/>
        <v/>
      </c>
      <c r="Z33" s="36">
        <f t="shared" si="6"/>
        <v>1.0225526537489469</v>
      </c>
      <c r="AA33" s="6"/>
      <c r="AB33" s="37">
        <v>6.52</v>
      </c>
      <c r="AC33" s="38">
        <v>6.1230000000000002</v>
      </c>
      <c r="AD33" s="38"/>
      <c r="AE33" s="34">
        <f t="shared" si="7"/>
        <v>6.1230000000000002</v>
      </c>
      <c r="AF33" s="34">
        <f t="shared" si="8"/>
        <v>1.1237424663763806</v>
      </c>
      <c r="AG33" s="35" t="str">
        <f t="shared" si="1"/>
        <v/>
      </c>
      <c r="AH33" s="36">
        <f t="shared" si="2"/>
        <v>0.93911042944785283</v>
      </c>
    </row>
    <row r="34" spans="1:34" ht="1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29">
        <f t="shared" si="3"/>
        <v>21</v>
      </c>
      <c r="Q34" s="30" t="s">
        <v>108</v>
      </c>
      <c r="R34" s="31">
        <v>45743</v>
      </c>
      <c r="S34" s="68"/>
      <c r="T34" s="39">
        <v>118.9</v>
      </c>
      <c r="U34" s="38">
        <v>132.267</v>
      </c>
      <c r="V34" s="74"/>
      <c r="W34" s="34">
        <f t="shared" si="4"/>
        <v>132.267</v>
      </c>
      <c r="X34" s="34">
        <f t="shared" si="0"/>
        <v>0.11326956194332469</v>
      </c>
      <c r="Y34" s="35" t="str">
        <f t="shared" si="5"/>
        <v/>
      </c>
      <c r="Z34" s="36">
        <f t="shared" si="6"/>
        <v>1.1124222035323801</v>
      </c>
      <c r="AA34" s="6"/>
      <c r="AB34" s="37">
        <v>6.7</v>
      </c>
      <c r="AC34" s="38">
        <v>6.3369999999999997</v>
      </c>
      <c r="AD34" s="38"/>
      <c r="AE34" s="34">
        <f t="shared" si="7"/>
        <v>6.3369999999999997</v>
      </c>
      <c r="AF34" s="34">
        <f t="shared" si="8"/>
        <v>0.77625662226749559</v>
      </c>
      <c r="AG34" s="35" t="str">
        <f t="shared" si="1"/>
        <v/>
      </c>
      <c r="AH34" s="36">
        <f t="shared" si="2"/>
        <v>0.94582089552238802</v>
      </c>
    </row>
    <row r="35" spans="1:34" ht="1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29">
        <f t="shared" si="3"/>
        <v>22</v>
      </c>
      <c r="Q35" s="30" t="s">
        <v>108</v>
      </c>
      <c r="R35" s="31">
        <v>45743</v>
      </c>
      <c r="S35" s="68"/>
      <c r="T35" s="39">
        <v>118.9</v>
      </c>
      <c r="U35" s="38">
        <v>127.774</v>
      </c>
      <c r="V35" s="74"/>
      <c r="W35" s="34">
        <f t="shared" si="4"/>
        <v>127.774</v>
      </c>
      <c r="X35" s="34">
        <f t="shared" si="0"/>
        <v>0.12614715836937349</v>
      </c>
      <c r="Y35" s="35" t="str">
        <f t="shared" si="5"/>
        <v/>
      </c>
      <c r="Z35" s="36">
        <f t="shared" si="6"/>
        <v>1.0746341463414635</v>
      </c>
      <c r="AA35" s="6"/>
      <c r="AB35" s="37">
        <v>6.7</v>
      </c>
      <c r="AC35" s="38">
        <v>6.6859999999999999</v>
      </c>
      <c r="AD35" s="38"/>
      <c r="AE35" s="34">
        <f t="shared" si="7"/>
        <v>6.6859999999999999</v>
      </c>
      <c r="AF35" s="34">
        <f t="shared" si="8"/>
        <v>0.20956241855720953</v>
      </c>
      <c r="AG35" s="35" t="str">
        <f t="shared" si="1"/>
        <v/>
      </c>
      <c r="AH35" s="36">
        <f t="shared" si="2"/>
        <v>0.99791044776119397</v>
      </c>
    </row>
    <row r="36" spans="1:34" ht="1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29">
        <f t="shared" si="3"/>
        <v>23</v>
      </c>
      <c r="Q36" s="30" t="s">
        <v>108</v>
      </c>
      <c r="R36" s="31">
        <v>45772</v>
      </c>
      <c r="S36" s="68"/>
      <c r="T36" s="39">
        <v>118.9</v>
      </c>
      <c r="U36" s="38">
        <v>130.02799999999999</v>
      </c>
      <c r="V36" s="74"/>
      <c r="W36" s="34">
        <f t="shared" si="4"/>
        <v>130.02799999999999</v>
      </c>
      <c r="X36" s="34">
        <f t="shared" si="0"/>
        <v>6.0391486687680906E-3</v>
      </c>
      <c r="Y36" s="35" t="str">
        <f t="shared" si="5"/>
        <v/>
      </c>
      <c r="Z36" s="36">
        <f t="shared" si="6"/>
        <v>1.0935912531539107</v>
      </c>
      <c r="AA36" s="6"/>
      <c r="AB36" s="37">
        <v>6.7</v>
      </c>
      <c r="AC36" s="38">
        <v>7.3769999999999998</v>
      </c>
      <c r="AD36" s="38"/>
      <c r="AE36" s="34">
        <f t="shared" si="7"/>
        <v>7.3769999999999998</v>
      </c>
      <c r="AF36" s="34">
        <f t="shared" si="8"/>
        <v>0.91245962947662251</v>
      </c>
      <c r="AG36" s="35" t="str">
        <f t="shared" si="1"/>
        <v/>
      </c>
      <c r="AH36" s="36">
        <f t="shared" si="2"/>
        <v>1.1010447761194029</v>
      </c>
    </row>
    <row r="37" spans="1:34" ht="1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29">
        <f t="shared" si="3"/>
        <v>24</v>
      </c>
      <c r="Q37" s="30" t="s">
        <v>108</v>
      </c>
      <c r="R37" s="31">
        <v>45772</v>
      </c>
      <c r="S37" s="68"/>
      <c r="T37" s="39">
        <v>118.9</v>
      </c>
      <c r="U37" s="38">
        <v>118.113</v>
      </c>
      <c r="V37" s="74"/>
      <c r="W37" s="34">
        <f t="shared" si="4"/>
        <v>118.113</v>
      </c>
      <c r="X37" s="34">
        <f t="shared" si="0"/>
        <v>0.64094905797787116</v>
      </c>
      <c r="Y37" s="35" t="str">
        <f t="shared" si="5"/>
        <v/>
      </c>
      <c r="Z37" s="36">
        <f t="shared" si="6"/>
        <v>0.99338099243061395</v>
      </c>
      <c r="AA37" s="6"/>
      <c r="AB37" s="37">
        <v>6.7</v>
      </c>
      <c r="AC37" s="38">
        <v>7.6710000000000003</v>
      </c>
      <c r="AD37" s="38"/>
      <c r="AE37" s="34">
        <f t="shared" si="7"/>
        <v>7.6710000000000003</v>
      </c>
      <c r="AF37" s="34">
        <f t="shared" si="8"/>
        <v>1.3898467237196721</v>
      </c>
      <c r="AG37" s="35" t="str">
        <f t="shared" si="1"/>
        <v/>
      </c>
      <c r="AH37" s="36">
        <f t="shared" si="2"/>
        <v>1.1449253731343283</v>
      </c>
    </row>
    <row r="38" spans="1:34" ht="1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29">
        <f t="shared" si="3"/>
        <v>25</v>
      </c>
      <c r="Q38" s="30" t="s">
        <v>108</v>
      </c>
      <c r="R38" s="31">
        <v>45785</v>
      </c>
      <c r="S38" s="68"/>
      <c r="T38" s="39">
        <v>118.9</v>
      </c>
      <c r="U38" s="38">
        <v>153.07</v>
      </c>
      <c r="V38" s="74"/>
      <c r="W38" s="34">
        <f t="shared" si="4"/>
        <v>153.07</v>
      </c>
      <c r="X38" s="34">
        <f t="shared" si="0"/>
        <v>1.2217908244995377</v>
      </c>
      <c r="Y38" s="35" t="str">
        <f t="shared" si="5"/>
        <v/>
      </c>
      <c r="Z38" s="36">
        <f t="shared" si="6"/>
        <v>1.2873843566021865</v>
      </c>
      <c r="AA38" s="6"/>
      <c r="AB38" s="37">
        <v>6.7</v>
      </c>
      <c r="AC38" s="38">
        <v>7.0975999999999999</v>
      </c>
      <c r="AD38" s="38"/>
      <c r="AE38" s="34">
        <f t="shared" si="7"/>
        <v>7.0975999999999999</v>
      </c>
      <c r="AF38" s="34">
        <f t="shared" si="8"/>
        <v>0.45877951338305867</v>
      </c>
      <c r="AG38" s="35" t="str">
        <f t="shared" si="1"/>
        <v/>
      </c>
      <c r="AH38" s="36">
        <f t="shared" si="2"/>
        <v>1.0593432835820895</v>
      </c>
    </row>
    <row r="39" spans="1:34" ht="1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29">
        <f t="shared" si="3"/>
        <v>26</v>
      </c>
      <c r="Q39" s="30" t="s">
        <v>108</v>
      </c>
      <c r="R39" s="31">
        <v>45785</v>
      </c>
      <c r="S39" s="68"/>
      <c r="T39" s="39">
        <v>118.9</v>
      </c>
      <c r="U39" s="38">
        <v>97.323999999999998</v>
      </c>
      <c r="V39" s="74"/>
      <c r="W39" s="34">
        <f t="shared" si="4"/>
        <v>97.323999999999998</v>
      </c>
      <c r="X39" s="34">
        <f t="shared" si="0"/>
        <v>1.7487243080514718</v>
      </c>
      <c r="Y39" s="35">
        <f t="shared" si="5"/>
        <v>97.323999999999998</v>
      </c>
      <c r="Z39" s="36">
        <f t="shared" si="6"/>
        <v>0.81853658536585361</v>
      </c>
      <c r="AA39" s="6"/>
      <c r="AB39" s="37">
        <v>6.7</v>
      </c>
      <c r="AC39" s="38">
        <v>5.3449</v>
      </c>
      <c r="AD39" s="38"/>
      <c r="AE39" s="34">
        <f t="shared" si="7"/>
        <v>5.3449</v>
      </c>
      <c r="AF39" s="34">
        <f t="shared" si="8"/>
        <v>2.3871945004937833</v>
      </c>
      <c r="AG39" s="35">
        <f t="shared" si="1"/>
        <v>5.3449</v>
      </c>
      <c r="AH39" s="36">
        <f t="shared" si="2"/>
        <v>0.79774626865671638</v>
      </c>
    </row>
    <row r="40" spans="1:34" ht="1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29">
        <f t="shared" si="3"/>
        <v>27</v>
      </c>
      <c r="Q40" s="30" t="s">
        <v>109</v>
      </c>
      <c r="R40" s="31">
        <v>45793</v>
      </c>
      <c r="S40" s="68"/>
      <c r="T40" s="39">
        <v>118.9</v>
      </c>
      <c r="U40" s="38">
        <v>114.458</v>
      </c>
      <c r="V40" s="74"/>
      <c r="W40" s="34">
        <f t="shared" si="4"/>
        <v>114.458</v>
      </c>
      <c r="X40" s="34">
        <f t="shared" si="0"/>
        <v>0.83571160254562382</v>
      </c>
      <c r="Y40" s="35" t="str">
        <f t="shared" si="5"/>
        <v/>
      </c>
      <c r="Z40" s="36">
        <f t="shared" si="6"/>
        <v>0.9626408746846089</v>
      </c>
      <c r="AA40" s="6"/>
      <c r="AB40" s="37">
        <v>6.7</v>
      </c>
      <c r="AC40" s="38">
        <v>6.6470000000000002</v>
      </c>
      <c r="AD40" s="38"/>
      <c r="AE40" s="34">
        <f t="shared" si="7"/>
        <v>6.6470000000000002</v>
      </c>
      <c r="AF40" s="34">
        <f t="shared" si="8"/>
        <v>0.27288927799761348</v>
      </c>
      <c r="AG40" s="35" t="str">
        <f t="shared" si="1"/>
        <v/>
      </c>
      <c r="AH40" s="36">
        <f t="shared" si="2"/>
        <v>0.99208955223880602</v>
      </c>
    </row>
    <row r="41" spans="1:34" ht="1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29">
        <f t="shared" si="3"/>
        <v>28</v>
      </c>
      <c r="Q41" s="30" t="s">
        <v>109</v>
      </c>
      <c r="R41" s="31">
        <v>45793</v>
      </c>
      <c r="S41" s="68"/>
      <c r="T41" s="39">
        <v>118.9</v>
      </c>
      <c r="U41" s="38">
        <v>124.16500000000001</v>
      </c>
      <c r="V41" s="74"/>
      <c r="W41" s="34">
        <f t="shared" si="4"/>
        <v>124.16500000000001</v>
      </c>
      <c r="X41" s="34">
        <f t="shared" si="0"/>
        <v>0.31845851906568495</v>
      </c>
      <c r="Y41" s="35" t="str">
        <f t="shared" si="5"/>
        <v/>
      </c>
      <c r="Z41" s="36">
        <f t="shared" si="6"/>
        <v>1.0442809083263247</v>
      </c>
      <c r="AA41" s="6"/>
      <c r="AB41" s="37">
        <v>6.7</v>
      </c>
      <c r="AC41" s="38">
        <v>7.3070000000000004</v>
      </c>
      <c r="AD41" s="38"/>
      <c r="AE41" s="34">
        <f t="shared" si="7"/>
        <v>7.3070000000000004</v>
      </c>
      <c r="AF41" s="34">
        <f t="shared" si="8"/>
        <v>0.79879603560923096</v>
      </c>
      <c r="AG41" s="35" t="str">
        <f t="shared" si="1"/>
        <v/>
      </c>
      <c r="AH41" s="36">
        <f t="shared" si="2"/>
        <v>1.0905970149253732</v>
      </c>
    </row>
    <row r="42" spans="1:34" ht="1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29">
        <f t="shared" si="3"/>
        <v>29</v>
      </c>
      <c r="Q42" s="30" t="s">
        <v>108</v>
      </c>
      <c r="R42" s="31">
        <v>45804</v>
      </c>
      <c r="S42" s="68"/>
      <c r="T42" s="39">
        <v>118.9</v>
      </c>
      <c r="U42" s="38">
        <v>125.67</v>
      </c>
      <c r="V42" s="74"/>
      <c r="W42" s="34">
        <f t="shared" si="4"/>
        <v>125.67</v>
      </c>
      <c r="X42" s="34">
        <f t="shared" si="0"/>
        <v>0.23826217718484585</v>
      </c>
      <c r="Y42" s="35" t="str">
        <f t="shared" si="5"/>
        <v/>
      </c>
      <c r="Z42" s="36">
        <f t="shared" si="6"/>
        <v>1.0569386038687973</v>
      </c>
      <c r="AA42" s="6"/>
      <c r="AB42" s="37">
        <v>6.7</v>
      </c>
      <c r="AC42" s="38">
        <v>6.5789999999999997</v>
      </c>
      <c r="AD42" s="38"/>
      <c r="AE42" s="34">
        <f t="shared" si="7"/>
        <v>6.5789999999999997</v>
      </c>
      <c r="AF42" s="34">
        <f t="shared" si="8"/>
        <v>0.38330534061165278</v>
      </c>
      <c r="AG42" s="35" t="str">
        <f t="shared" si="1"/>
        <v/>
      </c>
      <c r="AH42" s="36">
        <f t="shared" si="2"/>
        <v>0.98194029850746267</v>
      </c>
    </row>
    <row r="43" spans="1:34" ht="1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29">
        <f t="shared" si="3"/>
        <v>30</v>
      </c>
      <c r="Q43" s="30" t="s">
        <v>108</v>
      </c>
      <c r="R43" s="31">
        <v>45804</v>
      </c>
      <c r="S43" s="68"/>
      <c r="T43" s="39">
        <v>118.9</v>
      </c>
      <c r="U43" s="38">
        <v>130.75399999999999</v>
      </c>
      <c r="V43" s="74"/>
      <c r="W43" s="34">
        <f t="shared" si="4"/>
        <v>130.75399999999999</v>
      </c>
      <c r="X43" s="34">
        <f t="shared" si="0"/>
        <v>3.2646927215277947E-2</v>
      </c>
      <c r="Y43" s="35" t="str">
        <f t="shared" si="5"/>
        <v/>
      </c>
      <c r="Z43" s="36">
        <f t="shared" si="6"/>
        <v>1.0996972245584524</v>
      </c>
      <c r="AA43" s="6"/>
      <c r="AB43" s="37">
        <v>6.7</v>
      </c>
      <c r="AC43" s="38">
        <v>7.7809999999999997</v>
      </c>
      <c r="AD43" s="38"/>
      <c r="AE43" s="34">
        <f t="shared" si="7"/>
        <v>7.7809999999999997</v>
      </c>
      <c r="AF43" s="34">
        <f t="shared" si="8"/>
        <v>1.5684609426541452</v>
      </c>
      <c r="AG43" s="35" t="str">
        <f t="shared" si="1"/>
        <v/>
      </c>
      <c r="AH43" s="36">
        <f t="shared" si="2"/>
        <v>1.1613432835820894</v>
      </c>
    </row>
    <row r="44" spans="1:34" ht="1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29">
        <f t="shared" si="3"/>
        <v>31</v>
      </c>
      <c r="Q44" s="30" t="s">
        <v>108</v>
      </c>
      <c r="R44" s="31">
        <v>45825</v>
      </c>
      <c r="S44" s="68"/>
      <c r="T44" s="39">
        <v>118.9</v>
      </c>
      <c r="U44" s="38">
        <v>135.01499999999999</v>
      </c>
      <c r="V44" s="74"/>
      <c r="W44" s="34">
        <f t="shared" si="4"/>
        <v>135.01499999999999</v>
      </c>
      <c r="X44" s="34">
        <f t="shared" si="0"/>
        <v>0.25970115495896967</v>
      </c>
      <c r="Y44" s="35" t="str">
        <f t="shared" si="5"/>
        <v/>
      </c>
      <c r="Z44" s="36">
        <f t="shared" si="6"/>
        <v>1.1355340622371739</v>
      </c>
      <c r="AA44" s="6"/>
      <c r="AB44" s="37">
        <v>6.7</v>
      </c>
      <c r="AC44" s="38">
        <v>6.62</v>
      </c>
      <c r="AD44" s="38"/>
      <c r="AE44" s="34">
        <f t="shared" si="7"/>
        <v>6.62</v>
      </c>
      <c r="AF44" s="34">
        <f t="shared" si="8"/>
        <v>0.31673094991789369</v>
      </c>
      <c r="AG44" s="35" t="str">
        <f t="shared" si="1"/>
        <v/>
      </c>
      <c r="AH44" s="36">
        <f t="shared" si="2"/>
        <v>0.9880597014925373</v>
      </c>
    </row>
    <row r="45" spans="1:34" ht="1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29">
        <f t="shared" si="3"/>
        <v>32</v>
      </c>
      <c r="Q45" s="30" t="s">
        <v>108</v>
      </c>
      <c r="R45" s="31">
        <v>45825</v>
      </c>
      <c r="S45" s="68"/>
      <c r="T45" s="39">
        <v>118.9</v>
      </c>
      <c r="U45" s="38">
        <v>118.919</v>
      </c>
      <c r="V45" s="74"/>
      <c r="W45" s="34">
        <f t="shared" si="4"/>
        <v>118.919</v>
      </c>
      <c r="X45" s="34">
        <f t="shared" si="0"/>
        <v>0.59800005362175401</v>
      </c>
      <c r="Y45" s="35" t="str">
        <f t="shared" si="5"/>
        <v/>
      </c>
      <c r="Z45" s="36">
        <f t="shared" si="6"/>
        <v>1.0001597981497055</v>
      </c>
      <c r="AA45" s="6"/>
      <c r="AB45" s="37">
        <v>6.7</v>
      </c>
      <c r="AC45" s="38">
        <v>7.6449999999999996</v>
      </c>
      <c r="AD45" s="38"/>
      <c r="AE45" s="34">
        <f t="shared" si="7"/>
        <v>7.6449999999999996</v>
      </c>
      <c r="AF45" s="34">
        <f t="shared" si="8"/>
        <v>1.347628817426068</v>
      </c>
      <c r="AG45" s="35" t="str">
        <f t="shared" si="1"/>
        <v/>
      </c>
      <c r="AH45" s="36">
        <f t="shared" si="2"/>
        <v>1.1410447761194029</v>
      </c>
    </row>
    <row r="46" spans="1:34" ht="1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29">
        <f t="shared" si="3"/>
        <v>33</v>
      </c>
      <c r="Q46" s="30" t="s">
        <v>108</v>
      </c>
      <c r="R46" s="31">
        <v>45825</v>
      </c>
      <c r="S46" s="68"/>
      <c r="T46" s="39">
        <v>118.9</v>
      </c>
      <c r="U46" s="38">
        <v>130.66999999999999</v>
      </c>
      <c r="V46" s="74"/>
      <c r="W46" s="34">
        <f t="shared" si="4"/>
        <v>130.66999999999999</v>
      </c>
      <c r="X46" s="34">
        <f t="shared" si="0"/>
        <v>2.8170852319603024E-2</v>
      </c>
      <c r="Y46" s="35" t="str">
        <f t="shared" si="5"/>
        <v/>
      </c>
      <c r="Z46" s="36">
        <f t="shared" si="6"/>
        <v>1.0989907485281747</v>
      </c>
      <c r="AA46" s="6"/>
      <c r="AB46" s="37">
        <v>6.7</v>
      </c>
      <c r="AC46" s="38">
        <v>6.6150000000000002</v>
      </c>
      <c r="AD46" s="38"/>
      <c r="AE46" s="34">
        <f t="shared" si="7"/>
        <v>6.6150000000000002</v>
      </c>
      <c r="AF46" s="34">
        <f t="shared" si="8"/>
        <v>0.32484977805127868</v>
      </c>
      <c r="AG46" s="35" t="str">
        <f t="shared" si="1"/>
        <v/>
      </c>
      <c r="AH46" s="36">
        <f t="shared" si="2"/>
        <v>0.98731343283582085</v>
      </c>
    </row>
    <row r="47" spans="1:34" ht="1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29">
        <f t="shared" si="3"/>
        <v>34</v>
      </c>
      <c r="Q47" s="30" t="s">
        <v>108</v>
      </c>
      <c r="R47" s="31">
        <v>45825</v>
      </c>
      <c r="S47" s="68"/>
      <c r="T47" s="39">
        <v>118.9</v>
      </c>
      <c r="U47" s="38">
        <v>131.35</v>
      </c>
      <c r="V47" s="74"/>
      <c r="W47" s="34">
        <f t="shared" si="4"/>
        <v>131.35</v>
      </c>
      <c r="X47" s="34">
        <f t="shared" si="0"/>
        <v>6.4405744332208539E-2</v>
      </c>
      <c r="Y47" s="35" t="str">
        <f t="shared" si="5"/>
        <v/>
      </c>
      <c r="Z47" s="36">
        <f t="shared" si="6"/>
        <v>1.1047098402018503</v>
      </c>
      <c r="AA47" s="6"/>
      <c r="AB47" s="37">
        <v>6.7</v>
      </c>
      <c r="AC47" s="38">
        <v>6.766</v>
      </c>
      <c r="AD47" s="38"/>
      <c r="AE47" s="34">
        <f t="shared" si="7"/>
        <v>6.766</v>
      </c>
      <c r="AF47" s="34">
        <f t="shared" si="8"/>
        <v>7.9661168423046477E-2</v>
      </c>
      <c r="AG47" s="35" t="str">
        <f t="shared" si="1"/>
        <v/>
      </c>
      <c r="AH47" s="36">
        <f t="shared" si="2"/>
        <v>1.0098507462686568</v>
      </c>
    </row>
    <row r="48" spans="1:34" ht="1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29">
        <f t="shared" si="3"/>
        <v>35</v>
      </c>
      <c r="Q48" s="30" t="s">
        <v>106</v>
      </c>
      <c r="R48" s="31">
        <v>45860</v>
      </c>
      <c r="S48" s="68"/>
      <c r="T48" s="39">
        <v>118.9</v>
      </c>
      <c r="U48" s="38">
        <v>119.351</v>
      </c>
      <c r="V48" s="74"/>
      <c r="W48" s="34">
        <f t="shared" si="4"/>
        <v>119.351</v>
      </c>
      <c r="X48" s="34">
        <f t="shared" si="0"/>
        <v>0.57498023987256941</v>
      </c>
      <c r="Y48" s="35" t="str">
        <f t="shared" si="5"/>
        <v/>
      </c>
      <c r="Z48" s="36">
        <f t="shared" si="6"/>
        <v>1.0037931034482759</v>
      </c>
      <c r="AA48" s="6"/>
      <c r="AB48" s="37">
        <v>6.7</v>
      </c>
      <c r="AC48" s="38">
        <v>7.04</v>
      </c>
      <c r="AD48" s="38"/>
      <c r="AE48" s="34">
        <f t="shared" si="7"/>
        <v>7.04</v>
      </c>
      <c r="AF48" s="34">
        <f t="shared" si="8"/>
        <v>0.36525061328646158</v>
      </c>
      <c r="AG48" s="35" t="str">
        <f t="shared" si="1"/>
        <v/>
      </c>
      <c r="AH48" s="36">
        <f t="shared" si="2"/>
        <v>1.0507462686567164</v>
      </c>
    </row>
    <row r="49" spans="1:34" ht="1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29">
        <f t="shared" si="3"/>
        <v>36</v>
      </c>
      <c r="Q49" s="30" t="s">
        <v>106</v>
      </c>
      <c r="R49" s="31">
        <v>45860</v>
      </c>
      <c r="S49" s="68"/>
      <c r="T49" s="39">
        <v>118.9</v>
      </c>
      <c r="U49" s="38">
        <v>107.70699999999999</v>
      </c>
      <c r="V49" s="74"/>
      <c r="W49" s="34">
        <f t="shared" si="4"/>
        <v>107.70699999999999</v>
      </c>
      <c r="X49" s="34">
        <f t="shared" si="0"/>
        <v>1.1954494789825321</v>
      </c>
      <c r="Y49" s="35" t="str">
        <f t="shared" si="5"/>
        <v/>
      </c>
      <c r="Z49" s="36">
        <f t="shared" si="6"/>
        <v>0.90586206896551713</v>
      </c>
      <c r="AA49" s="6"/>
      <c r="AB49" s="37">
        <v>6.7</v>
      </c>
      <c r="AC49" s="38">
        <v>6.6520000000000001</v>
      </c>
      <c r="AD49" s="38"/>
      <c r="AE49" s="34">
        <f t="shared" si="7"/>
        <v>6.6520000000000001</v>
      </c>
      <c r="AF49" s="34">
        <f t="shared" si="8"/>
        <v>0.26477044986422843</v>
      </c>
      <c r="AG49" s="35" t="str">
        <f t="shared" si="1"/>
        <v/>
      </c>
      <c r="AH49" s="36">
        <f t="shared" si="2"/>
        <v>0.99283582089552236</v>
      </c>
    </row>
    <row r="50" spans="1:34" ht="1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29">
        <f t="shared" si="3"/>
        <v>37</v>
      </c>
      <c r="Q50" s="30" t="s">
        <v>106</v>
      </c>
      <c r="R50" s="31">
        <v>45912</v>
      </c>
      <c r="S50" s="68"/>
      <c r="T50" s="39">
        <v>118.9</v>
      </c>
      <c r="U50" s="38">
        <v>138.851</v>
      </c>
      <c r="V50" s="74"/>
      <c r="W50" s="34">
        <f t="shared" si="4"/>
        <v>138.851</v>
      </c>
      <c r="X50" s="34">
        <f t="shared" si="0"/>
        <v>0.4641085751947841</v>
      </c>
      <c r="Y50" s="35" t="str">
        <f t="shared" si="5"/>
        <v/>
      </c>
      <c r="Z50" s="36">
        <f t="shared" si="6"/>
        <v>1.1677964676198485</v>
      </c>
      <c r="AA50" s="6"/>
      <c r="AB50" s="37">
        <v>6.7</v>
      </c>
      <c r="AC50" s="38">
        <v>5.7759999999999998</v>
      </c>
      <c r="AD50" s="38"/>
      <c r="AE50" s="34">
        <f t="shared" si="7"/>
        <v>5.7759999999999998</v>
      </c>
      <c r="AF50" s="34">
        <f t="shared" si="8"/>
        <v>1.6871891388333131</v>
      </c>
      <c r="AG50" s="35" t="str">
        <f t="shared" si="1"/>
        <v/>
      </c>
      <c r="AH50" s="36">
        <f t="shared" si="2"/>
        <v>0.8620895522388059</v>
      </c>
    </row>
    <row r="51" spans="1:34" ht="1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29">
        <f t="shared" si="3"/>
        <v>38</v>
      </c>
      <c r="Q51" s="30" t="s">
        <v>106</v>
      </c>
      <c r="R51" s="31">
        <v>46044</v>
      </c>
      <c r="S51" s="68"/>
      <c r="T51" s="39">
        <v>118.9</v>
      </c>
      <c r="U51" s="38">
        <v>114.74299999999999</v>
      </c>
      <c r="V51" s="74"/>
      <c r="W51" s="34">
        <f t="shared" si="4"/>
        <v>114.74299999999999</v>
      </c>
      <c r="X51" s="34">
        <f t="shared" si="0"/>
        <v>0.82052491986387044</v>
      </c>
      <c r="Y51" s="35" t="str">
        <f t="shared" si="5"/>
        <v/>
      </c>
      <c r="Z51" s="36">
        <f t="shared" si="6"/>
        <v>0.96503784693019334</v>
      </c>
      <c r="AA51" s="6"/>
      <c r="AB51" s="37">
        <v>6.7</v>
      </c>
      <c r="AC51" s="38">
        <v>5.5519999999999996</v>
      </c>
      <c r="AD51" s="38"/>
      <c r="AE51" s="34">
        <f t="shared" si="7"/>
        <v>5.5519999999999996</v>
      </c>
      <c r="AF51" s="34">
        <f t="shared" si="8"/>
        <v>2.0509126392089696</v>
      </c>
      <c r="AG51" s="35">
        <f t="shared" si="1"/>
        <v>5.5519999999999996</v>
      </c>
      <c r="AH51" s="36">
        <f t="shared" si="2"/>
        <v>0.82865671641791039</v>
      </c>
    </row>
    <row r="52" spans="1:34" ht="1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29">
        <f t="shared" si="3"/>
        <v>39</v>
      </c>
      <c r="Q52" s="30" t="s">
        <v>106</v>
      </c>
      <c r="R52" s="31">
        <v>46044</v>
      </c>
      <c r="S52" s="68"/>
      <c r="T52" s="39">
        <v>118.9</v>
      </c>
      <c r="U52" s="38">
        <v>125.58</v>
      </c>
      <c r="V52" s="74"/>
      <c r="W52" s="34">
        <f t="shared" si="4"/>
        <v>125.58</v>
      </c>
      <c r="X52" s="34">
        <f t="shared" si="0"/>
        <v>0.24305797171592614</v>
      </c>
      <c r="Y52" s="35" t="str">
        <f t="shared" si="5"/>
        <v/>
      </c>
      <c r="Z52" s="36">
        <f t="shared" si="6"/>
        <v>1.0561816652649285</v>
      </c>
      <c r="AA52" s="6"/>
      <c r="AB52" s="37">
        <v>6.7</v>
      </c>
      <c r="AC52" s="38">
        <v>7.0529999999999999</v>
      </c>
      <c r="AD52" s="38"/>
      <c r="AE52" s="34">
        <f t="shared" si="7"/>
        <v>7.0529999999999999</v>
      </c>
      <c r="AF52" s="34">
        <f t="shared" si="8"/>
        <v>0.38635956643326291</v>
      </c>
      <c r="AG52" s="35" t="str">
        <f t="shared" si="1"/>
        <v/>
      </c>
      <c r="AH52" s="36">
        <f t="shared" si="2"/>
        <v>1.052686567164179</v>
      </c>
    </row>
    <row r="53" spans="1:34" ht="1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29">
        <f t="shared" si="3"/>
        <v>40</v>
      </c>
      <c r="Q53" s="30" t="s">
        <v>106</v>
      </c>
      <c r="R53" s="31">
        <v>46048</v>
      </c>
      <c r="S53" s="68"/>
      <c r="T53" s="39">
        <v>118.9</v>
      </c>
      <c r="U53" s="38">
        <v>118.038</v>
      </c>
      <c r="V53" s="74"/>
      <c r="W53" s="34">
        <f t="shared" si="4"/>
        <v>118.038</v>
      </c>
      <c r="X53" s="34">
        <f t="shared" si="0"/>
        <v>0.64494555342043802</v>
      </c>
      <c r="Y53" s="35" t="str">
        <f t="shared" si="5"/>
        <v/>
      </c>
      <c r="Z53" s="36">
        <f t="shared" si="6"/>
        <v>0.99275021026072319</v>
      </c>
      <c r="AA53" s="6"/>
      <c r="AB53" s="37">
        <v>6.7</v>
      </c>
      <c r="AC53" s="38">
        <v>7.3470000000000004</v>
      </c>
      <c r="AD53" s="38"/>
      <c r="AE53" s="34">
        <f t="shared" si="7"/>
        <v>7.3470000000000004</v>
      </c>
      <c r="AF53" s="34">
        <f t="shared" si="8"/>
        <v>0.86374666067631245</v>
      </c>
      <c r="AG53" s="35" t="str">
        <f t="shared" si="1"/>
        <v/>
      </c>
      <c r="AH53" s="36">
        <f t="shared" si="2"/>
        <v>1.0965671641791046</v>
      </c>
    </row>
    <row r="54" spans="1:34" ht="1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29">
        <f t="shared" si="3"/>
        <v>41</v>
      </c>
      <c r="Q54" s="30" t="s">
        <v>106</v>
      </c>
      <c r="R54" s="31">
        <v>46048</v>
      </c>
      <c r="S54" s="68"/>
      <c r="T54" s="39">
        <v>118.9</v>
      </c>
      <c r="U54" s="38">
        <v>113.733</v>
      </c>
      <c r="V54" s="74"/>
      <c r="W54" s="34">
        <f t="shared" si="4"/>
        <v>113.733</v>
      </c>
      <c r="X54" s="34">
        <f t="shared" si="0"/>
        <v>0.87434439182376877</v>
      </c>
      <c r="Y54" s="35" t="str">
        <f t="shared" si="5"/>
        <v/>
      </c>
      <c r="Z54" s="36">
        <f t="shared" si="6"/>
        <v>0.95654331370899914</v>
      </c>
      <c r="AA54" s="6"/>
      <c r="AB54" s="37">
        <v>6.7</v>
      </c>
      <c r="AC54" s="38">
        <v>7.1619999999999999</v>
      </c>
      <c r="AD54" s="38"/>
      <c r="AE54" s="34">
        <f t="shared" si="7"/>
        <v>7.1619999999999999</v>
      </c>
      <c r="AF54" s="34">
        <f t="shared" si="8"/>
        <v>0.56335001974105992</v>
      </c>
      <c r="AG54" s="35" t="str">
        <f t="shared" si="1"/>
        <v/>
      </c>
      <c r="AH54" s="36">
        <f t="shared" si="2"/>
        <v>1.068955223880597</v>
      </c>
    </row>
    <row r="55" spans="1:34" ht="1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29">
        <f t="shared" si="3"/>
        <v>42</v>
      </c>
      <c r="Q55" s="30" t="s">
        <v>106</v>
      </c>
      <c r="R55" s="31">
        <v>46065</v>
      </c>
      <c r="S55" s="68"/>
      <c r="T55" s="39">
        <v>118.9</v>
      </c>
      <c r="U55" s="38">
        <v>115.965</v>
      </c>
      <c r="V55" s="74"/>
      <c r="W55" s="34">
        <f t="shared" si="4"/>
        <v>115.965</v>
      </c>
      <c r="X55" s="34">
        <f t="shared" si="0"/>
        <v>0.75540868745298251</v>
      </c>
      <c r="Y55" s="35" t="str">
        <f t="shared" si="5"/>
        <v/>
      </c>
      <c r="Z55" s="36">
        <f t="shared" si="6"/>
        <v>0.97531539108494536</v>
      </c>
      <c r="AA55" s="6"/>
      <c r="AB55" s="37">
        <v>6.7</v>
      </c>
      <c r="AC55" s="38">
        <v>6.0759999999999996</v>
      </c>
      <c r="AD55" s="38"/>
      <c r="AE55" s="34">
        <f t="shared" si="7"/>
        <v>6.0759999999999996</v>
      </c>
      <c r="AF55" s="34">
        <f t="shared" si="8"/>
        <v>1.2000594508302023</v>
      </c>
      <c r="AG55" s="35" t="str">
        <f t="shared" si="1"/>
        <v/>
      </c>
      <c r="AH55" s="36">
        <f t="shared" si="2"/>
        <v>0.90686567164179099</v>
      </c>
    </row>
    <row r="56" spans="1:34" ht="1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29" t="str">
        <f t="shared" si="3"/>
        <v/>
      </c>
      <c r="Q56" s="30"/>
      <c r="R56" s="31"/>
      <c r="S56" s="68"/>
      <c r="T56" s="39">
        <v>118.9</v>
      </c>
      <c r="U56" s="38"/>
      <c r="V56" s="74"/>
      <c r="W56" s="34" t="str">
        <f t="shared" si="4"/>
        <v>FALSE</v>
      </c>
      <c r="X56" s="34" t="str">
        <f t="shared" si="0"/>
        <v>FALSE</v>
      </c>
      <c r="Y56" s="35">
        <f t="shared" si="5"/>
        <v>0</v>
      </c>
      <c r="Z56" s="36" t="str">
        <f t="shared" si="6"/>
        <v/>
      </c>
      <c r="AA56" s="6"/>
      <c r="AB56" s="37">
        <v>6.7</v>
      </c>
      <c r="AC56" s="38"/>
      <c r="AD56" s="38"/>
      <c r="AE56" s="34" t="str">
        <f t="shared" si="7"/>
        <v>FALSE</v>
      </c>
      <c r="AF56" s="34" t="str">
        <f t="shared" si="8"/>
        <v>FALSE</v>
      </c>
      <c r="AG56" s="35">
        <f t="shared" si="1"/>
        <v>0</v>
      </c>
      <c r="AH56" s="36" t="str">
        <f t="shared" si="2"/>
        <v/>
      </c>
    </row>
    <row r="57" spans="1:34" ht="14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29" t="str">
        <f t="shared" si="3"/>
        <v/>
      </c>
      <c r="Q57" s="30"/>
      <c r="R57" s="31"/>
      <c r="S57" s="68"/>
      <c r="T57" s="39">
        <v>118.9</v>
      </c>
      <c r="U57" s="38"/>
      <c r="V57" s="74"/>
      <c r="W57" s="34" t="str">
        <f t="shared" si="4"/>
        <v>FALSE</v>
      </c>
      <c r="X57" s="34" t="str">
        <f t="shared" si="0"/>
        <v>FALSE</v>
      </c>
      <c r="Y57" s="35">
        <f t="shared" si="5"/>
        <v>0</v>
      </c>
      <c r="Z57" s="36" t="str">
        <f t="shared" si="6"/>
        <v/>
      </c>
      <c r="AA57" s="42"/>
      <c r="AB57" s="37">
        <v>6.7</v>
      </c>
      <c r="AC57" s="38"/>
      <c r="AD57" s="38"/>
      <c r="AE57" s="34" t="str">
        <f t="shared" si="7"/>
        <v>FALSE</v>
      </c>
      <c r="AF57" s="34" t="str">
        <f t="shared" si="8"/>
        <v>FALSE</v>
      </c>
      <c r="AG57" s="35">
        <f t="shared" si="1"/>
        <v>0</v>
      </c>
      <c r="AH57" s="36" t="str">
        <f t="shared" si="2"/>
        <v/>
      </c>
    </row>
    <row r="58" spans="1:34" ht="1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29" t="str">
        <f t="shared" si="3"/>
        <v/>
      </c>
      <c r="Q58" s="30"/>
      <c r="R58" s="31"/>
      <c r="S58" s="68"/>
      <c r="T58" s="40"/>
      <c r="U58" s="38"/>
      <c r="V58" s="74"/>
      <c r="W58" s="34" t="str">
        <f t="shared" si="4"/>
        <v>FALSE</v>
      </c>
      <c r="X58" s="34" t="str">
        <f t="shared" si="0"/>
        <v>FALSE</v>
      </c>
      <c r="Y58" s="35">
        <f t="shared" si="5"/>
        <v>0</v>
      </c>
      <c r="Z58" s="36" t="str">
        <f t="shared" si="6"/>
        <v/>
      </c>
      <c r="AA58" s="6"/>
      <c r="AB58" s="41"/>
      <c r="AC58" s="38"/>
      <c r="AD58" s="38"/>
      <c r="AE58" s="34" t="str">
        <f t="shared" si="7"/>
        <v>FALSE</v>
      </c>
      <c r="AF58" s="34" t="str">
        <f t="shared" si="8"/>
        <v>FALSE</v>
      </c>
      <c r="AG58" s="35">
        <f t="shared" si="1"/>
        <v>0</v>
      </c>
      <c r="AH58" s="36" t="str">
        <f t="shared" si="2"/>
        <v/>
      </c>
    </row>
    <row r="59" spans="1:34" ht="1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29" t="str">
        <f t="shared" si="3"/>
        <v/>
      </c>
      <c r="Q59" s="30"/>
      <c r="R59" s="31"/>
      <c r="S59" s="68"/>
      <c r="T59" s="40"/>
      <c r="U59" s="38"/>
      <c r="V59" s="74"/>
      <c r="W59" s="34" t="str">
        <f t="shared" si="4"/>
        <v>FALSE</v>
      </c>
      <c r="X59" s="34" t="str">
        <f t="shared" si="0"/>
        <v>FALSE</v>
      </c>
      <c r="Y59" s="35">
        <f t="shared" si="5"/>
        <v>0</v>
      </c>
      <c r="Z59" s="36" t="str">
        <f t="shared" si="6"/>
        <v/>
      </c>
      <c r="AA59" s="6"/>
      <c r="AB59" s="41"/>
      <c r="AC59" s="38"/>
      <c r="AD59" s="38"/>
      <c r="AE59" s="34"/>
      <c r="AF59" s="34" t="str">
        <f t="shared" si="8"/>
        <v>FALSE</v>
      </c>
      <c r="AG59" s="35">
        <f t="shared" si="1"/>
        <v>0</v>
      </c>
      <c r="AH59" s="36" t="str">
        <f t="shared" si="2"/>
        <v/>
      </c>
    </row>
    <row r="60" spans="1:34" ht="1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29" t="str">
        <f t="shared" si="3"/>
        <v/>
      </c>
      <c r="Q60" s="30"/>
      <c r="R60" s="31"/>
      <c r="S60" s="68"/>
      <c r="T60" s="40"/>
      <c r="U60" s="38"/>
      <c r="V60" s="74"/>
      <c r="W60" s="34" t="str">
        <f t="shared" si="4"/>
        <v>FALSE</v>
      </c>
      <c r="X60" s="34" t="str">
        <f t="shared" si="0"/>
        <v>FALSE</v>
      </c>
      <c r="Y60" s="35">
        <f t="shared" si="5"/>
        <v>0</v>
      </c>
      <c r="Z60" s="36" t="str">
        <f t="shared" si="6"/>
        <v/>
      </c>
      <c r="AA60" s="6"/>
      <c r="AB60" s="41"/>
      <c r="AC60" s="38"/>
      <c r="AD60" s="38"/>
      <c r="AE60" s="34"/>
      <c r="AF60" s="34" t="str">
        <f t="shared" si="8"/>
        <v>FALSE</v>
      </c>
      <c r="AG60" s="35">
        <f t="shared" si="1"/>
        <v>0</v>
      </c>
      <c r="AH60" s="36" t="str">
        <f t="shared" si="2"/>
        <v/>
      </c>
    </row>
    <row r="61" spans="1:34" ht="1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29" t="str">
        <f t="shared" si="3"/>
        <v/>
      </c>
      <c r="Q61" s="30"/>
      <c r="R61" s="31"/>
      <c r="S61" s="68"/>
      <c r="T61" s="40"/>
      <c r="U61" s="38"/>
      <c r="V61" s="74"/>
      <c r="W61" s="34" t="str">
        <f t="shared" si="4"/>
        <v>FALSE</v>
      </c>
      <c r="X61" s="34" t="str">
        <f t="shared" si="0"/>
        <v>FALSE</v>
      </c>
      <c r="Y61" s="35">
        <f t="shared" si="5"/>
        <v>0</v>
      </c>
      <c r="Z61" s="36" t="str">
        <f t="shared" si="6"/>
        <v/>
      </c>
      <c r="AA61" s="6"/>
      <c r="AB61" s="41"/>
      <c r="AC61" s="38"/>
      <c r="AD61" s="38"/>
      <c r="AE61" s="34"/>
      <c r="AF61" s="34" t="str">
        <f t="shared" si="8"/>
        <v>FALSE</v>
      </c>
      <c r="AG61" s="35">
        <f t="shared" si="1"/>
        <v>0</v>
      </c>
      <c r="AH61" s="36" t="str">
        <f t="shared" si="2"/>
        <v/>
      </c>
    </row>
    <row r="62" spans="1:34" ht="1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29" t="str">
        <f t="shared" si="3"/>
        <v/>
      </c>
      <c r="Q62" s="30"/>
      <c r="R62" s="31"/>
      <c r="S62" s="68"/>
      <c r="T62" s="40"/>
      <c r="U62" s="38"/>
      <c r="V62" s="74"/>
      <c r="W62" s="34" t="str">
        <f t="shared" si="4"/>
        <v>FALSE</v>
      </c>
      <c r="X62" s="34" t="str">
        <f t="shared" si="0"/>
        <v>FALSE</v>
      </c>
      <c r="Y62" s="35">
        <f t="shared" si="5"/>
        <v>0</v>
      </c>
      <c r="Z62" s="36" t="str">
        <f t="shared" si="6"/>
        <v/>
      </c>
      <c r="AA62" s="6"/>
      <c r="AB62" s="41"/>
      <c r="AC62" s="38"/>
      <c r="AD62" s="38"/>
      <c r="AE62" s="34"/>
      <c r="AF62" s="34" t="str">
        <f t="shared" si="8"/>
        <v>FALSE</v>
      </c>
      <c r="AG62" s="35">
        <f t="shared" si="1"/>
        <v>0</v>
      </c>
      <c r="AH62" s="36" t="str">
        <f t="shared" si="2"/>
        <v/>
      </c>
    </row>
    <row r="63" spans="1:34" ht="1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29" t="str">
        <f t="shared" si="3"/>
        <v/>
      </c>
      <c r="Q63" s="30"/>
      <c r="R63" s="31"/>
      <c r="S63" s="68"/>
      <c r="T63" s="40"/>
      <c r="U63" s="38"/>
      <c r="V63" s="74"/>
      <c r="W63" s="34" t="str">
        <f t="shared" si="4"/>
        <v>FALSE</v>
      </c>
      <c r="X63" s="34" t="str">
        <f t="shared" si="0"/>
        <v>FALSE</v>
      </c>
      <c r="Y63" s="35">
        <f t="shared" si="5"/>
        <v>0</v>
      </c>
      <c r="Z63" s="36" t="str">
        <f t="shared" si="6"/>
        <v/>
      </c>
      <c r="AA63" s="6"/>
      <c r="AB63" s="41"/>
      <c r="AC63" s="38"/>
      <c r="AD63" s="38"/>
      <c r="AE63" s="34"/>
      <c r="AF63" s="34" t="str">
        <f t="shared" si="8"/>
        <v>FALSE</v>
      </c>
      <c r="AG63" s="35">
        <f t="shared" si="1"/>
        <v>0</v>
      </c>
      <c r="AH63" s="36" t="str">
        <f t="shared" si="2"/>
        <v/>
      </c>
    </row>
    <row r="64" spans="1:34" ht="1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29" t="str">
        <f t="shared" si="3"/>
        <v/>
      </c>
      <c r="Q64" s="30"/>
      <c r="R64" s="31"/>
      <c r="S64" s="68"/>
      <c r="T64" s="40"/>
      <c r="U64" s="38"/>
      <c r="V64" s="74"/>
      <c r="W64" s="34" t="str">
        <f t="shared" si="4"/>
        <v>FALSE</v>
      </c>
      <c r="X64" s="34" t="str">
        <f t="shared" si="0"/>
        <v>FALSE</v>
      </c>
      <c r="Y64" s="35">
        <f t="shared" si="5"/>
        <v>0</v>
      </c>
      <c r="Z64" s="36" t="str">
        <f t="shared" si="6"/>
        <v/>
      </c>
      <c r="AA64" s="6"/>
      <c r="AB64" s="41"/>
      <c r="AC64" s="38"/>
      <c r="AD64" s="38"/>
      <c r="AE64" s="34"/>
      <c r="AF64" s="34" t="str">
        <f t="shared" si="8"/>
        <v>FALSE</v>
      </c>
      <c r="AG64" s="35">
        <f t="shared" si="1"/>
        <v>0</v>
      </c>
      <c r="AH64" s="36" t="str">
        <f t="shared" si="2"/>
        <v/>
      </c>
    </row>
    <row r="65" spans="1:34" ht="1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29" t="str">
        <f t="shared" si="3"/>
        <v/>
      </c>
      <c r="Q65" s="30"/>
      <c r="R65" s="31"/>
      <c r="S65" s="68"/>
      <c r="T65" s="40"/>
      <c r="U65" s="38"/>
      <c r="V65" s="74"/>
      <c r="W65" s="34" t="str">
        <f t="shared" si="4"/>
        <v>FALSE</v>
      </c>
      <c r="X65" s="34" t="str">
        <f t="shared" si="0"/>
        <v>FALSE</v>
      </c>
      <c r="Y65" s="35">
        <f t="shared" si="5"/>
        <v>0</v>
      </c>
      <c r="Z65" s="36" t="str">
        <f t="shared" si="6"/>
        <v/>
      </c>
      <c r="AA65" s="6"/>
      <c r="AB65" s="41"/>
      <c r="AC65" s="38"/>
      <c r="AD65" s="38"/>
      <c r="AE65" s="34"/>
      <c r="AF65" s="34" t="str">
        <f t="shared" si="8"/>
        <v>FALSE</v>
      </c>
      <c r="AG65" s="35">
        <f t="shared" si="1"/>
        <v>0</v>
      </c>
      <c r="AH65" s="36" t="str">
        <f t="shared" si="2"/>
        <v/>
      </c>
    </row>
    <row r="66" spans="1:34" ht="1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29" t="str">
        <f t="shared" si="3"/>
        <v/>
      </c>
      <c r="Q66" s="30"/>
      <c r="R66" s="31"/>
      <c r="S66" s="68"/>
      <c r="T66" s="40"/>
      <c r="U66" s="38"/>
      <c r="V66" s="74"/>
      <c r="W66" s="34" t="str">
        <f t="shared" si="4"/>
        <v>FALSE</v>
      </c>
      <c r="X66" s="34" t="str">
        <f t="shared" si="0"/>
        <v>FALSE</v>
      </c>
      <c r="Y66" s="35">
        <f t="shared" si="5"/>
        <v>0</v>
      </c>
      <c r="Z66" s="36" t="str">
        <f t="shared" si="6"/>
        <v/>
      </c>
      <c r="AA66" s="6"/>
      <c r="AB66" s="41"/>
      <c r="AC66" s="38"/>
      <c r="AD66" s="38"/>
      <c r="AE66" s="34"/>
      <c r="AF66" s="34" t="str">
        <f t="shared" si="8"/>
        <v>FALSE</v>
      </c>
      <c r="AG66" s="35">
        <f t="shared" si="1"/>
        <v>0</v>
      </c>
      <c r="AH66" s="36" t="str">
        <f t="shared" si="2"/>
        <v/>
      </c>
    </row>
    <row r="67" spans="1:34" ht="1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29" t="str">
        <f t="shared" si="3"/>
        <v/>
      </c>
      <c r="Q67" s="30"/>
      <c r="R67" s="31"/>
      <c r="S67" s="68"/>
      <c r="T67" s="40"/>
      <c r="U67" s="38"/>
      <c r="V67" s="74"/>
      <c r="W67" s="34" t="str">
        <f t="shared" si="4"/>
        <v>FALSE</v>
      </c>
      <c r="X67" s="34" t="str">
        <f t="shared" si="0"/>
        <v>FALSE</v>
      </c>
      <c r="Y67" s="35">
        <f t="shared" si="5"/>
        <v>0</v>
      </c>
      <c r="Z67" s="36" t="str">
        <f t="shared" si="6"/>
        <v/>
      </c>
      <c r="AA67" s="6"/>
      <c r="AB67" s="41"/>
      <c r="AC67" s="38"/>
      <c r="AD67" s="38"/>
      <c r="AE67" s="34"/>
      <c r="AF67" s="34" t="str">
        <f t="shared" si="8"/>
        <v>FALSE</v>
      </c>
      <c r="AG67" s="35">
        <f t="shared" si="1"/>
        <v>0</v>
      </c>
      <c r="AH67" s="36" t="str">
        <f t="shared" si="2"/>
        <v/>
      </c>
    </row>
    <row r="68" spans="1:34" ht="1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29" t="str">
        <f t="shared" si="3"/>
        <v/>
      </c>
      <c r="Q68" s="30"/>
      <c r="R68" s="31"/>
      <c r="S68" s="68"/>
      <c r="T68" s="40"/>
      <c r="U68" s="38"/>
      <c r="V68" s="74"/>
      <c r="W68" s="34" t="str">
        <f t="shared" si="4"/>
        <v>FALSE</v>
      </c>
      <c r="X68" s="34" t="str">
        <f t="shared" si="0"/>
        <v>FALSE</v>
      </c>
      <c r="Y68" s="35">
        <f t="shared" si="5"/>
        <v>0</v>
      </c>
      <c r="Z68" s="36" t="str">
        <f t="shared" si="6"/>
        <v/>
      </c>
      <c r="AA68" s="6"/>
      <c r="AB68" s="41"/>
      <c r="AC68" s="38"/>
      <c r="AD68" s="38"/>
      <c r="AE68" s="34"/>
      <c r="AF68" s="34" t="str">
        <f t="shared" si="8"/>
        <v>FALSE</v>
      </c>
      <c r="AG68" s="35">
        <f t="shared" si="1"/>
        <v>0</v>
      </c>
      <c r="AH68" s="36" t="str">
        <f t="shared" si="2"/>
        <v/>
      </c>
    </row>
    <row r="69" spans="1:34" ht="1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29" t="str">
        <f t="shared" si="3"/>
        <v/>
      </c>
      <c r="Q69" s="30"/>
      <c r="R69" s="31"/>
      <c r="S69" s="68"/>
      <c r="T69" s="40"/>
      <c r="U69" s="38"/>
      <c r="V69" s="74"/>
      <c r="W69" s="34" t="str">
        <f t="shared" si="4"/>
        <v>FALSE</v>
      </c>
      <c r="X69" s="34" t="str">
        <f t="shared" si="0"/>
        <v>FALSE</v>
      </c>
      <c r="Y69" s="35">
        <f t="shared" si="5"/>
        <v>0</v>
      </c>
      <c r="Z69" s="36" t="str">
        <f t="shared" si="6"/>
        <v/>
      </c>
      <c r="AA69" s="6"/>
      <c r="AB69" s="41"/>
      <c r="AC69" s="38"/>
      <c r="AD69" s="38"/>
      <c r="AE69" s="34"/>
      <c r="AF69" s="34" t="str">
        <f t="shared" si="8"/>
        <v>FALSE</v>
      </c>
      <c r="AG69" s="35">
        <f t="shared" si="1"/>
        <v>0</v>
      </c>
      <c r="AH69" s="36" t="str">
        <f t="shared" si="2"/>
        <v/>
      </c>
    </row>
    <row r="70" spans="1:34" ht="1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29" t="str">
        <f t="shared" si="3"/>
        <v/>
      </c>
      <c r="Q70" s="30"/>
      <c r="R70" s="31"/>
      <c r="S70" s="68"/>
      <c r="T70" s="40"/>
      <c r="U70" s="38"/>
      <c r="V70" s="74"/>
      <c r="W70" s="34" t="str">
        <f t="shared" si="4"/>
        <v>FALSE</v>
      </c>
      <c r="X70" s="34" t="str">
        <f t="shared" si="0"/>
        <v>FALSE</v>
      </c>
      <c r="Y70" s="35">
        <f t="shared" si="5"/>
        <v>0</v>
      </c>
      <c r="Z70" s="36" t="str">
        <f t="shared" si="6"/>
        <v/>
      </c>
      <c r="AA70" s="6"/>
      <c r="AB70" s="41"/>
      <c r="AC70" s="38"/>
      <c r="AD70" s="38"/>
      <c r="AE70" s="34"/>
      <c r="AF70" s="34" t="str">
        <f t="shared" si="8"/>
        <v>FALSE</v>
      </c>
      <c r="AG70" s="35">
        <f t="shared" si="1"/>
        <v>0</v>
      </c>
      <c r="AH70" s="36" t="str">
        <f t="shared" si="2"/>
        <v/>
      </c>
    </row>
    <row r="71" spans="1:34" ht="1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29" t="str">
        <f t="shared" si="3"/>
        <v/>
      </c>
      <c r="Q71" s="30"/>
      <c r="R71" s="31"/>
      <c r="S71" s="68"/>
      <c r="T71" s="40"/>
      <c r="U71" s="38"/>
      <c r="V71" s="74"/>
      <c r="W71" s="34" t="str">
        <f t="shared" si="4"/>
        <v>FALSE</v>
      </c>
      <c r="X71" s="34" t="str">
        <f t="shared" si="0"/>
        <v>FALSE</v>
      </c>
      <c r="Y71" s="35">
        <f t="shared" si="5"/>
        <v>0</v>
      </c>
      <c r="Z71" s="36" t="str">
        <f t="shared" si="6"/>
        <v/>
      </c>
      <c r="AA71" s="6"/>
      <c r="AB71" s="41"/>
      <c r="AC71" s="38"/>
      <c r="AD71" s="38"/>
      <c r="AE71" s="34"/>
      <c r="AF71" s="34" t="str">
        <f t="shared" si="8"/>
        <v>FALSE</v>
      </c>
      <c r="AG71" s="35">
        <f t="shared" si="1"/>
        <v>0</v>
      </c>
      <c r="AH71" s="36" t="str">
        <f t="shared" si="2"/>
        <v/>
      </c>
    </row>
    <row r="72" spans="1:34" ht="1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29" t="str">
        <f t="shared" si="3"/>
        <v/>
      </c>
      <c r="Q72" s="30"/>
      <c r="R72" s="31"/>
      <c r="S72" s="68"/>
      <c r="T72" s="40"/>
      <c r="U72" s="38"/>
      <c r="V72" s="74"/>
      <c r="W72" s="34" t="str">
        <f t="shared" si="4"/>
        <v>FALSE</v>
      </c>
      <c r="X72" s="34" t="str">
        <f t="shared" si="0"/>
        <v>FALSE</v>
      </c>
      <c r="Y72" s="35">
        <f t="shared" si="5"/>
        <v>0</v>
      </c>
      <c r="Z72" s="36" t="str">
        <f t="shared" si="6"/>
        <v/>
      </c>
      <c r="AA72" s="6"/>
      <c r="AB72" s="41"/>
      <c r="AC72" s="38"/>
      <c r="AD72" s="38"/>
      <c r="AE72" s="34"/>
      <c r="AF72" s="34" t="str">
        <f t="shared" si="8"/>
        <v>FALSE</v>
      </c>
      <c r="AG72" s="35">
        <f t="shared" si="1"/>
        <v>0</v>
      </c>
      <c r="AH72" s="36" t="str">
        <f t="shared" si="2"/>
        <v/>
      </c>
    </row>
    <row r="73" spans="1:34" ht="1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29" t="str">
        <f t="shared" si="3"/>
        <v/>
      </c>
      <c r="Q73" s="30"/>
      <c r="R73" s="31"/>
      <c r="S73" s="68"/>
      <c r="T73" s="40"/>
      <c r="U73" s="38"/>
      <c r="V73" s="74"/>
      <c r="W73" s="34" t="str">
        <f t="shared" si="4"/>
        <v>FALSE</v>
      </c>
      <c r="X73" s="34" t="str">
        <f t="shared" si="0"/>
        <v>FALSE</v>
      </c>
      <c r="Y73" s="35">
        <f t="shared" si="5"/>
        <v>0</v>
      </c>
      <c r="Z73" s="36" t="str">
        <f t="shared" si="6"/>
        <v/>
      </c>
      <c r="AA73" s="6"/>
      <c r="AB73" s="41"/>
      <c r="AC73" s="38"/>
      <c r="AD73" s="38"/>
      <c r="AE73" s="34"/>
      <c r="AF73" s="34" t="str">
        <f t="shared" si="8"/>
        <v>FALSE</v>
      </c>
      <c r="AG73" s="35">
        <f t="shared" si="1"/>
        <v>0</v>
      </c>
      <c r="AH73" s="36" t="str">
        <f t="shared" si="2"/>
        <v/>
      </c>
    </row>
    <row r="74" spans="1:34" ht="1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29" t="str">
        <f t="shared" si="3"/>
        <v/>
      </c>
      <c r="Q74" s="30"/>
      <c r="R74" s="31"/>
      <c r="S74" s="68"/>
      <c r="T74" s="40"/>
      <c r="U74" s="38"/>
      <c r="V74" s="74"/>
      <c r="W74" s="34" t="str">
        <f t="shared" si="4"/>
        <v>FALSE</v>
      </c>
      <c r="X74" s="34" t="str">
        <f t="shared" si="0"/>
        <v>FALSE</v>
      </c>
      <c r="Y74" s="35">
        <f t="shared" si="5"/>
        <v>0</v>
      </c>
      <c r="Z74" s="36" t="str">
        <f t="shared" si="6"/>
        <v/>
      </c>
      <c r="AA74" s="6"/>
      <c r="AB74" s="41"/>
      <c r="AC74" s="38"/>
      <c r="AD74" s="38"/>
      <c r="AE74" s="34"/>
      <c r="AF74" s="34" t="str">
        <f t="shared" si="8"/>
        <v>FALSE</v>
      </c>
      <c r="AG74" s="35">
        <f t="shared" si="1"/>
        <v>0</v>
      </c>
      <c r="AH74" s="36" t="str">
        <f t="shared" si="2"/>
        <v/>
      </c>
    </row>
    <row r="75" spans="1:34" ht="1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29" t="str">
        <f t="shared" si="3"/>
        <v/>
      </c>
      <c r="Q75" s="30"/>
      <c r="R75" s="31"/>
      <c r="S75" s="68"/>
      <c r="T75" s="40"/>
      <c r="U75" s="38"/>
      <c r="V75" s="74"/>
      <c r="W75" s="34" t="str">
        <f t="shared" si="4"/>
        <v>FALSE</v>
      </c>
      <c r="X75" s="34" t="str">
        <f t="shared" si="0"/>
        <v>FALSE</v>
      </c>
      <c r="Y75" s="35">
        <f t="shared" si="5"/>
        <v>0</v>
      </c>
      <c r="Z75" s="36" t="str">
        <f t="shared" si="6"/>
        <v/>
      </c>
      <c r="AA75" s="6"/>
      <c r="AB75" s="41"/>
      <c r="AC75" s="38"/>
      <c r="AD75" s="38"/>
      <c r="AE75" s="34"/>
      <c r="AF75" s="34" t="str">
        <f t="shared" si="8"/>
        <v>FALSE</v>
      </c>
      <c r="AG75" s="35">
        <f t="shared" si="1"/>
        <v>0</v>
      </c>
      <c r="AH75" s="36" t="str">
        <f t="shared" si="2"/>
        <v/>
      </c>
    </row>
    <row r="76" spans="1:34" ht="1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29" t="str">
        <f t="shared" si="3"/>
        <v/>
      </c>
      <c r="Q76" s="30"/>
      <c r="R76" s="31"/>
      <c r="S76" s="68"/>
      <c r="T76" s="40"/>
      <c r="U76" s="38"/>
      <c r="V76" s="74"/>
      <c r="W76" s="34" t="str">
        <f t="shared" si="4"/>
        <v>FALSE</v>
      </c>
      <c r="X76" s="34" t="str">
        <f t="shared" si="0"/>
        <v>FALSE</v>
      </c>
      <c r="Y76" s="35">
        <f t="shared" si="5"/>
        <v>0</v>
      </c>
      <c r="Z76" s="36" t="str">
        <f t="shared" si="6"/>
        <v/>
      </c>
      <c r="AA76" s="6"/>
      <c r="AB76" s="41"/>
      <c r="AC76" s="38"/>
      <c r="AD76" s="38"/>
      <c r="AE76" s="34"/>
      <c r="AF76" s="34" t="str">
        <f t="shared" si="8"/>
        <v>FALSE</v>
      </c>
      <c r="AG76" s="35">
        <f t="shared" si="1"/>
        <v>0</v>
      </c>
      <c r="AH76" s="36" t="str">
        <f t="shared" si="2"/>
        <v/>
      </c>
    </row>
    <row r="77" spans="1:34" ht="1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29" t="str">
        <f t="shared" si="3"/>
        <v/>
      </c>
      <c r="Q77" s="30"/>
      <c r="R77" s="31"/>
      <c r="S77" s="68"/>
      <c r="T77" s="40"/>
      <c r="U77" s="38"/>
      <c r="V77" s="74"/>
      <c r="W77" s="34" t="str">
        <f t="shared" si="4"/>
        <v>FALSE</v>
      </c>
      <c r="X77" s="34" t="str">
        <f t="shared" si="0"/>
        <v>FALSE</v>
      </c>
      <c r="Y77" s="35">
        <f t="shared" si="5"/>
        <v>0</v>
      </c>
      <c r="Z77" s="36" t="str">
        <f t="shared" si="6"/>
        <v/>
      </c>
      <c r="AA77" s="6"/>
      <c r="AB77" s="41"/>
      <c r="AC77" s="38"/>
      <c r="AD77" s="38"/>
      <c r="AE77" s="34"/>
      <c r="AF77" s="34" t="str">
        <f t="shared" si="8"/>
        <v>FALSE</v>
      </c>
      <c r="AG77" s="35">
        <f t="shared" si="1"/>
        <v>0</v>
      </c>
      <c r="AH77" s="36" t="str">
        <f t="shared" si="2"/>
        <v/>
      </c>
    </row>
    <row r="78" spans="1:34" ht="1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29" t="str">
        <f t="shared" si="3"/>
        <v/>
      </c>
      <c r="Q78" s="30"/>
      <c r="R78" s="31"/>
      <c r="S78" s="68"/>
      <c r="T78" s="40"/>
      <c r="U78" s="38"/>
      <c r="V78" s="74"/>
      <c r="W78" s="34" t="str">
        <f t="shared" si="4"/>
        <v>FALSE</v>
      </c>
      <c r="X78" s="34" t="str">
        <f t="shared" ref="X78:X120" si="9">IF(U78="","FALSE",ABS((U78-AVERAGE($U$14:$U$120))/_xlfn.STDEV.S($U$14:$U$104)))</f>
        <v>FALSE</v>
      </c>
      <c r="Y78" s="35">
        <f t="shared" si="5"/>
        <v>0</v>
      </c>
      <c r="Z78" s="36" t="str">
        <f t="shared" si="6"/>
        <v/>
      </c>
      <c r="AA78" s="6"/>
      <c r="AB78" s="41"/>
      <c r="AC78" s="38"/>
      <c r="AD78" s="38"/>
      <c r="AE78" s="34"/>
      <c r="AF78" s="34" t="str">
        <f t="shared" si="8"/>
        <v>FALSE</v>
      </c>
      <c r="AG78" s="35">
        <f t="shared" ref="AG78:AG120" si="10">IF(OR(AC78&gt;$AG$11,AC78&lt;$AF$11),AC78,"")</f>
        <v>0</v>
      </c>
      <c r="AH78" s="36" t="str">
        <f t="shared" ref="AH78:AH120" si="11">IF(AC78="","",AC78/AB78)</f>
        <v/>
      </c>
    </row>
    <row r="79" spans="1:34" ht="1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29" t="str">
        <f t="shared" ref="P79:P120" si="12">IF(R79&lt;&gt;"",P78+1,"")</f>
        <v/>
      </c>
      <c r="Q79" s="30"/>
      <c r="R79" s="31"/>
      <c r="S79" s="68"/>
      <c r="T79" s="40"/>
      <c r="U79" s="38"/>
      <c r="V79" s="74"/>
      <c r="W79" s="34" t="str">
        <f t="shared" ref="W79:W120" si="13">IF(X79&gt;3,"FALSE",U79)</f>
        <v>FALSE</v>
      </c>
      <c r="X79" s="34" t="str">
        <f t="shared" si="9"/>
        <v>FALSE</v>
      </c>
      <c r="Y79" s="35">
        <f t="shared" ref="Y79:Y120" si="14">IF(OR(U79&gt;$Y$11,U79&lt;$X$11),U79,"")</f>
        <v>0</v>
      </c>
      <c r="Z79" s="36" t="str">
        <f t="shared" ref="Z79:Z120" si="15">IF(U79="","",U79/T79)</f>
        <v/>
      </c>
      <c r="AA79" s="6"/>
      <c r="AB79" s="41"/>
      <c r="AC79" s="38"/>
      <c r="AD79" s="38"/>
      <c r="AE79" s="34"/>
      <c r="AF79" s="34" t="str">
        <f t="shared" ref="AF79:AF120" si="16">IF(AC79="","FALSE",ABS((AC79-AVERAGE($AC$14:$AC$120))/_xlfn.STDEV.S($AC$14:$AC$104)))</f>
        <v>FALSE</v>
      </c>
      <c r="AG79" s="35">
        <f t="shared" si="10"/>
        <v>0</v>
      </c>
      <c r="AH79" s="36" t="str">
        <f t="shared" si="11"/>
        <v/>
      </c>
    </row>
    <row r="80" spans="1:34" ht="1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29" t="str">
        <f t="shared" si="12"/>
        <v/>
      </c>
      <c r="Q80" s="30"/>
      <c r="R80" s="31"/>
      <c r="S80" s="68"/>
      <c r="T80" s="40"/>
      <c r="U80" s="38"/>
      <c r="V80" s="74"/>
      <c r="W80" s="34" t="str">
        <f t="shared" si="13"/>
        <v>FALSE</v>
      </c>
      <c r="X80" s="34" t="str">
        <f t="shared" si="9"/>
        <v>FALSE</v>
      </c>
      <c r="Y80" s="35">
        <f t="shared" si="14"/>
        <v>0</v>
      </c>
      <c r="Z80" s="36" t="str">
        <f t="shared" si="15"/>
        <v/>
      </c>
      <c r="AA80" s="6"/>
      <c r="AB80" s="41"/>
      <c r="AC80" s="38"/>
      <c r="AD80" s="38"/>
      <c r="AE80" s="34"/>
      <c r="AF80" s="34" t="str">
        <f t="shared" si="16"/>
        <v>FALSE</v>
      </c>
      <c r="AG80" s="35">
        <f t="shared" si="10"/>
        <v>0</v>
      </c>
      <c r="AH80" s="36" t="str">
        <f t="shared" si="11"/>
        <v/>
      </c>
    </row>
    <row r="81" spans="1:34" ht="1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29" t="str">
        <f t="shared" si="12"/>
        <v/>
      </c>
      <c r="Q81" s="30"/>
      <c r="R81" s="31"/>
      <c r="S81" s="68"/>
      <c r="T81" s="40"/>
      <c r="U81" s="38"/>
      <c r="V81" s="74"/>
      <c r="W81" s="34" t="str">
        <f t="shared" si="13"/>
        <v>FALSE</v>
      </c>
      <c r="X81" s="34" t="str">
        <f t="shared" si="9"/>
        <v>FALSE</v>
      </c>
      <c r="Y81" s="35">
        <f t="shared" si="14"/>
        <v>0</v>
      </c>
      <c r="Z81" s="36" t="str">
        <f t="shared" si="15"/>
        <v/>
      </c>
      <c r="AA81" s="6"/>
      <c r="AB81" s="41"/>
      <c r="AC81" s="38"/>
      <c r="AD81" s="38"/>
      <c r="AE81" s="34"/>
      <c r="AF81" s="34" t="str">
        <f t="shared" si="16"/>
        <v>FALSE</v>
      </c>
      <c r="AG81" s="35">
        <f t="shared" si="10"/>
        <v>0</v>
      </c>
      <c r="AH81" s="36" t="str">
        <f t="shared" si="11"/>
        <v/>
      </c>
    </row>
    <row r="82" spans="1:34" ht="1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29" t="str">
        <f t="shared" si="12"/>
        <v/>
      </c>
      <c r="Q82" s="30"/>
      <c r="R82" s="31"/>
      <c r="S82" s="68"/>
      <c r="T82" s="40"/>
      <c r="U82" s="38"/>
      <c r="V82" s="74"/>
      <c r="W82" s="34" t="str">
        <f t="shared" si="13"/>
        <v>FALSE</v>
      </c>
      <c r="X82" s="34" t="str">
        <f t="shared" si="9"/>
        <v>FALSE</v>
      </c>
      <c r="Y82" s="35">
        <f t="shared" si="14"/>
        <v>0</v>
      </c>
      <c r="Z82" s="36" t="str">
        <f t="shared" si="15"/>
        <v/>
      </c>
      <c r="AA82" s="6"/>
      <c r="AB82" s="41"/>
      <c r="AC82" s="38"/>
      <c r="AD82" s="38"/>
      <c r="AE82" s="34"/>
      <c r="AF82" s="34" t="str">
        <f t="shared" si="16"/>
        <v>FALSE</v>
      </c>
      <c r="AG82" s="35">
        <f t="shared" si="10"/>
        <v>0</v>
      </c>
      <c r="AH82" s="36" t="str">
        <f t="shared" si="11"/>
        <v/>
      </c>
    </row>
    <row r="83" spans="1:34" ht="1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29" t="str">
        <f t="shared" si="12"/>
        <v/>
      </c>
      <c r="Q83" s="30"/>
      <c r="R83" s="31"/>
      <c r="S83" s="68"/>
      <c r="T83" s="40"/>
      <c r="U83" s="38"/>
      <c r="V83" s="74"/>
      <c r="W83" s="34" t="str">
        <f t="shared" si="13"/>
        <v>FALSE</v>
      </c>
      <c r="X83" s="34" t="str">
        <f t="shared" si="9"/>
        <v>FALSE</v>
      </c>
      <c r="Y83" s="35">
        <f t="shared" si="14"/>
        <v>0</v>
      </c>
      <c r="Z83" s="36" t="str">
        <f t="shared" si="15"/>
        <v/>
      </c>
      <c r="AA83" s="6"/>
      <c r="AB83" s="41"/>
      <c r="AC83" s="38"/>
      <c r="AD83" s="38"/>
      <c r="AE83" s="34"/>
      <c r="AF83" s="34" t="str">
        <f t="shared" si="16"/>
        <v>FALSE</v>
      </c>
      <c r="AG83" s="35">
        <f t="shared" si="10"/>
        <v>0</v>
      </c>
      <c r="AH83" s="36" t="str">
        <f t="shared" si="11"/>
        <v/>
      </c>
    </row>
    <row r="84" spans="1:34" ht="1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29" t="str">
        <f t="shared" si="12"/>
        <v/>
      </c>
      <c r="Q84" s="30"/>
      <c r="R84" s="31"/>
      <c r="S84" s="68"/>
      <c r="T84" s="40"/>
      <c r="U84" s="38"/>
      <c r="V84" s="74"/>
      <c r="W84" s="34" t="str">
        <f t="shared" si="13"/>
        <v>FALSE</v>
      </c>
      <c r="X84" s="34" t="str">
        <f t="shared" si="9"/>
        <v>FALSE</v>
      </c>
      <c r="Y84" s="35">
        <f t="shared" si="14"/>
        <v>0</v>
      </c>
      <c r="Z84" s="36" t="str">
        <f t="shared" si="15"/>
        <v/>
      </c>
      <c r="AA84" s="6"/>
      <c r="AB84" s="41"/>
      <c r="AC84" s="38"/>
      <c r="AD84" s="38"/>
      <c r="AE84" s="34"/>
      <c r="AF84" s="34" t="str">
        <f t="shared" si="16"/>
        <v>FALSE</v>
      </c>
      <c r="AG84" s="35">
        <f t="shared" si="10"/>
        <v>0</v>
      </c>
      <c r="AH84" s="36" t="str">
        <f t="shared" si="11"/>
        <v/>
      </c>
    </row>
    <row r="85" spans="1:34" ht="1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29" t="str">
        <f t="shared" si="12"/>
        <v/>
      </c>
      <c r="Q85" s="30"/>
      <c r="R85" s="31"/>
      <c r="S85" s="68"/>
      <c r="T85" s="40"/>
      <c r="U85" s="38"/>
      <c r="V85" s="74"/>
      <c r="W85" s="34" t="str">
        <f t="shared" si="13"/>
        <v>FALSE</v>
      </c>
      <c r="X85" s="34" t="str">
        <f t="shared" si="9"/>
        <v>FALSE</v>
      </c>
      <c r="Y85" s="35">
        <f t="shared" si="14"/>
        <v>0</v>
      </c>
      <c r="Z85" s="36" t="str">
        <f t="shared" si="15"/>
        <v/>
      </c>
      <c r="AA85" s="6"/>
      <c r="AB85" s="41"/>
      <c r="AC85" s="38"/>
      <c r="AD85" s="38"/>
      <c r="AE85" s="34"/>
      <c r="AF85" s="34" t="str">
        <f t="shared" si="16"/>
        <v>FALSE</v>
      </c>
      <c r="AG85" s="35">
        <f t="shared" si="10"/>
        <v>0</v>
      </c>
      <c r="AH85" s="36" t="str">
        <f t="shared" si="11"/>
        <v/>
      </c>
    </row>
    <row r="86" spans="1:34" ht="1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29" t="str">
        <f t="shared" si="12"/>
        <v/>
      </c>
      <c r="Q86" s="30"/>
      <c r="R86" s="31"/>
      <c r="S86" s="68"/>
      <c r="T86" s="40"/>
      <c r="U86" s="38"/>
      <c r="V86" s="74"/>
      <c r="W86" s="34" t="str">
        <f t="shared" si="13"/>
        <v>FALSE</v>
      </c>
      <c r="X86" s="34" t="str">
        <f t="shared" si="9"/>
        <v>FALSE</v>
      </c>
      <c r="Y86" s="35">
        <f t="shared" si="14"/>
        <v>0</v>
      </c>
      <c r="Z86" s="36" t="str">
        <f t="shared" si="15"/>
        <v/>
      </c>
      <c r="AA86" s="6"/>
      <c r="AB86" s="41"/>
      <c r="AC86" s="38"/>
      <c r="AD86" s="38"/>
      <c r="AE86" s="34"/>
      <c r="AF86" s="34" t="str">
        <f t="shared" si="16"/>
        <v>FALSE</v>
      </c>
      <c r="AG86" s="35">
        <f t="shared" si="10"/>
        <v>0</v>
      </c>
      <c r="AH86" s="36" t="str">
        <f t="shared" si="11"/>
        <v/>
      </c>
    </row>
    <row r="87" spans="1:34" ht="1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29" t="str">
        <f t="shared" si="12"/>
        <v/>
      </c>
      <c r="Q87" s="30"/>
      <c r="R87" s="31"/>
      <c r="S87" s="68"/>
      <c r="T87" s="40"/>
      <c r="U87" s="38"/>
      <c r="V87" s="74"/>
      <c r="W87" s="34" t="str">
        <f t="shared" si="13"/>
        <v>FALSE</v>
      </c>
      <c r="X87" s="34" t="str">
        <f t="shared" si="9"/>
        <v>FALSE</v>
      </c>
      <c r="Y87" s="35">
        <f t="shared" si="14"/>
        <v>0</v>
      </c>
      <c r="Z87" s="36" t="str">
        <f t="shared" si="15"/>
        <v/>
      </c>
      <c r="AA87" s="6"/>
      <c r="AB87" s="41"/>
      <c r="AC87" s="38"/>
      <c r="AD87" s="38"/>
      <c r="AE87" s="34"/>
      <c r="AF87" s="34" t="str">
        <f t="shared" si="16"/>
        <v>FALSE</v>
      </c>
      <c r="AG87" s="35">
        <f t="shared" si="10"/>
        <v>0</v>
      </c>
      <c r="AH87" s="36" t="str">
        <f t="shared" si="11"/>
        <v/>
      </c>
    </row>
    <row r="88" spans="1:34" ht="1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29" t="str">
        <f t="shared" si="12"/>
        <v/>
      </c>
      <c r="Q88" s="30"/>
      <c r="R88" s="31"/>
      <c r="S88" s="68"/>
      <c r="T88" s="40"/>
      <c r="U88" s="38"/>
      <c r="V88" s="74"/>
      <c r="W88" s="34" t="str">
        <f t="shared" si="13"/>
        <v>FALSE</v>
      </c>
      <c r="X88" s="34" t="str">
        <f t="shared" si="9"/>
        <v>FALSE</v>
      </c>
      <c r="Y88" s="35">
        <f t="shared" si="14"/>
        <v>0</v>
      </c>
      <c r="Z88" s="36" t="str">
        <f t="shared" si="15"/>
        <v/>
      </c>
      <c r="AA88" s="6"/>
      <c r="AB88" s="41"/>
      <c r="AC88" s="38"/>
      <c r="AD88" s="38"/>
      <c r="AE88" s="34"/>
      <c r="AF88" s="34" t="str">
        <f t="shared" si="16"/>
        <v>FALSE</v>
      </c>
      <c r="AG88" s="35">
        <f t="shared" si="10"/>
        <v>0</v>
      </c>
      <c r="AH88" s="36" t="str">
        <f t="shared" si="11"/>
        <v/>
      </c>
    </row>
    <row r="89" spans="1:34" ht="1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29" t="str">
        <f t="shared" si="12"/>
        <v/>
      </c>
      <c r="Q89" s="30"/>
      <c r="R89" s="31"/>
      <c r="S89" s="68"/>
      <c r="T89" s="40"/>
      <c r="U89" s="38"/>
      <c r="V89" s="74"/>
      <c r="W89" s="34" t="str">
        <f t="shared" si="13"/>
        <v>FALSE</v>
      </c>
      <c r="X89" s="34" t="str">
        <f t="shared" si="9"/>
        <v>FALSE</v>
      </c>
      <c r="Y89" s="35">
        <f t="shared" si="14"/>
        <v>0</v>
      </c>
      <c r="Z89" s="36" t="str">
        <f t="shared" si="15"/>
        <v/>
      </c>
      <c r="AA89" s="6"/>
      <c r="AB89" s="41"/>
      <c r="AC89" s="38"/>
      <c r="AD89" s="38"/>
      <c r="AE89" s="34"/>
      <c r="AF89" s="34" t="str">
        <f t="shared" si="16"/>
        <v>FALSE</v>
      </c>
      <c r="AG89" s="35">
        <f t="shared" si="10"/>
        <v>0</v>
      </c>
      <c r="AH89" s="36" t="str">
        <f t="shared" si="11"/>
        <v/>
      </c>
    </row>
    <row r="90" spans="1:34" ht="1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29" t="str">
        <f t="shared" si="12"/>
        <v/>
      </c>
      <c r="Q90" s="30"/>
      <c r="R90" s="31"/>
      <c r="S90" s="68"/>
      <c r="T90" s="40"/>
      <c r="U90" s="38"/>
      <c r="V90" s="74"/>
      <c r="W90" s="34" t="str">
        <f t="shared" si="13"/>
        <v>FALSE</v>
      </c>
      <c r="X90" s="34" t="str">
        <f t="shared" si="9"/>
        <v>FALSE</v>
      </c>
      <c r="Y90" s="35">
        <f t="shared" si="14"/>
        <v>0</v>
      </c>
      <c r="Z90" s="36" t="str">
        <f t="shared" si="15"/>
        <v/>
      </c>
      <c r="AA90" s="6"/>
      <c r="AB90" s="41"/>
      <c r="AC90" s="38"/>
      <c r="AD90" s="38"/>
      <c r="AE90" s="34"/>
      <c r="AF90" s="34" t="str">
        <f t="shared" si="16"/>
        <v>FALSE</v>
      </c>
      <c r="AG90" s="35">
        <f t="shared" si="10"/>
        <v>0</v>
      </c>
      <c r="AH90" s="36" t="str">
        <f t="shared" si="11"/>
        <v/>
      </c>
    </row>
    <row r="91" spans="1:34" ht="1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29" t="str">
        <f t="shared" si="12"/>
        <v/>
      </c>
      <c r="Q91" s="30"/>
      <c r="R91" s="31"/>
      <c r="S91" s="68"/>
      <c r="T91" s="40"/>
      <c r="U91" s="38"/>
      <c r="V91" s="74"/>
      <c r="W91" s="34" t="str">
        <f t="shared" si="13"/>
        <v>FALSE</v>
      </c>
      <c r="X91" s="34" t="str">
        <f t="shared" si="9"/>
        <v>FALSE</v>
      </c>
      <c r="Y91" s="35">
        <f t="shared" si="14"/>
        <v>0</v>
      </c>
      <c r="Z91" s="36" t="str">
        <f t="shared" si="15"/>
        <v/>
      </c>
      <c r="AA91" s="6"/>
      <c r="AB91" s="41"/>
      <c r="AC91" s="38"/>
      <c r="AD91" s="38"/>
      <c r="AE91" s="34"/>
      <c r="AF91" s="34" t="str">
        <f t="shared" si="16"/>
        <v>FALSE</v>
      </c>
      <c r="AG91" s="35">
        <f t="shared" si="10"/>
        <v>0</v>
      </c>
      <c r="AH91" s="36" t="str">
        <f t="shared" si="11"/>
        <v/>
      </c>
    </row>
    <row r="92" spans="1:34" ht="1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29" t="str">
        <f t="shared" si="12"/>
        <v/>
      </c>
      <c r="Q92" s="30"/>
      <c r="R92" s="31"/>
      <c r="S92" s="68"/>
      <c r="T92" s="40"/>
      <c r="U92" s="38"/>
      <c r="V92" s="74"/>
      <c r="W92" s="34" t="str">
        <f t="shared" si="13"/>
        <v>FALSE</v>
      </c>
      <c r="X92" s="34" t="str">
        <f t="shared" si="9"/>
        <v>FALSE</v>
      </c>
      <c r="Y92" s="35">
        <f t="shared" si="14"/>
        <v>0</v>
      </c>
      <c r="Z92" s="36" t="str">
        <f t="shared" si="15"/>
        <v/>
      </c>
      <c r="AA92" s="6"/>
      <c r="AB92" s="41"/>
      <c r="AC92" s="38"/>
      <c r="AD92" s="38"/>
      <c r="AE92" s="34"/>
      <c r="AF92" s="34" t="str">
        <f t="shared" si="16"/>
        <v>FALSE</v>
      </c>
      <c r="AG92" s="35">
        <f t="shared" si="10"/>
        <v>0</v>
      </c>
      <c r="AH92" s="36" t="str">
        <f t="shared" si="11"/>
        <v/>
      </c>
    </row>
    <row r="93" spans="1:34" ht="1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29" t="str">
        <f t="shared" si="12"/>
        <v/>
      </c>
      <c r="Q93" s="30"/>
      <c r="R93" s="31"/>
      <c r="S93" s="68"/>
      <c r="T93" s="40"/>
      <c r="U93" s="38"/>
      <c r="V93" s="74"/>
      <c r="W93" s="34" t="str">
        <f t="shared" si="13"/>
        <v>FALSE</v>
      </c>
      <c r="X93" s="34" t="str">
        <f t="shared" si="9"/>
        <v>FALSE</v>
      </c>
      <c r="Y93" s="35">
        <f t="shared" si="14"/>
        <v>0</v>
      </c>
      <c r="Z93" s="36" t="str">
        <f t="shared" si="15"/>
        <v/>
      </c>
      <c r="AA93" s="6"/>
      <c r="AB93" s="41"/>
      <c r="AC93" s="38"/>
      <c r="AD93" s="38"/>
      <c r="AE93" s="34"/>
      <c r="AF93" s="34" t="str">
        <f t="shared" si="16"/>
        <v>FALSE</v>
      </c>
      <c r="AG93" s="35">
        <f t="shared" si="10"/>
        <v>0</v>
      </c>
      <c r="AH93" s="36" t="str">
        <f t="shared" si="11"/>
        <v/>
      </c>
    </row>
    <row r="94" spans="1:34" ht="1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29" t="str">
        <f t="shared" si="12"/>
        <v/>
      </c>
      <c r="Q94" s="30"/>
      <c r="R94" s="31"/>
      <c r="S94" s="68"/>
      <c r="T94" s="40"/>
      <c r="U94" s="38"/>
      <c r="V94" s="74"/>
      <c r="W94" s="34" t="str">
        <f t="shared" si="13"/>
        <v>FALSE</v>
      </c>
      <c r="X94" s="34" t="str">
        <f t="shared" si="9"/>
        <v>FALSE</v>
      </c>
      <c r="Y94" s="35">
        <f t="shared" si="14"/>
        <v>0</v>
      </c>
      <c r="Z94" s="36" t="str">
        <f t="shared" si="15"/>
        <v/>
      </c>
      <c r="AA94" s="6"/>
      <c r="AB94" s="41"/>
      <c r="AC94" s="38"/>
      <c r="AD94" s="38"/>
      <c r="AE94" s="34"/>
      <c r="AF94" s="34" t="str">
        <f t="shared" si="16"/>
        <v>FALSE</v>
      </c>
      <c r="AG94" s="35">
        <f t="shared" si="10"/>
        <v>0</v>
      </c>
      <c r="AH94" s="36" t="str">
        <f t="shared" si="11"/>
        <v/>
      </c>
    </row>
    <row r="95" spans="1:34" ht="1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29" t="str">
        <f t="shared" si="12"/>
        <v/>
      </c>
      <c r="Q95" s="30"/>
      <c r="R95" s="31"/>
      <c r="S95" s="68"/>
      <c r="T95" s="40"/>
      <c r="U95" s="38"/>
      <c r="V95" s="74"/>
      <c r="W95" s="34" t="str">
        <f t="shared" si="13"/>
        <v>FALSE</v>
      </c>
      <c r="X95" s="34" t="str">
        <f t="shared" si="9"/>
        <v>FALSE</v>
      </c>
      <c r="Y95" s="35">
        <f t="shared" si="14"/>
        <v>0</v>
      </c>
      <c r="Z95" s="36" t="str">
        <f t="shared" si="15"/>
        <v/>
      </c>
      <c r="AA95" s="6"/>
      <c r="AB95" s="41"/>
      <c r="AC95" s="38"/>
      <c r="AD95" s="38"/>
      <c r="AE95" s="34"/>
      <c r="AF95" s="34" t="str">
        <f t="shared" si="16"/>
        <v>FALSE</v>
      </c>
      <c r="AG95" s="35">
        <f t="shared" si="10"/>
        <v>0</v>
      </c>
      <c r="AH95" s="36" t="str">
        <f t="shared" si="11"/>
        <v/>
      </c>
    </row>
    <row r="96" spans="1:34" ht="1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29" t="str">
        <f t="shared" si="12"/>
        <v/>
      </c>
      <c r="Q96" s="30"/>
      <c r="R96" s="31"/>
      <c r="S96" s="68"/>
      <c r="T96" s="40"/>
      <c r="U96" s="38"/>
      <c r="V96" s="74"/>
      <c r="W96" s="34" t="str">
        <f t="shared" si="13"/>
        <v>FALSE</v>
      </c>
      <c r="X96" s="34" t="str">
        <f t="shared" si="9"/>
        <v>FALSE</v>
      </c>
      <c r="Y96" s="35">
        <f t="shared" si="14"/>
        <v>0</v>
      </c>
      <c r="Z96" s="36" t="str">
        <f t="shared" si="15"/>
        <v/>
      </c>
      <c r="AA96" s="6"/>
      <c r="AB96" s="41"/>
      <c r="AC96" s="38"/>
      <c r="AD96" s="38"/>
      <c r="AE96" s="34"/>
      <c r="AF96" s="34" t="str">
        <f t="shared" si="16"/>
        <v>FALSE</v>
      </c>
      <c r="AG96" s="35">
        <f t="shared" si="10"/>
        <v>0</v>
      </c>
      <c r="AH96" s="36" t="str">
        <f t="shared" si="11"/>
        <v/>
      </c>
    </row>
    <row r="97" spans="1:34" ht="1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29" t="str">
        <f t="shared" si="12"/>
        <v/>
      </c>
      <c r="Q97" s="30"/>
      <c r="R97" s="31"/>
      <c r="S97" s="68"/>
      <c r="T97" s="40"/>
      <c r="U97" s="38"/>
      <c r="V97" s="74"/>
      <c r="W97" s="34" t="str">
        <f t="shared" si="13"/>
        <v>FALSE</v>
      </c>
      <c r="X97" s="34" t="str">
        <f t="shared" si="9"/>
        <v>FALSE</v>
      </c>
      <c r="Y97" s="35">
        <f t="shared" si="14"/>
        <v>0</v>
      </c>
      <c r="Z97" s="36" t="str">
        <f t="shared" si="15"/>
        <v/>
      </c>
      <c r="AA97" s="6"/>
      <c r="AB97" s="41"/>
      <c r="AC97" s="38"/>
      <c r="AD97" s="38"/>
      <c r="AE97" s="34"/>
      <c r="AF97" s="34" t="str">
        <f t="shared" si="16"/>
        <v>FALSE</v>
      </c>
      <c r="AG97" s="35">
        <f t="shared" si="10"/>
        <v>0</v>
      </c>
      <c r="AH97" s="36" t="str">
        <f t="shared" si="11"/>
        <v/>
      </c>
    </row>
    <row r="98" spans="1:34" ht="1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29" t="str">
        <f t="shared" si="12"/>
        <v/>
      </c>
      <c r="Q98" s="30"/>
      <c r="R98" s="31"/>
      <c r="S98" s="68"/>
      <c r="T98" s="40"/>
      <c r="U98" s="38"/>
      <c r="V98" s="74"/>
      <c r="W98" s="34" t="str">
        <f t="shared" si="13"/>
        <v>FALSE</v>
      </c>
      <c r="X98" s="34" t="str">
        <f t="shared" si="9"/>
        <v>FALSE</v>
      </c>
      <c r="Y98" s="35">
        <f t="shared" si="14"/>
        <v>0</v>
      </c>
      <c r="Z98" s="36" t="str">
        <f t="shared" si="15"/>
        <v/>
      </c>
      <c r="AA98" s="6"/>
      <c r="AB98" s="41"/>
      <c r="AC98" s="38"/>
      <c r="AD98" s="38"/>
      <c r="AE98" s="34"/>
      <c r="AF98" s="34" t="str">
        <f t="shared" si="16"/>
        <v>FALSE</v>
      </c>
      <c r="AG98" s="35">
        <f t="shared" si="10"/>
        <v>0</v>
      </c>
      <c r="AH98" s="36" t="str">
        <f t="shared" si="11"/>
        <v/>
      </c>
    </row>
    <row r="99" spans="1:34" ht="1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29" t="str">
        <f t="shared" si="12"/>
        <v/>
      </c>
      <c r="Q99" s="30"/>
      <c r="R99" s="31"/>
      <c r="S99" s="68"/>
      <c r="T99" s="40"/>
      <c r="U99" s="38"/>
      <c r="V99" s="74"/>
      <c r="W99" s="34" t="str">
        <f t="shared" si="13"/>
        <v>FALSE</v>
      </c>
      <c r="X99" s="34" t="str">
        <f t="shared" si="9"/>
        <v>FALSE</v>
      </c>
      <c r="Y99" s="35">
        <f t="shared" si="14"/>
        <v>0</v>
      </c>
      <c r="Z99" s="36" t="str">
        <f t="shared" si="15"/>
        <v/>
      </c>
      <c r="AA99" s="6"/>
      <c r="AB99" s="41"/>
      <c r="AC99" s="38"/>
      <c r="AD99" s="38"/>
      <c r="AE99" s="34"/>
      <c r="AF99" s="34" t="str">
        <f t="shared" si="16"/>
        <v>FALSE</v>
      </c>
      <c r="AG99" s="35">
        <f t="shared" si="10"/>
        <v>0</v>
      </c>
      <c r="AH99" s="36" t="str">
        <f t="shared" si="11"/>
        <v/>
      </c>
    </row>
    <row r="100" spans="1:34" ht="1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29" t="str">
        <f t="shared" si="12"/>
        <v/>
      </c>
      <c r="Q100" s="30"/>
      <c r="R100" s="31"/>
      <c r="S100" s="68"/>
      <c r="T100" s="40"/>
      <c r="U100" s="38"/>
      <c r="V100" s="74"/>
      <c r="W100" s="34" t="str">
        <f t="shared" si="13"/>
        <v>FALSE</v>
      </c>
      <c r="X100" s="34" t="str">
        <f t="shared" si="9"/>
        <v>FALSE</v>
      </c>
      <c r="Y100" s="35">
        <f t="shared" si="14"/>
        <v>0</v>
      </c>
      <c r="Z100" s="36" t="str">
        <f t="shared" si="15"/>
        <v/>
      </c>
      <c r="AA100" s="6"/>
      <c r="AB100" s="41"/>
      <c r="AC100" s="38"/>
      <c r="AD100" s="38"/>
      <c r="AE100" s="34"/>
      <c r="AF100" s="34" t="str">
        <f t="shared" si="16"/>
        <v>FALSE</v>
      </c>
      <c r="AG100" s="35">
        <f t="shared" si="10"/>
        <v>0</v>
      </c>
      <c r="AH100" s="36" t="str">
        <f t="shared" si="11"/>
        <v/>
      </c>
    </row>
    <row r="101" spans="1:34" ht="1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29" t="str">
        <f t="shared" si="12"/>
        <v/>
      </c>
      <c r="Q101" s="30"/>
      <c r="R101" s="31"/>
      <c r="S101" s="68"/>
      <c r="T101" s="40"/>
      <c r="U101" s="38"/>
      <c r="V101" s="74"/>
      <c r="W101" s="34" t="str">
        <f t="shared" si="13"/>
        <v>FALSE</v>
      </c>
      <c r="X101" s="34" t="str">
        <f t="shared" si="9"/>
        <v>FALSE</v>
      </c>
      <c r="Y101" s="35">
        <f t="shared" si="14"/>
        <v>0</v>
      </c>
      <c r="Z101" s="36" t="str">
        <f t="shared" si="15"/>
        <v/>
      </c>
      <c r="AA101" s="6"/>
      <c r="AB101" s="41"/>
      <c r="AC101" s="38"/>
      <c r="AD101" s="38"/>
      <c r="AE101" s="34"/>
      <c r="AF101" s="34" t="str">
        <f t="shared" si="16"/>
        <v>FALSE</v>
      </c>
      <c r="AG101" s="35">
        <f t="shared" si="10"/>
        <v>0</v>
      </c>
      <c r="AH101" s="36" t="str">
        <f t="shared" si="11"/>
        <v/>
      </c>
    </row>
    <row r="102" spans="1:34" ht="1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29" t="str">
        <f t="shared" si="12"/>
        <v/>
      </c>
      <c r="Q102" s="30"/>
      <c r="R102" s="31"/>
      <c r="S102" s="68"/>
      <c r="T102" s="40"/>
      <c r="U102" s="38"/>
      <c r="V102" s="74"/>
      <c r="W102" s="34" t="str">
        <f t="shared" si="13"/>
        <v>FALSE</v>
      </c>
      <c r="X102" s="34" t="str">
        <f t="shared" si="9"/>
        <v>FALSE</v>
      </c>
      <c r="Y102" s="35">
        <f t="shared" si="14"/>
        <v>0</v>
      </c>
      <c r="Z102" s="36" t="str">
        <f t="shared" si="15"/>
        <v/>
      </c>
      <c r="AA102" s="6"/>
      <c r="AB102" s="41"/>
      <c r="AC102" s="38"/>
      <c r="AD102" s="38"/>
      <c r="AE102" s="34"/>
      <c r="AF102" s="34" t="str">
        <f t="shared" si="16"/>
        <v>FALSE</v>
      </c>
      <c r="AG102" s="35">
        <f t="shared" si="10"/>
        <v>0</v>
      </c>
      <c r="AH102" s="36" t="str">
        <f t="shared" si="11"/>
        <v/>
      </c>
    </row>
    <row r="103" spans="1:34" ht="1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29" t="str">
        <f t="shared" si="12"/>
        <v/>
      </c>
      <c r="Q103" s="30"/>
      <c r="R103" s="31"/>
      <c r="S103" s="68"/>
      <c r="T103" s="40"/>
      <c r="U103" s="38"/>
      <c r="V103" s="74"/>
      <c r="W103" s="34" t="str">
        <f t="shared" si="13"/>
        <v>FALSE</v>
      </c>
      <c r="X103" s="34" t="str">
        <f t="shared" si="9"/>
        <v>FALSE</v>
      </c>
      <c r="Y103" s="35">
        <f t="shared" si="14"/>
        <v>0</v>
      </c>
      <c r="Z103" s="36" t="str">
        <f t="shared" si="15"/>
        <v/>
      </c>
      <c r="AA103" s="6"/>
      <c r="AB103" s="41"/>
      <c r="AC103" s="38"/>
      <c r="AD103" s="38"/>
      <c r="AE103" s="34"/>
      <c r="AF103" s="34" t="str">
        <f t="shared" si="16"/>
        <v>FALSE</v>
      </c>
      <c r="AG103" s="35">
        <f t="shared" si="10"/>
        <v>0</v>
      </c>
      <c r="AH103" s="36" t="str">
        <f t="shared" si="11"/>
        <v/>
      </c>
    </row>
    <row r="104" spans="1:34" ht="1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29" t="str">
        <f t="shared" si="12"/>
        <v/>
      </c>
      <c r="Q104" s="30"/>
      <c r="R104" s="31"/>
      <c r="S104" s="68"/>
      <c r="T104" s="40"/>
      <c r="U104" s="38"/>
      <c r="V104" s="74"/>
      <c r="W104" s="34" t="str">
        <f t="shared" si="13"/>
        <v>FALSE</v>
      </c>
      <c r="X104" s="34" t="str">
        <f t="shared" si="9"/>
        <v>FALSE</v>
      </c>
      <c r="Y104" s="35">
        <f t="shared" si="14"/>
        <v>0</v>
      </c>
      <c r="Z104" s="36" t="str">
        <f t="shared" si="15"/>
        <v/>
      </c>
      <c r="AA104" s="6"/>
      <c r="AB104" s="41"/>
      <c r="AC104" s="38"/>
      <c r="AD104" s="38"/>
      <c r="AE104" s="34"/>
      <c r="AF104" s="34" t="str">
        <f t="shared" si="16"/>
        <v>FALSE</v>
      </c>
      <c r="AG104" s="35">
        <f t="shared" si="10"/>
        <v>0</v>
      </c>
      <c r="AH104" s="36" t="str">
        <f t="shared" si="11"/>
        <v/>
      </c>
    </row>
    <row r="105" spans="1:34" ht="1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29" t="str">
        <f t="shared" si="12"/>
        <v/>
      </c>
      <c r="Q105" s="30"/>
      <c r="R105" s="31"/>
      <c r="S105" s="68"/>
      <c r="T105" s="40"/>
      <c r="U105" s="38"/>
      <c r="V105" s="74"/>
      <c r="W105" s="34" t="str">
        <f t="shared" si="13"/>
        <v>FALSE</v>
      </c>
      <c r="X105" s="34" t="str">
        <f t="shared" si="9"/>
        <v>FALSE</v>
      </c>
      <c r="Y105" s="35">
        <f t="shared" si="14"/>
        <v>0</v>
      </c>
      <c r="Z105" s="36" t="str">
        <f t="shared" si="15"/>
        <v/>
      </c>
      <c r="AA105" s="6"/>
      <c r="AB105" s="41"/>
      <c r="AC105" s="38"/>
      <c r="AD105" s="38"/>
      <c r="AE105" s="34"/>
      <c r="AF105" s="34" t="str">
        <f t="shared" si="16"/>
        <v>FALSE</v>
      </c>
      <c r="AG105" s="35">
        <f t="shared" si="10"/>
        <v>0</v>
      </c>
      <c r="AH105" s="36" t="str">
        <f t="shared" si="11"/>
        <v/>
      </c>
    </row>
    <row r="106" spans="1:34" ht="1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29" t="str">
        <f t="shared" si="12"/>
        <v/>
      </c>
      <c r="Q106" s="30"/>
      <c r="R106" s="31"/>
      <c r="S106" s="68"/>
      <c r="T106" s="40"/>
      <c r="U106" s="38"/>
      <c r="V106" s="74"/>
      <c r="W106" s="34" t="str">
        <f t="shared" si="13"/>
        <v>FALSE</v>
      </c>
      <c r="X106" s="34" t="str">
        <f t="shared" si="9"/>
        <v>FALSE</v>
      </c>
      <c r="Y106" s="35">
        <f t="shared" si="14"/>
        <v>0</v>
      </c>
      <c r="Z106" s="36" t="str">
        <f t="shared" si="15"/>
        <v/>
      </c>
      <c r="AA106" s="6"/>
      <c r="AB106" s="41"/>
      <c r="AC106" s="38"/>
      <c r="AD106" s="38"/>
      <c r="AE106" s="34"/>
      <c r="AF106" s="34" t="str">
        <f t="shared" si="16"/>
        <v>FALSE</v>
      </c>
      <c r="AG106" s="35">
        <f t="shared" si="10"/>
        <v>0</v>
      </c>
      <c r="AH106" s="36" t="str">
        <f t="shared" si="11"/>
        <v/>
      </c>
    </row>
    <row r="107" spans="1:34" ht="1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29" t="str">
        <f t="shared" si="12"/>
        <v/>
      </c>
      <c r="Q107" s="30"/>
      <c r="R107" s="31"/>
      <c r="S107" s="68"/>
      <c r="T107" s="40"/>
      <c r="U107" s="38"/>
      <c r="V107" s="74"/>
      <c r="W107" s="34" t="str">
        <f t="shared" si="13"/>
        <v>FALSE</v>
      </c>
      <c r="X107" s="34" t="str">
        <f t="shared" si="9"/>
        <v>FALSE</v>
      </c>
      <c r="Y107" s="35">
        <f t="shared" si="14"/>
        <v>0</v>
      </c>
      <c r="Z107" s="36" t="str">
        <f t="shared" si="15"/>
        <v/>
      </c>
      <c r="AA107" s="6"/>
      <c r="AB107" s="41"/>
      <c r="AC107" s="38"/>
      <c r="AD107" s="38"/>
      <c r="AE107" s="34"/>
      <c r="AF107" s="34" t="str">
        <f t="shared" si="16"/>
        <v>FALSE</v>
      </c>
      <c r="AG107" s="35">
        <f t="shared" si="10"/>
        <v>0</v>
      </c>
      <c r="AH107" s="36" t="str">
        <f t="shared" si="11"/>
        <v/>
      </c>
    </row>
    <row r="108" spans="1:34" ht="1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29" t="str">
        <f t="shared" si="12"/>
        <v/>
      </c>
      <c r="Q108" s="30"/>
      <c r="R108" s="31"/>
      <c r="S108" s="68"/>
      <c r="T108" s="40"/>
      <c r="U108" s="38"/>
      <c r="V108" s="74"/>
      <c r="W108" s="34" t="str">
        <f t="shared" si="13"/>
        <v>FALSE</v>
      </c>
      <c r="X108" s="34" t="str">
        <f t="shared" si="9"/>
        <v>FALSE</v>
      </c>
      <c r="Y108" s="35">
        <f t="shared" si="14"/>
        <v>0</v>
      </c>
      <c r="Z108" s="36" t="str">
        <f t="shared" si="15"/>
        <v/>
      </c>
      <c r="AA108" s="6"/>
      <c r="AB108" s="41"/>
      <c r="AC108" s="38"/>
      <c r="AD108" s="38"/>
      <c r="AE108" s="34"/>
      <c r="AF108" s="34" t="str">
        <f t="shared" si="16"/>
        <v>FALSE</v>
      </c>
      <c r="AG108" s="35">
        <f t="shared" si="10"/>
        <v>0</v>
      </c>
      <c r="AH108" s="36" t="str">
        <f t="shared" si="11"/>
        <v/>
      </c>
    </row>
    <row r="109" spans="1:34" ht="1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29" t="str">
        <f t="shared" si="12"/>
        <v/>
      </c>
      <c r="Q109" s="30"/>
      <c r="R109" s="31"/>
      <c r="S109" s="68"/>
      <c r="T109" s="40"/>
      <c r="U109" s="38"/>
      <c r="V109" s="74"/>
      <c r="W109" s="34" t="str">
        <f t="shared" si="13"/>
        <v>FALSE</v>
      </c>
      <c r="X109" s="34" t="str">
        <f t="shared" si="9"/>
        <v>FALSE</v>
      </c>
      <c r="Y109" s="35">
        <f t="shared" si="14"/>
        <v>0</v>
      </c>
      <c r="Z109" s="36" t="str">
        <f t="shared" si="15"/>
        <v/>
      </c>
      <c r="AA109" s="6"/>
      <c r="AB109" s="41"/>
      <c r="AC109" s="38"/>
      <c r="AD109" s="38"/>
      <c r="AE109" s="34"/>
      <c r="AF109" s="34" t="str">
        <f t="shared" si="16"/>
        <v>FALSE</v>
      </c>
      <c r="AG109" s="35">
        <f t="shared" si="10"/>
        <v>0</v>
      </c>
      <c r="AH109" s="36" t="str">
        <f t="shared" si="11"/>
        <v/>
      </c>
    </row>
    <row r="110" spans="1:34" ht="1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29" t="str">
        <f t="shared" si="12"/>
        <v/>
      </c>
      <c r="Q110" s="30"/>
      <c r="R110" s="31"/>
      <c r="S110" s="68"/>
      <c r="T110" s="40"/>
      <c r="U110" s="38"/>
      <c r="V110" s="74"/>
      <c r="W110" s="34" t="str">
        <f t="shared" si="13"/>
        <v>FALSE</v>
      </c>
      <c r="X110" s="34" t="str">
        <f t="shared" si="9"/>
        <v>FALSE</v>
      </c>
      <c r="Y110" s="35">
        <f t="shared" si="14"/>
        <v>0</v>
      </c>
      <c r="Z110" s="36" t="str">
        <f t="shared" si="15"/>
        <v/>
      </c>
      <c r="AA110" s="6"/>
      <c r="AB110" s="41"/>
      <c r="AC110" s="38"/>
      <c r="AD110" s="38"/>
      <c r="AE110" s="34"/>
      <c r="AF110" s="34" t="str">
        <f t="shared" si="16"/>
        <v>FALSE</v>
      </c>
      <c r="AG110" s="35">
        <f t="shared" si="10"/>
        <v>0</v>
      </c>
      <c r="AH110" s="36" t="str">
        <f t="shared" si="11"/>
        <v/>
      </c>
    </row>
    <row r="111" spans="1:34" ht="1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29" t="str">
        <f t="shared" si="12"/>
        <v/>
      </c>
      <c r="Q111" s="30"/>
      <c r="R111" s="31"/>
      <c r="S111" s="68"/>
      <c r="T111" s="40"/>
      <c r="U111" s="38"/>
      <c r="V111" s="74"/>
      <c r="W111" s="34" t="str">
        <f t="shared" si="13"/>
        <v>FALSE</v>
      </c>
      <c r="X111" s="34" t="str">
        <f t="shared" si="9"/>
        <v>FALSE</v>
      </c>
      <c r="Y111" s="35">
        <f t="shared" si="14"/>
        <v>0</v>
      </c>
      <c r="Z111" s="36" t="str">
        <f t="shared" si="15"/>
        <v/>
      </c>
      <c r="AA111" s="6"/>
      <c r="AB111" s="41"/>
      <c r="AC111" s="38"/>
      <c r="AD111" s="38"/>
      <c r="AE111" s="34"/>
      <c r="AF111" s="34" t="str">
        <f t="shared" si="16"/>
        <v>FALSE</v>
      </c>
      <c r="AG111" s="35">
        <f t="shared" si="10"/>
        <v>0</v>
      </c>
      <c r="AH111" s="36" t="str">
        <f t="shared" si="11"/>
        <v/>
      </c>
    </row>
    <row r="112" spans="1:34" ht="1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29" t="str">
        <f t="shared" si="12"/>
        <v/>
      </c>
      <c r="Q112" s="30"/>
      <c r="R112" s="31"/>
      <c r="S112" s="68"/>
      <c r="T112" s="40"/>
      <c r="U112" s="38"/>
      <c r="V112" s="74"/>
      <c r="W112" s="34" t="str">
        <f t="shared" si="13"/>
        <v>FALSE</v>
      </c>
      <c r="X112" s="34" t="str">
        <f t="shared" si="9"/>
        <v>FALSE</v>
      </c>
      <c r="Y112" s="35">
        <f t="shared" si="14"/>
        <v>0</v>
      </c>
      <c r="Z112" s="36" t="str">
        <f t="shared" si="15"/>
        <v/>
      </c>
      <c r="AA112" s="6"/>
      <c r="AB112" s="41"/>
      <c r="AC112" s="38"/>
      <c r="AD112" s="38"/>
      <c r="AE112" s="34"/>
      <c r="AF112" s="34" t="str">
        <f t="shared" si="16"/>
        <v>FALSE</v>
      </c>
      <c r="AG112" s="35">
        <f t="shared" si="10"/>
        <v>0</v>
      </c>
      <c r="AH112" s="36" t="str">
        <f t="shared" si="11"/>
        <v/>
      </c>
    </row>
    <row r="113" spans="1:34" ht="1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29" t="str">
        <f t="shared" si="12"/>
        <v/>
      </c>
      <c r="Q113" s="30"/>
      <c r="R113" s="31"/>
      <c r="S113" s="68"/>
      <c r="T113" s="40"/>
      <c r="U113" s="38"/>
      <c r="V113" s="74"/>
      <c r="W113" s="34" t="str">
        <f t="shared" si="13"/>
        <v>FALSE</v>
      </c>
      <c r="X113" s="34" t="str">
        <f t="shared" si="9"/>
        <v>FALSE</v>
      </c>
      <c r="Y113" s="35">
        <f t="shared" si="14"/>
        <v>0</v>
      </c>
      <c r="Z113" s="36" t="str">
        <f t="shared" si="15"/>
        <v/>
      </c>
      <c r="AA113" s="6"/>
      <c r="AB113" s="41"/>
      <c r="AC113" s="38"/>
      <c r="AD113" s="38"/>
      <c r="AE113" s="34"/>
      <c r="AF113" s="34" t="str">
        <f t="shared" si="16"/>
        <v>FALSE</v>
      </c>
      <c r="AG113" s="35">
        <f t="shared" si="10"/>
        <v>0</v>
      </c>
      <c r="AH113" s="36" t="str">
        <f t="shared" si="11"/>
        <v/>
      </c>
    </row>
    <row r="114" spans="1:34" ht="1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29" t="str">
        <f t="shared" si="12"/>
        <v/>
      </c>
      <c r="Q114" s="30"/>
      <c r="R114" s="31"/>
      <c r="S114" s="68"/>
      <c r="T114" s="40"/>
      <c r="U114" s="38"/>
      <c r="V114" s="74"/>
      <c r="W114" s="34" t="str">
        <f t="shared" si="13"/>
        <v>FALSE</v>
      </c>
      <c r="X114" s="34" t="str">
        <f t="shared" si="9"/>
        <v>FALSE</v>
      </c>
      <c r="Y114" s="35">
        <f t="shared" si="14"/>
        <v>0</v>
      </c>
      <c r="Z114" s="36" t="str">
        <f t="shared" si="15"/>
        <v/>
      </c>
      <c r="AA114" s="6"/>
      <c r="AB114" s="41"/>
      <c r="AC114" s="38"/>
      <c r="AD114" s="38"/>
      <c r="AE114" s="34"/>
      <c r="AF114" s="34" t="str">
        <f t="shared" si="16"/>
        <v>FALSE</v>
      </c>
      <c r="AG114" s="35">
        <f t="shared" si="10"/>
        <v>0</v>
      </c>
      <c r="AH114" s="36" t="str">
        <f t="shared" si="11"/>
        <v/>
      </c>
    </row>
    <row r="115" spans="1:34" ht="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29" t="str">
        <f t="shared" si="12"/>
        <v/>
      </c>
      <c r="Q115" s="30"/>
      <c r="R115" s="31"/>
      <c r="S115" s="68"/>
      <c r="T115" s="40"/>
      <c r="U115" s="38"/>
      <c r="V115" s="74"/>
      <c r="W115" s="34" t="str">
        <f t="shared" si="13"/>
        <v>FALSE</v>
      </c>
      <c r="X115" s="34" t="str">
        <f t="shared" si="9"/>
        <v>FALSE</v>
      </c>
      <c r="Y115" s="35">
        <f t="shared" si="14"/>
        <v>0</v>
      </c>
      <c r="Z115" s="36" t="str">
        <f t="shared" si="15"/>
        <v/>
      </c>
      <c r="AA115" s="6"/>
      <c r="AB115" s="41"/>
      <c r="AC115" s="38"/>
      <c r="AD115" s="38"/>
      <c r="AE115" s="34"/>
      <c r="AF115" s="34" t="str">
        <f t="shared" si="16"/>
        <v>FALSE</v>
      </c>
      <c r="AG115" s="35">
        <f t="shared" si="10"/>
        <v>0</v>
      </c>
      <c r="AH115" s="36" t="str">
        <f t="shared" si="11"/>
        <v/>
      </c>
    </row>
    <row r="116" spans="1:34" ht="1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29" t="str">
        <f t="shared" si="12"/>
        <v/>
      </c>
      <c r="Q116" s="30"/>
      <c r="R116" s="31"/>
      <c r="S116" s="68"/>
      <c r="T116" s="40"/>
      <c r="U116" s="38"/>
      <c r="V116" s="74"/>
      <c r="W116" s="34" t="str">
        <f t="shared" si="13"/>
        <v>FALSE</v>
      </c>
      <c r="X116" s="34" t="str">
        <f t="shared" si="9"/>
        <v>FALSE</v>
      </c>
      <c r="Y116" s="35">
        <f t="shared" si="14"/>
        <v>0</v>
      </c>
      <c r="Z116" s="36" t="str">
        <f t="shared" si="15"/>
        <v/>
      </c>
      <c r="AA116" s="6"/>
      <c r="AB116" s="41"/>
      <c r="AC116" s="38"/>
      <c r="AD116" s="38"/>
      <c r="AE116" s="34"/>
      <c r="AF116" s="34" t="str">
        <f t="shared" si="16"/>
        <v>FALSE</v>
      </c>
      <c r="AG116" s="35">
        <f t="shared" si="10"/>
        <v>0</v>
      </c>
      <c r="AH116" s="36" t="str">
        <f t="shared" si="11"/>
        <v/>
      </c>
    </row>
    <row r="117" spans="1:34" ht="1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29" t="str">
        <f t="shared" si="12"/>
        <v/>
      </c>
      <c r="Q117" s="30"/>
      <c r="R117" s="31"/>
      <c r="S117" s="68"/>
      <c r="T117" s="40"/>
      <c r="U117" s="38"/>
      <c r="V117" s="74"/>
      <c r="W117" s="34" t="str">
        <f t="shared" si="13"/>
        <v>FALSE</v>
      </c>
      <c r="X117" s="34" t="str">
        <f t="shared" si="9"/>
        <v>FALSE</v>
      </c>
      <c r="Y117" s="35">
        <f t="shared" si="14"/>
        <v>0</v>
      </c>
      <c r="Z117" s="36" t="str">
        <f t="shared" si="15"/>
        <v/>
      </c>
      <c r="AA117" s="6"/>
      <c r="AB117" s="41"/>
      <c r="AC117" s="38"/>
      <c r="AD117" s="38"/>
      <c r="AE117" s="34"/>
      <c r="AF117" s="34" t="str">
        <f t="shared" si="16"/>
        <v>FALSE</v>
      </c>
      <c r="AG117" s="35">
        <f t="shared" si="10"/>
        <v>0</v>
      </c>
      <c r="AH117" s="36" t="str">
        <f t="shared" si="11"/>
        <v/>
      </c>
    </row>
    <row r="118" spans="1:34" ht="1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29" t="str">
        <f t="shared" si="12"/>
        <v/>
      </c>
      <c r="Q118" s="30"/>
      <c r="R118" s="31"/>
      <c r="S118" s="68"/>
      <c r="T118" s="40"/>
      <c r="U118" s="38"/>
      <c r="V118" s="74"/>
      <c r="W118" s="34" t="str">
        <f t="shared" si="13"/>
        <v>FALSE</v>
      </c>
      <c r="X118" s="34" t="str">
        <f t="shared" si="9"/>
        <v>FALSE</v>
      </c>
      <c r="Y118" s="35">
        <f t="shared" si="14"/>
        <v>0</v>
      </c>
      <c r="Z118" s="36" t="str">
        <f t="shared" si="15"/>
        <v/>
      </c>
      <c r="AA118" s="6"/>
      <c r="AB118" s="41"/>
      <c r="AC118" s="38"/>
      <c r="AD118" s="38"/>
      <c r="AE118" s="34"/>
      <c r="AF118" s="34" t="str">
        <f t="shared" si="16"/>
        <v>FALSE</v>
      </c>
      <c r="AG118" s="35">
        <f t="shared" si="10"/>
        <v>0</v>
      </c>
      <c r="AH118" s="36" t="str">
        <f t="shared" si="11"/>
        <v/>
      </c>
    </row>
    <row r="119" spans="1:34" ht="1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29" t="str">
        <f t="shared" si="12"/>
        <v/>
      </c>
      <c r="Q119" s="30"/>
      <c r="R119" s="31"/>
      <c r="S119" s="68"/>
      <c r="T119" s="40"/>
      <c r="U119" s="38"/>
      <c r="V119" s="74"/>
      <c r="W119" s="34" t="str">
        <f t="shared" si="13"/>
        <v>FALSE</v>
      </c>
      <c r="X119" s="34" t="str">
        <f t="shared" si="9"/>
        <v>FALSE</v>
      </c>
      <c r="Y119" s="35">
        <f t="shared" si="14"/>
        <v>0</v>
      </c>
      <c r="Z119" s="36" t="str">
        <f t="shared" si="15"/>
        <v/>
      </c>
      <c r="AA119" s="6"/>
      <c r="AB119" s="41"/>
      <c r="AC119" s="38"/>
      <c r="AD119" s="38"/>
      <c r="AE119" s="34"/>
      <c r="AF119" s="34" t="str">
        <f t="shared" si="16"/>
        <v>FALSE</v>
      </c>
      <c r="AG119" s="35">
        <f t="shared" si="10"/>
        <v>0</v>
      </c>
      <c r="AH119" s="36" t="str">
        <f t="shared" si="11"/>
        <v/>
      </c>
    </row>
    <row r="120" spans="1:34" ht="1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29" t="str">
        <f t="shared" si="12"/>
        <v/>
      </c>
      <c r="Q120" s="30"/>
      <c r="R120" s="31"/>
      <c r="S120" s="68"/>
      <c r="T120" s="40"/>
      <c r="U120" s="38"/>
      <c r="V120" s="74"/>
      <c r="W120" s="34" t="str">
        <f t="shared" si="13"/>
        <v>FALSE</v>
      </c>
      <c r="X120" s="34" t="str">
        <f t="shared" si="9"/>
        <v>FALSE</v>
      </c>
      <c r="Y120" s="35">
        <f t="shared" si="14"/>
        <v>0</v>
      </c>
      <c r="Z120" s="36" t="str">
        <f t="shared" si="15"/>
        <v/>
      </c>
      <c r="AA120" s="6"/>
      <c r="AB120" s="41"/>
      <c r="AC120" s="38"/>
      <c r="AD120" s="38"/>
      <c r="AE120" s="34"/>
      <c r="AF120" s="34" t="str">
        <f t="shared" si="16"/>
        <v>FALSE</v>
      </c>
      <c r="AG120" s="35">
        <f t="shared" si="10"/>
        <v>0</v>
      </c>
      <c r="AH120" s="36" t="str">
        <f t="shared" si="11"/>
        <v/>
      </c>
    </row>
  </sheetData>
  <mergeCells count="11">
    <mergeCell ref="P6:U6"/>
    <mergeCell ref="X6:AA6"/>
    <mergeCell ref="Q8:Z8"/>
    <mergeCell ref="AB8:AH8"/>
    <mergeCell ref="D1:L2"/>
    <mergeCell ref="X2:AA2"/>
    <mergeCell ref="AC2:AG2"/>
    <mergeCell ref="P3:R3"/>
    <mergeCell ref="T3:U3"/>
    <mergeCell ref="X3:AA3"/>
    <mergeCell ref="AC3:AG3"/>
  </mergeCells>
  <conditionalFormatting sqref="U14:U120">
    <cfRule type="containsBlanks" dxfId="199" priority="1">
      <formula>LEN(TRIM(U14))=0</formula>
    </cfRule>
    <cfRule type="expression" dxfId="198" priority="2">
      <formula>AND(X14&gt;=2,X14&lt;3)</formula>
    </cfRule>
    <cfRule type="expression" dxfId="197" priority="3">
      <formula>X14&gt;3</formula>
    </cfRule>
  </conditionalFormatting>
  <conditionalFormatting sqref="W14:W120">
    <cfRule type="expression" dxfId="196" priority="15">
      <formula>X14="FALSE"</formula>
    </cfRule>
  </conditionalFormatting>
  <conditionalFormatting sqref="X14:X120">
    <cfRule type="expression" dxfId="195" priority="14">
      <formula>X14="FALSE"</formula>
    </cfRule>
    <cfRule type="expression" dxfId="194" priority="16">
      <formula>AND(X14&gt;2,X14&lt;3)</formula>
    </cfRule>
  </conditionalFormatting>
  <conditionalFormatting sqref="X14:Y50 X51:X120">
    <cfRule type="expression" dxfId="193" priority="20">
      <formula>X14&gt;=3</formula>
    </cfRule>
  </conditionalFormatting>
  <conditionalFormatting sqref="Y14:Y50">
    <cfRule type="expression" dxfId="192" priority="19">
      <formula>AND(X14&gt;=2,X14&lt;3)</formula>
    </cfRule>
  </conditionalFormatting>
  <conditionalFormatting sqref="Z14:Z120">
    <cfRule type="cellIs" dxfId="191" priority="17" operator="notBetween">
      <formula>0.8</formula>
      <formula>1.15</formula>
    </cfRule>
  </conditionalFormatting>
  <conditionalFormatting sqref="AC14:AC120">
    <cfRule type="containsBlanks" dxfId="190" priority="4">
      <formula>LEN(TRIM(AC14))=0</formula>
    </cfRule>
    <cfRule type="expression" dxfId="189" priority="5">
      <formula>AND(AF14&gt;=2,AF14&lt;3)</formula>
    </cfRule>
    <cfRule type="expression" dxfId="188" priority="6">
      <formula>AF14&gt;3</formula>
    </cfRule>
  </conditionalFormatting>
  <conditionalFormatting sqref="AE14:AE120">
    <cfRule type="expression" dxfId="187" priority="13">
      <formula>AF14="FALSE"</formula>
    </cfRule>
  </conditionalFormatting>
  <conditionalFormatting sqref="AF14:AF120">
    <cfRule type="expression" dxfId="186" priority="10">
      <formula>AF14="FALSE"</formula>
    </cfRule>
    <cfRule type="expression" dxfId="185" priority="11">
      <formula>AND(AF14&gt;2,AF14&lt;3)</formula>
    </cfRule>
    <cfRule type="expression" dxfId="184" priority="12">
      <formula>AF14&gt;=3</formula>
    </cfRule>
  </conditionalFormatting>
  <conditionalFormatting sqref="AG14:AG120">
    <cfRule type="expression" dxfId="183" priority="7">
      <formula>AF14=0</formula>
    </cfRule>
    <cfRule type="expression" dxfId="182" priority="8">
      <formula>AND(AF14&gt;=2,AF14&lt;3)</formula>
    </cfRule>
    <cfRule type="expression" dxfId="181" priority="9">
      <formula>AG14&gt;=3</formula>
    </cfRule>
  </conditionalFormatting>
  <conditionalFormatting sqref="AH14:AH120">
    <cfRule type="cellIs" dxfId="180" priority="18" operator="notBetween">
      <formula>0.8</formula>
      <formula>1.15</formula>
    </cfRule>
  </conditionalFormatting>
  <pageMargins left="0.4" right="0.4" top="0.4" bottom="0.4" header="0" footer="0"/>
  <pageSetup scale="10" fitToHeight="0" orientation="landscape" horizontalDpi="4294967292" verticalDpi="4294967292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59E33-53ED-4808-B427-71A7946CCB24}">
  <sheetPr>
    <tabColor rgb="FFFFFFFF"/>
    <pageSetUpPr fitToPage="1"/>
  </sheetPr>
  <dimension ref="A1:AH120"/>
  <sheetViews>
    <sheetView showGridLines="0" topLeftCell="D35" zoomScale="70" zoomScaleNormal="70" workbookViewId="0">
      <selection activeCell="Q55" sqref="Q55:R55"/>
    </sheetView>
  </sheetViews>
  <sheetFormatPr defaultColWidth="11" defaultRowHeight="13.5" customHeight="1"/>
  <cols>
    <col min="1" max="2" width="3.125" style="12" customWidth="1"/>
    <col min="3" max="8" width="11" style="12"/>
    <col min="9" max="9" width="9" style="12" customWidth="1"/>
    <col min="10" max="13" width="11" style="12"/>
    <col min="14" max="15" width="4" style="12" customWidth="1"/>
    <col min="16" max="16" width="6.125" style="43" customWidth="1"/>
    <col min="17" max="17" width="13" style="12" customWidth="1"/>
    <col min="18" max="18" width="12.875" style="44" customWidth="1"/>
    <col min="19" max="19" width="3" style="44" customWidth="1"/>
    <col min="20" max="20" width="12" style="45" customWidth="1"/>
    <col min="21" max="21" width="14.875" style="8" customWidth="1"/>
    <col min="22" max="22" width="2.375" style="12" customWidth="1"/>
    <col min="23" max="23" width="12.875" style="6" customWidth="1"/>
    <col min="24" max="24" width="11.5" style="6" customWidth="1"/>
    <col min="25" max="25" width="13" style="12" customWidth="1"/>
    <col min="26" max="26" width="11.625" style="12" customWidth="1"/>
    <col min="27" max="27" width="9.125" style="12" customWidth="1"/>
    <col min="28" max="28" width="13.375" style="8" customWidth="1"/>
    <col min="29" max="29" width="13.75" style="12" customWidth="1"/>
    <col min="30" max="30" width="2" style="12" customWidth="1"/>
    <col min="31" max="31" width="12.75" style="12" customWidth="1"/>
    <col min="32" max="32" width="12.375" style="12" customWidth="1"/>
    <col min="33" max="33" width="13.125" style="12" customWidth="1"/>
    <col min="34" max="34" width="15.25" style="12" customWidth="1"/>
    <col min="35" max="16384" width="11" style="12"/>
  </cols>
  <sheetData>
    <row r="1" spans="1:34" s="7" customFormat="1" ht="31.5" customHeight="1">
      <c r="A1" s="1"/>
      <c r="B1" s="1"/>
      <c r="C1" s="1"/>
      <c r="D1" s="162" t="s">
        <v>24</v>
      </c>
      <c r="E1" s="162"/>
      <c r="F1" s="162"/>
      <c r="G1" s="162"/>
      <c r="H1" s="162"/>
      <c r="I1" s="162"/>
      <c r="J1" s="162"/>
      <c r="K1" s="162"/>
      <c r="L1" s="162"/>
      <c r="M1" s="1"/>
      <c r="N1" s="1"/>
      <c r="O1" s="1"/>
      <c r="P1" s="2"/>
      <c r="Q1" s="3" t="s">
        <v>74</v>
      </c>
      <c r="R1" s="4"/>
      <c r="S1" s="4"/>
      <c r="T1" s="4"/>
      <c r="U1" s="5"/>
      <c r="V1" s="6"/>
      <c r="W1" s="6"/>
      <c r="X1" s="6"/>
      <c r="Y1" s="5"/>
      <c r="Z1" s="5"/>
      <c r="AA1" s="5"/>
      <c r="AB1" s="5"/>
      <c r="AC1" s="5"/>
      <c r="AD1" s="5"/>
      <c r="AE1" s="5"/>
      <c r="AF1" s="5"/>
      <c r="AG1" s="5"/>
      <c r="AH1"/>
    </row>
    <row r="2" spans="1:34" ht="15.75" customHeight="1">
      <c r="A2" s="8"/>
      <c r="B2" s="8"/>
      <c r="C2" s="8"/>
      <c r="D2" s="162"/>
      <c r="E2" s="162"/>
      <c r="F2" s="162"/>
      <c r="G2" s="162"/>
      <c r="H2" s="162"/>
      <c r="I2" s="162"/>
      <c r="J2" s="162"/>
      <c r="K2" s="162"/>
      <c r="L2" s="162"/>
      <c r="M2" s="8"/>
      <c r="N2" s="8"/>
      <c r="O2" s="8"/>
      <c r="P2" s="9"/>
      <c r="Q2" s="10" t="s">
        <v>75</v>
      </c>
      <c r="R2" s="11"/>
      <c r="S2" s="11"/>
      <c r="T2" s="10" t="s">
        <v>76</v>
      </c>
      <c r="X2" s="163" t="s">
        <v>77</v>
      </c>
      <c r="Y2" s="163"/>
      <c r="Z2" s="163"/>
      <c r="AA2" s="163"/>
      <c r="AC2" s="163" t="s">
        <v>78</v>
      </c>
      <c r="AD2" s="163"/>
      <c r="AE2" s="163"/>
      <c r="AF2" s="163"/>
      <c r="AG2" s="163"/>
      <c r="AH2"/>
    </row>
    <row r="3" spans="1:34" ht="26.2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164">
        <f>MIN(R14:R16)</f>
        <v>45677</v>
      </c>
      <c r="Q3" s="165"/>
      <c r="R3" s="166"/>
      <c r="S3" s="65"/>
      <c r="T3" s="167">
        <f>MAX(R14:R116)</f>
        <v>46065</v>
      </c>
      <c r="U3" s="168"/>
      <c r="X3" s="164" t="s">
        <v>79</v>
      </c>
      <c r="Y3" s="165"/>
      <c r="Z3" s="165"/>
      <c r="AA3" s="168"/>
      <c r="AC3" s="169" t="s">
        <v>80</v>
      </c>
      <c r="AD3" s="170"/>
      <c r="AE3" s="170"/>
      <c r="AF3" s="170"/>
      <c r="AG3" s="171"/>
      <c r="AH3"/>
    </row>
    <row r="4" spans="1:34" ht="15.7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13"/>
      <c r="Q4" s="14"/>
      <c r="R4" s="15">
        <f>MIN(P14:P120)</f>
        <v>1</v>
      </c>
      <c r="S4" s="15"/>
      <c r="T4" s="16">
        <f>MAX(P14:P120)</f>
        <v>42</v>
      </c>
      <c r="U4" s="14"/>
      <c r="V4" s="6"/>
      <c r="X4" s="14"/>
      <c r="Y4" s="14"/>
      <c r="Z4" s="14"/>
      <c r="AA4" s="14"/>
      <c r="AB4"/>
      <c r="AC4" s="14"/>
      <c r="AD4" s="14"/>
      <c r="AE4" s="14"/>
      <c r="AF4" s="14"/>
      <c r="AH4" s="8"/>
    </row>
    <row r="5" spans="1:34" ht="20.2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17"/>
      <c r="Q5" s="17" t="s">
        <v>81</v>
      </c>
      <c r="R5" s="11"/>
      <c r="S5" s="11"/>
      <c r="T5" s="18"/>
      <c r="U5" s="17"/>
      <c r="V5" s="6"/>
      <c r="X5" s="17" t="s">
        <v>82</v>
      </c>
      <c r="Y5" s="17"/>
      <c r="Z5" s="17"/>
      <c r="AA5" s="14"/>
      <c r="AB5"/>
      <c r="AC5" s="10"/>
      <c r="AD5" s="10"/>
    </row>
    <row r="6" spans="1:34" ht="25.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158" t="s">
        <v>83</v>
      </c>
      <c r="Q6" s="158"/>
      <c r="R6" s="158"/>
      <c r="S6" s="158"/>
      <c r="T6" s="158"/>
      <c r="U6" s="158"/>
      <c r="V6" s="6"/>
      <c r="X6" s="159"/>
      <c r="Y6" s="159"/>
      <c r="Z6" s="159"/>
      <c r="AA6" s="159"/>
      <c r="AB6"/>
      <c r="AC6" s="6"/>
      <c r="AD6" s="6"/>
    </row>
    <row r="7" spans="1:34" ht="23.2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19"/>
      <c r="Q7" s="20" t="s">
        <v>84</v>
      </c>
      <c r="R7" s="21"/>
      <c r="S7" s="21"/>
      <c r="T7" s="22"/>
      <c r="V7" s="8"/>
      <c r="Y7" s="8"/>
      <c r="Z7" s="8"/>
      <c r="AA7" s="8"/>
      <c r="AC7" s="8"/>
      <c r="AD7" s="8"/>
      <c r="AE7" s="8"/>
      <c r="AF7" s="8"/>
      <c r="AG7" s="8"/>
      <c r="AH7" s="8"/>
    </row>
    <row r="8" spans="1:34" ht="31.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19"/>
      <c r="Q8" s="160" t="s">
        <v>85</v>
      </c>
      <c r="R8" s="160"/>
      <c r="S8" s="160"/>
      <c r="T8" s="160"/>
      <c r="U8" s="160"/>
      <c r="V8" s="160"/>
      <c r="W8" s="160"/>
      <c r="X8" s="160"/>
      <c r="Y8" s="160"/>
      <c r="Z8" s="160"/>
      <c r="AA8" s="6"/>
      <c r="AB8" s="161" t="s">
        <v>86</v>
      </c>
      <c r="AC8" s="161"/>
      <c r="AD8" s="161"/>
      <c r="AE8" s="161"/>
      <c r="AF8" s="161"/>
      <c r="AG8" s="161"/>
      <c r="AH8" s="161"/>
    </row>
    <row r="9" spans="1:34" customFormat="1" ht="11.25" customHeight="1"/>
    <row r="10" spans="1:34" s="52" customFormat="1" ht="27.75" customHeight="1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Q10" s="73" t="s">
        <v>87</v>
      </c>
      <c r="R10" s="73" t="s">
        <v>88</v>
      </c>
      <c r="S10" s="66"/>
      <c r="T10" s="49" t="s">
        <v>89</v>
      </c>
      <c r="U10" s="46" t="s">
        <v>90</v>
      </c>
      <c r="V10" s="50"/>
      <c r="W10" s="47" t="s">
        <v>91</v>
      </c>
      <c r="X10" s="61" t="s">
        <v>92</v>
      </c>
      <c r="Y10" s="61" t="s">
        <v>93</v>
      </c>
      <c r="Z10" s="48" t="s">
        <v>94</v>
      </c>
      <c r="AA10" s="53"/>
      <c r="AB10" s="49" t="s">
        <v>95</v>
      </c>
      <c r="AC10" s="46" t="s">
        <v>90</v>
      </c>
      <c r="AE10" s="47" t="s">
        <v>91</v>
      </c>
      <c r="AF10" s="61" t="s">
        <v>92</v>
      </c>
      <c r="AG10" s="61" t="s">
        <v>93</v>
      </c>
      <c r="AH10" s="48" t="s">
        <v>94</v>
      </c>
    </row>
    <row r="11" spans="1:34" s="55" customFormat="1" ht="27.75" customHeight="1" thickBot="1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Q11" s="64">
        <f>IF(U11="","",1.15)</f>
        <v>1.1499999999999999</v>
      </c>
      <c r="R11" s="64">
        <f>IF(U11="","",0.8)</f>
        <v>0.8</v>
      </c>
      <c r="S11" s="67"/>
      <c r="T11" s="62">
        <f>_xlfn.STDEV.P($U$14:$U$120)/$U$11</f>
        <v>0.10246468828129708</v>
      </c>
      <c r="U11" s="63">
        <f>AVERAGE($W$14:$W$120)</f>
        <v>112.96283095238095</v>
      </c>
      <c r="V11" s="56"/>
      <c r="W11" s="60">
        <f>$U$11-(3*_xlfn.STDEV.S($W$14:$W$120))</f>
        <v>77.81781357400962</v>
      </c>
      <c r="X11" s="59">
        <f>$U$11-(2*_xlfn.STDEV.S($W$14:$W$120))</f>
        <v>89.532819366800055</v>
      </c>
      <c r="Y11" s="59">
        <f>$U$11+(2*_xlfn.STDEV.S($W$14:$W$120))</f>
        <v>136.39284253796185</v>
      </c>
      <c r="Z11" s="58">
        <f>$U$11+(3*_xlfn.STDEV.S($W$14:$W$120))</f>
        <v>148.10784833075229</v>
      </c>
      <c r="AA11" s="57"/>
      <c r="AB11" s="62">
        <f>_xlfn.STDEV.P($AC$14:$AC$120)/$AC$11</f>
        <v>0.10651655443028907</v>
      </c>
      <c r="AC11" s="63">
        <f>AVERAGE($AC$14:$AC$120)</f>
        <v>6.3178380952380939</v>
      </c>
      <c r="AE11" s="60">
        <f>$AC$11-(3*_xlfn.STDEV.S($AE$14:$AE$120))</f>
        <v>4.5865143764077256</v>
      </c>
      <c r="AF11" s="59">
        <f>$AC$11-(2*_xlfn.STDEV.S($AE$14:$AE$120))</f>
        <v>5.1636222826845151</v>
      </c>
      <c r="AG11" s="59">
        <f>$AC$11+(2*_xlfn.STDEV.S($AE$14:$AE$120))</f>
        <v>7.4720539077916728</v>
      </c>
      <c r="AH11" s="58">
        <f>$AC$11+(3*_xlfn.STDEV.S($AE$14:$AE$120))</f>
        <v>8.0491618140684622</v>
      </c>
    </row>
    <row r="12" spans="1:34" ht="11.2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19"/>
      <c r="Q12" s="20"/>
      <c r="R12" s="21"/>
      <c r="S12" s="21"/>
      <c r="T12" s="22"/>
      <c r="V12" s="8"/>
      <c r="Y12" s="8"/>
      <c r="Z12" s="8"/>
      <c r="AA12" s="6"/>
      <c r="AC12" s="8"/>
      <c r="AD12" s="8"/>
      <c r="AE12" s="8"/>
      <c r="AF12" s="8"/>
      <c r="AG12" s="8"/>
      <c r="AH12" s="8"/>
    </row>
    <row r="13" spans="1:34" ht="4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70" t="s">
        <v>96</v>
      </c>
      <c r="Q13" s="71" t="s">
        <v>97</v>
      </c>
      <c r="R13" s="71" t="s">
        <v>98</v>
      </c>
      <c r="S13" s="69"/>
      <c r="T13" s="72" t="s">
        <v>99</v>
      </c>
      <c r="U13" s="71" t="s">
        <v>100</v>
      </c>
      <c r="V13" s="69"/>
      <c r="W13" s="75" t="s">
        <v>101</v>
      </c>
      <c r="X13" s="75" t="s">
        <v>102</v>
      </c>
      <c r="Y13" s="76" t="s">
        <v>103</v>
      </c>
      <c r="Z13" s="77" t="s">
        <v>104</v>
      </c>
      <c r="AA13" s="6"/>
      <c r="AB13" s="26" t="s">
        <v>99</v>
      </c>
      <c r="AC13" s="27" t="s">
        <v>100</v>
      </c>
      <c r="AD13" s="28"/>
      <c r="AE13" s="23" t="s">
        <v>101</v>
      </c>
      <c r="AF13" s="23" t="s">
        <v>102</v>
      </c>
      <c r="AG13" s="24" t="s">
        <v>105</v>
      </c>
      <c r="AH13" s="25" t="s">
        <v>104</v>
      </c>
    </row>
    <row r="14" spans="1:34" ht="1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29">
        <v>1</v>
      </c>
      <c r="Q14" s="30" t="s">
        <v>106</v>
      </c>
      <c r="R14" s="31">
        <v>45677</v>
      </c>
      <c r="S14" s="68"/>
      <c r="T14" s="32">
        <v>115.9</v>
      </c>
      <c r="U14" s="38">
        <v>126.24299999999999</v>
      </c>
      <c r="V14" s="74"/>
      <c r="W14" s="34">
        <f>IF(X14&gt;3,"FALSE",U14)</f>
        <v>126.24299999999999</v>
      </c>
      <c r="X14" s="34">
        <f t="shared" ref="X14:X77" si="0">IF(U14="","FALSE",ABS((U14-AVERAGE($U$14:$U$120))/_xlfn.STDEV.S($U$14:$U$104)))</f>
        <v>1.1336032847539701</v>
      </c>
      <c r="Y14" s="35" t="str">
        <f>IF(OR(U14&gt;$Y$11,U14&lt;$X$11),U14,"")</f>
        <v/>
      </c>
      <c r="Z14" s="36">
        <f>IF(U14="","",U14/T14)</f>
        <v>1.0892407247627265</v>
      </c>
      <c r="AA14" s="6"/>
      <c r="AB14" s="37">
        <v>6.32</v>
      </c>
      <c r="AC14" s="38">
        <v>6.5259999999999998</v>
      </c>
      <c r="AD14" s="38"/>
      <c r="AE14" s="34">
        <f>IF(AF14&gt;3,"FALSE",AC14)</f>
        <v>6.5259999999999998</v>
      </c>
      <c r="AF14" s="34">
        <f>IF(AC14="","FALSE",ABS((AC14-AVERAGE($AC$14:$AC$120))/_xlfn.STDEV.S($AC$14:$AC$104)))</f>
        <v>0.30562081856708939</v>
      </c>
      <c r="AG14" s="35" t="str">
        <f t="shared" ref="AG14:AG77" si="1">IF(OR(AC14&gt;$AG$11,AC14&lt;$AF$11),AC14,"")</f>
        <v/>
      </c>
      <c r="AH14" s="36">
        <f t="shared" ref="AH14:AH77" si="2">IF(AC14="","",AC14/AB14)</f>
        <v>1.0325949367088607</v>
      </c>
    </row>
    <row r="15" spans="1:34" ht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29">
        <f t="shared" ref="P15:P78" si="3">IF(R15&lt;&gt;"",P14+1,"")</f>
        <v>2</v>
      </c>
      <c r="Q15" s="30" t="s">
        <v>106</v>
      </c>
      <c r="R15" s="31">
        <v>45677</v>
      </c>
      <c r="S15" s="68"/>
      <c r="T15" s="32">
        <v>115.9</v>
      </c>
      <c r="U15" s="38">
        <v>116.886</v>
      </c>
      <c r="V15" s="74"/>
      <c r="W15" s="34">
        <f t="shared" ref="W15:W78" si="4">IF(X15&gt;3,"FALSE",U15)</f>
        <v>116.886</v>
      </c>
      <c r="X15" s="34">
        <f t="shared" si="0"/>
        <v>0.3348840894328371</v>
      </c>
      <c r="Y15" s="35" t="str">
        <f t="shared" ref="Y15:Y78" si="5">IF(OR(U15&gt;$Y$11,U15&lt;$X$11),U15,"")</f>
        <v/>
      </c>
      <c r="Z15" s="36">
        <f t="shared" ref="Z15:Z78" si="6">IF(U15="","",U15/T15)</f>
        <v>1.0085073339085417</v>
      </c>
      <c r="AA15" s="6"/>
      <c r="AB15" s="37">
        <v>6.32</v>
      </c>
      <c r="AC15" s="38">
        <v>6.5620000000000003</v>
      </c>
      <c r="AD15" s="38"/>
      <c r="AE15" s="34">
        <f t="shared" ref="AE15:AE54" si="7">IF(AF15&gt;3,"FALSE",AC15)</f>
        <v>6.5620000000000003</v>
      </c>
      <c r="AF15" s="34">
        <f t="shared" ref="AF15:AF78" si="8">IF(AC15="","FALSE",ABS((AC15-AVERAGE($AC$14:$AC$120))/_xlfn.STDEV.S($AC$14:$AC$104)))</f>
        <v>0.3584755879399954</v>
      </c>
      <c r="AG15" s="35" t="str">
        <f t="shared" si="1"/>
        <v/>
      </c>
      <c r="AH15" s="36">
        <f t="shared" si="2"/>
        <v>1.0382911392405063</v>
      </c>
    </row>
    <row r="16" spans="1:34" ht="1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29">
        <f t="shared" si="3"/>
        <v>3</v>
      </c>
      <c r="Q16" s="30" t="s">
        <v>106</v>
      </c>
      <c r="R16" s="31">
        <v>45677</v>
      </c>
      <c r="S16" s="68"/>
      <c r="T16" s="32">
        <v>115.9</v>
      </c>
      <c r="U16" s="38">
        <v>126.627</v>
      </c>
      <c r="V16" s="74"/>
      <c r="W16" s="34">
        <f t="shared" si="4"/>
        <v>126.627</v>
      </c>
      <c r="X16" s="34">
        <f t="shared" si="0"/>
        <v>1.1663817576623079</v>
      </c>
      <c r="Y16" s="35" t="str">
        <f t="shared" si="5"/>
        <v/>
      </c>
      <c r="Z16" s="36">
        <f t="shared" si="6"/>
        <v>1.0925539257981016</v>
      </c>
      <c r="AA16" s="6"/>
      <c r="AB16" s="37">
        <v>6.32</v>
      </c>
      <c r="AC16" s="38">
        <v>6.8330000000000002</v>
      </c>
      <c r="AD16" s="38"/>
      <c r="AE16" s="34">
        <f t="shared" si="7"/>
        <v>6.8330000000000002</v>
      </c>
      <c r="AF16" s="34">
        <f t="shared" si="8"/>
        <v>0.75635454627492149</v>
      </c>
      <c r="AG16" s="35" t="str">
        <f t="shared" si="1"/>
        <v/>
      </c>
      <c r="AH16" s="36">
        <f t="shared" si="2"/>
        <v>1.0811708860759492</v>
      </c>
    </row>
    <row r="17" spans="1:34" ht="1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29">
        <f t="shared" si="3"/>
        <v>4</v>
      </c>
      <c r="Q17" s="30" t="s">
        <v>106</v>
      </c>
      <c r="R17" s="31">
        <v>45677</v>
      </c>
      <c r="S17" s="68"/>
      <c r="T17" s="32">
        <v>115.9</v>
      </c>
      <c r="U17" s="38">
        <v>119.655</v>
      </c>
      <c r="V17" s="74"/>
      <c r="W17" s="34">
        <f t="shared" si="4"/>
        <v>119.655</v>
      </c>
      <c r="X17" s="34">
        <f t="shared" si="0"/>
        <v>0.57124760892030335</v>
      </c>
      <c r="Y17" s="35" t="str">
        <f t="shared" si="5"/>
        <v/>
      </c>
      <c r="Z17" s="36">
        <f t="shared" si="6"/>
        <v>1.0323986194995685</v>
      </c>
      <c r="AA17" s="6"/>
      <c r="AB17" s="37">
        <v>6.32</v>
      </c>
      <c r="AC17" s="38">
        <v>6.8250000000000002</v>
      </c>
      <c r="AD17" s="38"/>
      <c r="AE17" s="34">
        <f t="shared" si="7"/>
        <v>6.8250000000000002</v>
      </c>
      <c r="AF17" s="34">
        <f t="shared" si="8"/>
        <v>0.74460904196983135</v>
      </c>
      <c r="AG17" s="35" t="str">
        <f t="shared" si="1"/>
        <v/>
      </c>
      <c r="AH17" s="36">
        <f t="shared" si="2"/>
        <v>1.0799050632911391</v>
      </c>
    </row>
    <row r="18" spans="1:34" ht="1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29">
        <f t="shared" si="3"/>
        <v>5</v>
      </c>
      <c r="Q18" s="30" t="s">
        <v>106</v>
      </c>
      <c r="R18" s="31">
        <v>45677</v>
      </c>
      <c r="S18" s="68"/>
      <c r="T18" s="32">
        <v>115.9</v>
      </c>
      <c r="U18" s="38">
        <v>133.27000000000001</v>
      </c>
      <c r="V18" s="74"/>
      <c r="W18" s="34">
        <f t="shared" si="4"/>
        <v>133.27000000000001</v>
      </c>
      <c r="X18" s="34">
        <f t="shared" si="0"/>
        <v>1.7334322668552435</v>
      </c>
      <c r="Y18" s="35" t="str">
        <f t="shared" si="5"/>
        <v/>
      </c>
      <c r="Z18" s="36">
        <f t="shared" si="6"/>
        <v>1.1498705780845557</v>
      </c>
      <c r="AA18" s="6"/>
      <c r="AB18" s="37">
        <v>6.32</v>
      </c>
      <c r="AC18" s="38">
        <v>6.2530000000000001</v>
      </c>
      <c r="AD18" s="38"/>
      <c r="AE18" s="34">
        <f t="shared" si="7"/>
        <v>6.2530000000000001</v>
      </c>
      <c r="AF18" s="34">
        <f t="shared" si="8"/>
        <v>9.519451584410886E-2</v>
      </c>
      <c r="AG18" s="35" t="str">
        <f t="shared" si="1"/>
        <v/>
      </c>
      <c r="AH18" s="36">
        <f t="shared" si="2"/>
        <v>0.98939873417721513</v>
      </c>
    </row>
    <row r="19" spans="1:34" ht="1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29">
        <f t="shared" si="3"/>
        <v>6</v>
      </c>
      <c r="Q19" s="30" t="s">
        <v>106</v>
      </c>
      <c r="R19" s="31">
        <v>45678</v>
      </c>
      <c r="S19" s="68"/>
      <c r="T19" s="32">
        <v>115.9</v>
      </c>
      <c r="U19" s="38">
        <v>128.51400000000001</v>
      </c>
      <c r="V19" s="74"/>
      <c r="W19" s="34">
        <f t="shared" si="4"/>
        <v>128.51400000000001</v>
      </c>
      <c r="X19" s="34">
        <f t="shared" si="0"/>
        <v>1.3274572221884369</v>
      </c>
      <c r="Y19" s="35" t="str">
        <f t="shared" si="5"/>
        <v/>
      </c>
      <c r="Z19" s="36">
        <f t="shared" si="6"/>
        <v>1.1088352027610009</v>
      </c>
      <c r="AA19" s="6"/>
      <c r="AB19" s="37">
        <v>6.32</v>
      </c>
      <c r="AC19" s="38">
        <v>6.9379999999999997</v>
      </c>
      <c r="AD19" s="38"/>
      <c r="AE19" s="34">
        <f t="shared" si="7"/>
        <v>6.9379999999999997</v>
      </c>
      <c r="AF19" s="34">
        <f t="shared" si="8"/>
        <v>0.91051429027922803</v>
      </c>
      <c r="AG19" s="35" t="str">
        <f t="shared" si="1"/>
        <v/>
      </c>
      <c r="AH19" s="36">
        <f t="shared" si="2"/>
        <v>1.0977848101265821</v>
      </c>
    </row>
    <row r="20" spans="1:34" ht="1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29">
        <f t="shared" si="3"/>
        <v>7</v>
      </c>
      <c r="Q20" s="30" t="s">
        <v>106</v>
      </c>
      <c r="R20" s="31">
        <v>45678</v>
      </c>
      <c r="S20" s="68"/>
      <c r="T20" s="32">
        <v>115.9</v>
      </c>
      <c r="U20" s="38">
        <v>112.843</v>
      </c>
      <c r="V20" s="74"/>
      <c r="W20" s="34">
        <f t="shared" si="4"/>
        <v>112.843</v>
      </c>
      <c r="X20" s="34">
        <f t="shared" si="0"/>
        <v>1.02288427765607E-2</v>
      </c>
      <c r="Y20" s="35" t="str">
        <f t="shared" si="5"/>
        <v/>
      </c>
      <c r="Z20" s="36">
        <f t="shared" si="6"/>
        <v>0.97362381363244177</v>
      </c>
      <c r="AA20" s="6"/>
      <c r="AB20" s="37">
        <v>6.32</v>
      </c>
      <c r="AC20" s="38">
        <v>5.9610000000000003</v>
      </c>
      <c r="AD20" s="38"/>
      <c r="AE20" s="34">
        <f t="shared" si="7"/>
        <v>5.9610000000000003</v>
      </c>
      <c r="AF20" s="34">
        <f t="shared" si="8"/>
        <v>0.52390542297989628</v>
      </c>
      <c r="AG20" s="35" t="str">
        <f t="shared" si="1"/>
        <v/>
      </c>
      <c r="AH20" s="36">
        <f t="shared" si="2"/>
        <v>0.9431962025316456</v>
      </c>
    </row>
    <row r="21" spans="1:34" ht="1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29">
        <f t="shared" si="3"/>
        <v>8</v>
      </c>
      <c r="Q21" s="30" t="s">
        <v>106</v>
      </c>
      <c r="R21" s="31">
        <v>45678</v>
      </c>
      <c r="S21" s="68"/>
      <c r="T21" s="32">
        <v>115.9</v>
      </c>
      <c r="U21" s="38">
        <v>116.816</v>
      </c>
      <c r="V21" s="74"/>
      <c r="W21" s="34">
        <f t="shared" si="4"/>
        <v>116.816</v>
      </c>
      <c r="X21" s="34">
        <f t="shared" si="0"/>
        <v>0.32890884697558859</v>
      </c>
      <c r="Y21" s="35" t="str">
        <f t="shared" si="5"/>
        <v/>
      </c>
      <c r="Z21" s="36">
        <f t="shared" si="6"/>
        <v>1.0079033649698015</v>
      </c>
      <c r="AA21" s="6"/>
      <c r="AB21" s="37">
        <v>6.32</v>
      </c>
      <c r="AC21" s="38">
        <v>7.0330000000000004</v>
      </c>
      <c r="AD21" s="38"/>
      <c r="AE21" s="34">
        <f t="shared" si="7"/>
        <v>7.0330000000000004</v>
      </c>
      <c r="AF21" s="34">
        <f t="shared" si="8"/>
        <v>1.0499921539021735</v>
      </c>
      <c r="AG21" s="35" t="str">
        <f t="shared" si="1"/>
        <v/>
      </c>
      <c r="AH21" s="36">
        <f t="shared" si="2"/>
        <v>1.1128164556962026</v>
      </c>
    </row>
    <row r="22" spans="1:34" ht="1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29">
        <f t="shared" si="3"/>
        <v>9</v>
      </c>
      <c r="Q22" s="30" t="s">
        <v>106</v>
      </c>
      <c r="R22" s="31">
        <v>45678</v>
      </c>
      <c r="S22" s="68"/>
      <c r="T22" s="32">
        <v>115.9</v>
      </c>
      <c r="U22" s="38">
        <v>110.80800000000001</v>
      </c>
      <c r="V22" s="74"/>
      <c r="W22" s="34">
        <f t="shared" si="4"/>
        <v>110.80800000000001</v>
      </c>
      <c r="X22" s="34">
        <f t="shared" si="0"/>
        <v>0.18393767706944336</v>
      </c>
      <c r="Y22" s="35" t="str">
        <f t="shared" si="5"/>
        <v/>
      </c>
      <c r="Z22" s="36">
        <f t="shared" si="6"/>
        <v>0.95606557377049184</v>
      </c>
      <c r="AA22" s="6"/>
      <c r="AB22" s="37">
        <v>6.32</v>
      </c>
      <c r="AC22" s="38">
        <v>8.7289999999999992</v>
      </c>
      <c r="AD22" s="38"/>
      <c r="AE22" s="34" t="str">
        <f t="shared" si="7"/>
        <v>FALSE</v>
      </c>
      <c r="AF22" s="34">
        <f t="shared" si="8"/>
        <v>3.5400390665812673</v>
      </c>
      <c r="AG22" s="35">
        <f t="shared" si="1"/>
        <v>8.7289999999999992</v>
      </c>
      <c r="AH22" s="36">
        <f t="shared" si="2"/>
        <v>1.3811708860759493</v>
      </c>
    </row>
    <row r="23" spans="1:34" ht="1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29">
        <f t="shared" si="3"/>
        <v>10</v>
      </c>
      <c r="Q23" s="30" t="s">
        <v>106</v>
      </c>
      <c r="R23" s="31">
        <v>45678</v>
      </c>
      <c r="S23" s="68"/>
      <c r="T23" s="32">
        <v>115.9</v>
      </c>
      <c r="U23" s="38">
        <v>123.75</v>
      </c>
      <c r="V23" s="74"/>
      <c r="W23" s="34">
        <f t="shared" si="4"/>
        <v>123.75</v>
      </c>
      <c r="X23" s="34">
        <f t="shared" si="0"/>
        <v>0.92079929266937244</v>
      </c>
      <c r="Y23" s="35" t="str">
        <f t="shared" si="5"/>
        <v/>
      </c>
      <c r="Z23" s="36">
        <f t="shared" si="6"/>
        <v>1.0677308024158758</v>
      </c>
      <c r="AA23" s="6"/>
      <c r="AB23" s="37">
        <v>6.32</v>
      </c>
      <c r="AC23" s="38">
        <v>5.8550000000000004</v>
      </c>
      <c r="AD23" s="38"/>
      <c r="AE23" s="34">
        <f t="shared" si="7"/>
        <v>5.8550000000000004</v>
      </c>
      <c r="AF23" s="34">
        <f t="shared" si="8"/>
        <v>0.67953335502233947</v>
      </c>
      <c r="AG23" s="35" t="str">
        <f t="shared" si="1"/>
        <v/>
      </c>
      <c r="AH23" s="36">
        <f t="shared" si="2"/>
        <v>0.92642405063291144</v>
      </c>
    </row>
    <row r="24" spans="1:34" ht="1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29">
        <f t="shared" si="3"/>
        <v>11</v>
      </c>
      <c r="Q24" s="30" t="s">
        <v>106</v>
      </c>
      <c r="R24" s="31">
        <v>45679</v>
      </c>
      <c r="S24" s="68"/>
      <c r="T24" s="32">
        <v>115.9</v>
      </c>
      <c r="U24" s="38">
        <v>127.883</v>
      </c>
      <c r="V24" s="74"/>
      <c r="W24" s="34">
        <f t="shared" si="4"/>
        <v>127.883</v>
      </c>
      <c r="X24" s="34">
        <f t="shared" si="0"/>
        <v>1.2735946794666622</v>
      </c>
      <c r="Y24" s="35" t="str">
        <f t="shared" si="5"/>
        <v/>
      </c>
      <c r="Z24" s="36">
        <f t="shared" si="6"/>
        <v>1.1033908541846418</v>
      </c>
      <c r="AA24" s="6"/>
      <c r="AB24" s="37">
        <v>6.32</v>
      </c>
      <c r="AC24" s="38">
        <v>7.5960000000000001</v>
      </c>
      <c r="AD24" s="38"/>
      <c r="AE24" s="34">
        <f t="shared" si="7"/>
        <v>7.5960000000000001</v>
      </c>
      <c r="AF24" s="34">
        <f t="shared" si="8"/>
        <v>1.876582019372887</v>
      </c>
      <c r="AG24" s="35">
        <f t="shared" si="1"/>
        <v>7.5960000000000001</v>
      </c>
      <c r="AH24" s="36">
        <f t="shared" si="2"/>
        <v>1.2018987341772152</v>
      </c>
    </row>
    <row r="25" spans="1:34" ht="1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29">
        <f t="shared" si="3"/>
        <v>12</v>
      </c>
      <c r="Q25" s="30" t="s">
        <v>106</v>
      </c>
      <c r="R25" s="31">
        <v>45679</v>
      </c>
      <c r="S25" s="68"/>
      <c r="T25" s="32">
        <v>115.9</v>
      </c>
      <c r="U25" s="38">
        <v>103.63200000000001</v>
      </c>
      <c r="V25" s="74"/>
      <c r="W25" s="34">
        <f t="shared" si="4"/>
        <v>103.63200000000001</v>
      </c>
      <c r="X25" s="34">
        <f t="shared" si="0"/>
        <v>0.79648538954400283</v>
      </c>
      <c r="Y25" s="35" t="str">
        <f t="shared" si="5"/>
        <v/>
      </c>
      <c r="Z25" s="36">
        <f t="shared" si="6"/>
        <v>0.89415012942191541</v>
      </c>
      <c r="AA25" s="6"/>
      <c r="AB25" s="37">
        <v>6.32</v>
      </c>
      <c r="AC25" s="38">
        <v>6.7350000000000003</v>
      </c>
      <c r="AD25" s="38"/>
      <c r="AE25" s="34">
        <f t="shared" si="7"/>
        <v>6.7350000000000003</v>
      </c>
      <c r="AF25" s="34">
        <f t="shared" si="8"/>
        <v>0.61247211853756833</v>
      </c>
      <c r="AG25" s="35" t="str">
        <f t="shared" si="1"/>
        <v/>
      </c>
      <c r="AH25" s="36">
        <f t="shared" si="2"/>
        <v>1.0656645569620253</v>
      </c>
    </row>
    <row r="26" spans="1:34" ht="1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29">
        <f t="shared" si="3"/>
        <v>13</v>
      </c>
      <c r="Q26" s="30" t="s">
        <v>106</v>
      </c>
      <c r="R26" s="31">
        <v>45679</v>
      </c>
      <c r="S26" s="68"/>
      <c r="T26" s="32">
        <v>115.9</v>
      </c>
      <c r="U26" s="38">
        <v>97.936000000000007</v>
      </c>
      <c r="V26" s="74"/>
      <c r="W26" s="34">
        <f t="shared" si="4"/>
        <v>97.936000000000007</v>
      </c>
      <c r="X26" s="34">
        <f t="shared" si="0"/>
        <v>1.2826994043510107</v>
      </c>
      <c r="Y26" s="35" t="str">
        <f t="shared" si="5"/>
        <v/>
      </c>
      <c r="Z26" s="36">
        <f t="shared" si="6"/>
        <v>0.84500431406384813</v>
      </c>
      <c r="AA26" s="6"/>
      <c r="AB26" s="37">
        <v>6.32</v>
      </c>
      <c r="AC26" s="38">
        <v>5.1440000000000001</v>
      </c>
      <c r="AD26" s="38"/>
      <c r="AE26" s="34">
        <f t="shared" si="7"/>
        <v>5.1440000000000001</v>
      </c>
      <c r="AF26" s="34">
        <f t="shared" si="8"/>
        <v>1.7234150501372201</v>
      </c>
      <c r="AG26" s="35">
        <f t="shared" si="1"/>
        <v>5.1440000000000001</v>
      </c>
      <c r="AH26" s="36">
        <f t="shared" si="2"/>
        <v>0.8139240506329114</v>
      </c>
    </row>
    <row r="27" spans="1:34" ht="1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29">
        <f t="shared" si="3"/>
        <v>14</v>
      </c>
      <c r="Q27" s="30" t="s">
        <v>106</v>
      </c>
      <c r="R27" s="31">
        <v>45679</v>
      </c>
      <c r="S27" s="68"/>
      <c r="T27" s="32">
        <v>115.9</v>
      </c>
      <c r="U27" s="38">
        <v>120.867</v>
      </c>
      <c r="V27" s="74"/>
      <c r="W27" s="34">
        <f t="shared" si="4"/>
        <v>120.867</v>
      </c>
      <c r="X27" s="34">
        <f t="shared" si="0"/>
        <v>0.67470466403724427</v>
      </c>
      <c r="Y27" s="35" t="str">
        <f t="shared" si="5"/>
        <v/>
      </c>
      <c r="Z27" s="36">
        <f t="shared" si="6"/>
        <v>1.0428559102674719</v>
      </c>
      <c r="AA27" s="6"/>
      <c r="AB27" s="37">
        <v>6.32</v>
      </c>
      <c r="AC27" s="38">
        <v>6.4660000000000002</v>
      </c>
      <c r="AD27" s="38"/>
      <c r="AE27" s="34">
        <f t="shared" si="7"/>
        <v>6.4660000000000002</v>
      </c>
      <c r="AF27" s="34">
        <f t="shared" si="8"/>
        <v>0.21752953627891441</v>
      </c>
      <c r="AG27" s="35" t="str">
        <f t="shared" si="1"/>
        <v/>
      </c>
      <c r="AH27" s="36">
        <f t="shared" si="2"/>
        <v>1.0231012658227847</v>
      </c>
    </row>
    <row r="28" spans="1:34" ht="1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29">
        <f t="shared" si="3"/>
        <v>15</v>
      </c>
      <c r="Q28" s="30" t="s">
        <v>106</v>
      </c>
      <c r="R28" s="31">
        <v>45679</v>
      </c>
      <c r="S28" s="68"/>
      <c r="T28" s="32">
        <v>115.9</v>
      </c>
      <c r="U28" s="38">
        <v>106.03700000000001</v>
      </c>
      <c r="V28" s="74"/>
      <c r="W28" s="34">
        <f t="shared" si="4"/>
        <v>106.03700000000001</v>
      </c>
      <c r="X28" s="34">
        <f t="shared" si="0"/>
        <v>0.59119313083423197</v>
      </c>
      <c r="Y28" s="35" t="str">
        <f t="shared" si="5"/>
        <v/>
      </c>
      <c r="Z28" s="36">
        <f t="shared" si="6"/>
        <v>0.91490077653149271</v>
      </c>
      <c r="AA28" s="6"/>
      <c r="AB28" s="37">
        <v>6.32</v>
      </c>
      <c r="AC28" s="38">
        <v>5.9029999999999996</v>
      </c>
      <c r="AD28" s="38"/>
      <c r="AE28" s="34">
        <f t="shared" si="7"/>
        <v>5.9029999999999996</v>
      </c>
      <c r="AF28" s="34">
        <f t="shared" si="8"/>
        <v>0.60906032919180031</v>
      </c>
      <c r="AG28" s="35" t="str">
        <f t="shared" si="1"/>
        <v/>
      </c>
      <c r="AH28" s="36">
        <f t="shared" si="2"/>
        <v>0.93401898734177202</v>
      </c>
    </row>
    <row r="29" spans="1:34" ht="1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 t="s">
        <v>107</v>
      </c>
      <c r="O29" s="8"/>
      <c r="P29" s="29">
        <f t="shared" si="3"/>
        <v>16</v>
      </c>
      <c r="Q29" s="30" t="s">
        <v>106</v>
      </c>
      <c r="R29" s="31">
        <v>45681</v>
      </c>
      <c r="S29" s="68"/>
      <c r="T29" s="32">
        <v>115.9</v>
      </c>
      <c r="U29" s="38">
        <v>104.929</v>
      </c>
      <c r="V29" s="74"/>
      <c r="W29" s="34">
        <f t="shared" si="4"/>
        <v>104.929</v>
      </c>
      <c r="X29" s="34">
        <f t="shared" si="0"/>
        <v>0.68577268287183146</v>
      </c>
      <c r="Y29" s="35" t="str">
        <f t="shared" si="5"/>
        <v/>
      </c>
      <c r="Z29" s="36">
        <f t="shared" si="6"/>
        <v>0.90534081104400344</v>
      </c>
      <c r="AA29" s="6"/>
      <c r="AB29" s="37">
        <v>6.32</v>
      </c>
      <c r="AC29" s="38">
        <v>7.2530000000000001</v>
      </c>
      <c r="AD29" s="38"/>
      <c r="AE29" s="34">
        <f t="shared" si="7"/>
        <v>7.2530000000000001</v>
      </c>
      <c r="AF29" s="34">
        <f t="shared" si="8"/>
        <v>1.3729935222921501</v>
      </c>
      <c r="AG29" s="35" t="str">
        <f t="shared" si="1"/>
        <v/>
      </c>
      <c r="AH29" s="36">
        <f t="shared" si="2"/>
        <v>1.147626582278481</v>
      </c>
    </row>
    <row r="30" spans="1:34" ht="1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29">
        <f t="shared" si="3"/>
        <v>17</v>
      </c>
      <c r="Q30" s="30" t="s">
        <v>106</v>
      </c>
      <c r="R30" s="31">
        <v>45681</v>
      </c>
      <c r="S30" s="68"/>
      <c r="T30" s="32">
        <v>115.9</v>
      </c>
      <c r="U30" s="38">
        <v>111.413</v>
      </c>
      <c r="V30" s="74"/>
      <c r="W30" s="34">
        <f t="shared" si="4"/>
        <v>111.413</v>
      </c>
      <c r="X30" s="34">
        <f t="shared" si="0"/>
        <v>0.13229451011750606</v>
      </c>
      <c r="Y30" s="35" t="str">
        <f t="shared" si="5"/>
        <v/>
      </c>
      <c r="Z30" s="36">
        <f t="shared" si="6"/>
        <v>0.96128559102674715</v>
      </c>
      <c r="AA30" s="6"/>
      <c r="AB30" s="37">
        <v>6.32</v>
      </c>
      <c r="AC30" s="38">
        <v>6.2460000000000004</v>
      </c>
      <c r="AD30" s="38"/>
      <c r="AE30" s="34">
        <f t="shared" si="7"/>
        <v>6.2460000000000004</v>
      </c>
      <c r="AF30" s="34">
        <f t="shared" si="8"/>
        <v>0.1054718321110622</v>
      </c>
      <c r="AG30" s="35" t="str">
        <f t="shared" si="1"/>
        <v/>
      </c>
      <c r="AH30" s="36">
        <f t="shared" si="2"/>
        <v>0.98829113924050638</v>
      </c>
    </row>
    <row r="31" spans="1:34" ht="1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29">
        <f t="shared" si="3"/>
        <v>18</v>
      </c>
      <c r="Q31" s="30" t="s">
        <v>106</v>
      </c>
      <c r="R31" s="31">
        <v>45681</v>
      </c>
      <c r="S31" s="68"/>
      <c r="T31" s="32">
        <v>115.9</v>
      </c>
      <c r="U31" s="38">
        <v>100.78400000000001</v>
      </c>
      <c r="V31" s="74"/>
      <c r="W31" s="34">
        <f t="shared" si="4"/>
        <v>100.78400000000001</v>
      </c>
      <c r="X31" s="34">
        <f t="shared" si="0"/>
        <v>1.0395923969475067</v>
      </c>
      <c r="Y31" s="35" t="str">
        <f t="shared" si="5"/>
        <v/>
      </c>
      <c r="Z31" s="36">
        <f t="shared" si="6"/>
        <v>0.86957722174288177</v>
      </c>
      <c r="AA31" s="6"/>
      <c r="AB31" s="37">
        <v>6.32</v>
      </c>
      <c r="AC31" s="38">
        <v>5.86</v>
      </c>
      <c r="AD31" s="38"/>
      <c r="AE31" s="34">
        <f t="shared" si="7"/>
        <v>5.86</v>
      </c>
      <c r="AF31" s="34">
        <f t="shared" si="8"/>
        <v>0.67219241483165837</v>
      </c>
      <c r="AG31" s="35" t="str">
        <f t="shared" si="1"/>
        <v/>
      </c>
      <c r="AH31" s="36">
        <f t="shared" si="2"/>
        <v>0.92721518987341778</v>
      </c>
    </row>
    <row r="32" spans="1:34" ht="1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29">
        <f t="shared" si="3"/>
        <v>19</v>
      </c>
      <c r="Q32" s="30" t="s">
        <v>106</v>
      </c>
      <c r="R32" s="31">
        <v>45681</v>
      </c>
      <c r="S32" s="68"/>
      <c r="T32" s="32">
        <v>115.9</v>
      </c>
      <c r="U32" s="38">
        <v>117.96899999999999</v>
      </c>
      <c r="V32" s="74"/>
      <c r="W32" s="34">
        <f t="shared" si="4"/>
        <v>117.96899999999999</v>
      </c>
      <c r="X32" s="34">
        <f t="shared" si="0"/>
        <v>0.42732962630713289</v>
      </c>
      <c r="Y32" s="35" t="str">
        <f t="shared" si="5"/>
        <v/>
      </c>
      <c r="Z32" s="36">
        <f t="shared" si="6"/>
        <v>1.0178515962036236</v>
      </c>
      <c r="AA32" s="6"/>
      <c r="AB32" s="37">
        <v>6.32</v>
      </c>
      <c r="AC32" s="38">
        <v>6.0030000000000001</v>
      </c>
      <c r="AD32" s="38"/>
      <c r="AE32" s="34">
        <f t="shared" si="7"/>
        <v>6.0030000000000001</v>
      </c>
      <c r="AF32" s="34">
        <f t="shared" si="8"/>
        <v>0.46224152537817365</v>
      </c>
      <c r="AG32" s="35" t="str">
        <f t="shared" si="1"/>
        <v/>
      </c>
      <c r="AH32" s="36">
        <f t="shared" si="2"/>
        <v>0.94984177215189869</v>
      </c>
    </row>
    <row r="33" spans="1:34" ht="1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29">
        <f t="shared" si="3"/>
        <v>20</v>
      </c>
      <c r="Q33" s="30" t="s">
        <v>106</v>
      </c>
      <c r="R33" s="31">
        <v>45681</v>
      </c>
      <c r="S33" s="68"/>
      <c r="T33" s="32">
        <v>115.9</v>
      </c>
      <c r="U33" s="38">
        <v>106.735</v>
      </c>
      <c r="V33" s="74"/>
      <c r="W33" s="34">
        <f t="shared" si="4"/>
        <v>106.735</v>
      </c>
      <c r="X33" s="34">
        <f t="shared" si="0"/>
        <v>0.53161142747480639</v>
      </c>
      <c r="Y33" s="35" t="str">
        <f t="shared" si="5"/>
        <v/>
      </c>
      <c r="Z33" s="36">
        <f t="shared" si="6"/>
        <v>0.92092320966350294</v>
      </c>
      <c r="AA33" s="6"/>
      <c r="AB33" s="37">
        <v>6.32</v>
      </c>
      <c r="AC33" s="38">
        <v>6.3689999999999998</v>
      </c>
      <c r="AD33" s="38"/>
      <c r="AE33" s="34">
        <f t="shared" si="7"/>
        <v>6.3689999999999998</v>
      </c>
      <c r="AF33" s="34">
        <f t="shared" si="8"/>
        <v>7.5115296579696678E-2</v>
      </c>
      <c r="AG33" s="35" t="str">
        <f t="shared" si="1"/>
        <v/>
      </c>
      <c r="AH33" s="36">
        <f t="shared" si="2"/>
        <v>1.007753164556962</v>
      </c>
    </row>
    <row r="34" spans="1:34" ht="1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29">
        <f t="shared" si="3"/>
        <v>21</v>
      </c>
      <c r="Q34" s="30" t="s">
        <v>108</v>
      </c>
      <c r="R34" s="31">
        <v>45743</v>
      </c>
      <c r="S34" s="68"/>
      <c r="T34" s="39">
        <v>120.6</v>
      </c>
      <c r="U34" s="38">
        <v>119.49299999999999</v>
      </c>
      <c r="V34" s="74"/>
      <c r="W34" s="34">
        <f t="shared" si="4"/>
        <v>119.49299999999999</v>
      </c>
      <c r="X34" s="34">
        <f t="shared" si="0"/>
        <v>0.55741919066209789</v>
      </c>
      <c r="Y34" s="35" t="str">
        <f t="shared" si="5"/>
        <v/>
      </c>
      <c r="Z34" s="36">
        <f t="shared" si="6"/>
        <v>0.99082089552238806</v>
      </c>
      <c r="AA34" s="6"/>
      <c r="AB34" s="37">
        <v>6.18</v>
      </c>
      <c r="AC34" s="38">
        <v>5.54</v>
      </c>
      <c r="AD34" s="38"/>
      <c r="AE34" s="34">
        <f t="shared" si="7"/>
        <v>5.54</v>
      </c>
      <c r="AF34" s="34">
        <f t="shared" si="8"/>
        <v>1.1420125870352618</v>
      </c>
      <c r="AG34" s="35" t="str">
        <f t="shared" si="1"/>
        <v/>
      </c>
      <c r="AH34" s="36">
        <f t="shared" si="2"/>
        <v>0.8964401294498382</v>
      </c>
    </row>
    <row r="35" spans="1:34" ht="1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29">
        <f t="shared" si="3"/>
        <v>22</v>
      </c>
      <c r="Q35" s="30" t="s">
        <v>108</v>
      </c>
      <c r="R35" s="31">
        <v>45743</v>
      </c>
      <c r="S35" s="68"/>
      <c r="T35" s="39">
        <v>120.6</v>
      </c>
      <c r="U35" s="38">
        <v>92.204999999999998</v>
      </c>
      <c r="V35" s="74"/>
      <c r="W35" s="34">
        <f t="shared" si="4"/>
        <v>92.204999999999998</v>
      </c>
      <c r="X35" s="34">
        <f t="shared" si="0"/>
        <v>1.771901040386644</v>
      </c>
      <c r="Y35" s="35" t="str">
        <f t="shared" si="5"/>
        <v/>
      </c>
      <c r="Z35" s="36">
        <f t="shared" si="6"/>
        <v>0.76455223880597012</v>
      </c>
      <c r="AA35" s="6"/>
      <c r="AB35" s="37">
        <v>6.18</v>
      </c>
      <c r="AC35" s="38">
        <v>6.2</v>
      </c>
      <c r="AD35" s="38"/>
      <c r="AE35" s="34">
        <f t="shared" si="7"/>
        <v>6.2</v>
      </c>
      <c r="AF35" s="34">
        <f t="shared" si="8"/>
        <v>0.17300848186533049</v>
      </c>
      <c r="AG35" s="35" t="str">
        <f t="shared" si="1"/>
        <v/>
      </c>
      <c r="AH35" s="36">
        <f t="shared" si="2"/>
        <v>1.0032362459546926</v>
      </c>
    </row>
    <row r="36" spans="1:34" ht="1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29">
        <f t="shared" si="3"/>
        <v>23</v>
      </c>
      <c r="Q36" s="30" t="s">
        <v>108</v>
      </c>
      <c r="R36" s="31">
        <v>45772</v>
      </c>
      <c r="S36" s="68"/>
      <c r="T36" s="39">
        <v>120.6</v>
      </c>
      <c r="U36" s="38">
        <v>103.682</v>
      </c>
      <c r="V36" s="74"/>
      <c r="W36" s="34">
        <f t="shared" si="4"/>
        <v>103.682</v>
      </c>
      <c r="X36" s="34">
        <f t="shared" si="0"/>
        <v>0.79221735921739667</v>
      </c>
      <c r="Y36" s="35" t="str">
        <f t="shared" si="5"/>
        <v/>
      </c>
      <c r="Z36" s="36">
        <f t="shared" si="6"/>
        <v>0.85971807628524055</v>
      </c>
      <c r="AA36" s="6"/>
      <c r="AB36" s="37">
        <v>6.18</v>
      </c>
      <c r="AC36" s="38">
        <v>5.423</v>
      </c>
      <c r="AD36" s="38"/>
      <c r="AE36" s="34">
        <f t="shared" si="7"/>
        <v>5.423</v>
      </c>
      <c r="AF36" s="34">
        <f t="shared" si="8"/>
        <v>1.313790587497204</v>
      </c>
      <c r="AG36" s="35" t="str">
        <f t="shared" si="1"/>
        <v/>
      </c>
      <c r="AH36" s="36">
        <f t="shared" si="2"/>
        <v>0.87750809061488677</v>
      </c>
    </row>
    <row r="37" spans="1:34" ht="1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29">
        <f t="shared" si="3"/>
        <v>24</v>
      </c>
      <c r="Q37" s="30" t="s">
        <v>108</v>
      </c>
      <c r="R37" s="31">
        <v>45772</v>
      </c>
      <c r="S37" s="68"/>
      <c r="T37" s="39">
        <v>120.6</v>
      </c>
      <c r="U37" s="38">
        <v>117.402</v>
      </c>
      <c r="V37" s="74"/>
      <c r="W37" s="34">
        <f t="shared" si="4"/>
        <v>117.402</v>
      </c>
      <c r="X37" s="34">
        <f t="shared" si="0"/>
        <v>0.3789301624034162</v>
      </c>
      <c r="Y37" s="35" t="str">
        <f t="shared" si="5"/>
        <v/>
      </c>
      <c r="Z37" s="36">
        <f t="shared" si="6"/>
        <v>0.97348258706467672</v>
      </c>
      <c r="AA37" s="6"/>
      <c r="AB37" s="37">
        <v>6.18</v>
      </c>
      <c r="AC37" s="38">
        <v>6.2370000000000001</v>
      </c>
      <c r="AD37" s="38"/>
      <c r="AE37" s="34">
        <f t="shared" si="7"/>
        <v>6.2370000000000001</v>
      </c>
      <c r="AF37" s="34">
        <f t="shared" si="8"/>
        <v>0.11868552445428904</v>
      </c>
      <c r="AG37" s="35" t="str">
        <f t="shared" si="1"/>
        <v/>
      </c>
      <c r="AH37" s="36">
        <f t="shared" si="2"/>
        <v>1.0092233009708738</v>
      </c>
    </row>
    <row r="38" spans="1:34" ht="1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29">
        <f t="shared" si="3"/>
        <v>25</v>
      </c>
      <c r="Q38" s="30" t="s">
        <v>108</v>
      </c>
      <c r="R38" s="31">
        <v>45785</v>
      </c>
      <c r="S38" s="68"/>
      <c r="T38" s="39">
        <v>120.6</v>
      </c>
      <c r="U38" s="38">
        <v>94.961699999999993</v>
      </c>
      <c r="V38" s="74"/>
      <c r="W38" s="34">
        <f t="shared" si="4"/>
        <v>94.961699999999993</v>
      </c>
      <c r="X38" s="34">
        <f t="shared" si="0"/>
        <v>1.5365874563595239</v>
      </c>
      <c r="Y38" s="35" t="str">
        <f t="shared" si="5"/>
        <v/>
      </c>
      <c r="Z38" s="36">
        <f t="shared" si="6"/>
        <v>0.78741044776119407</v>
      </c>
      <c r="AA38" s="6"/>
      <c r="AB38" s="37">
        <v>6.18</v>
      </c>
      <c r="AC38" s="38">
        <v>6.5629999999999997</v>
      </c>
      <c r="AD38" s="38"/>
      <c r="AE38" s="34">
        <f t="shared" si="7"/>
        <v>6.5629999999999997</v>
      </c>
      <c r="AF38" s="34">
        <f t="shared" si="8"/>
        <v>0.35994377597813088</v>
      </c>
      <c r="AG38" s="35" t="str">
        <f t="shared" si="1"/>
        <v/>
      </c>
      <c r="AH38" s="36">
        <f t="shared" si="2"/>
        <v>1.0619741100323625</v>
      </c>
    </row>
    <row r="39" spans="1:34" ht="1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29">
        <f t="shared" si="3"/>
        <v>26</v>
      </c>
      <c r="Q39" s="30" t="s">
        <v>108</v>
      </c>
      <c r="R39" s="31">
        <v>45785</v>
      </c>
      <c r="S39" s="68"/>
      <c r="T39" s="39">
        <v>120.6</v>
      </c>
      <c r="U39" s="38">
        <v>129.22120000000001</v>
      </c>
      <c r="V39" s="74"/>
      <c r="W39" s="34">
        <f t="shared" si="4"/>
        <v>129.22120000000001</v>
      </c>
      <c r="X39" s="34">
        <f t="shared" si="0"/>
        <v>1.3878242431279586</v>
      </c>
      <c r="Y39" s="35" t="str">
        <f t="shared" si="5"/>
        <v/>
      </c>
      <c r="Z39" s="36">
        <f t="shared" si="6"/>
        <v>1.0714859038142621</v>
      </c>
      <c r="AA39" s="6"/>
      <c r="AB39" s="37">
        <v>6.18</v>
      </c>
      <c r="AC39" s="38">
        <v>6.1811999999999996</v>
      </c>
      <c r="AD39" s="38"/>
      <c r="AE39" s="34">
        <f t="shared" si="7"/>
        <v>6.1811999999999996</v>
      </c>
      <c r="AF39" s="34">
        <f t="shared" si="8"/>
        <v>0.20061041698229304</v>
      </c>
      <c r="AG39" s="35" t="str">
        <f t="shared" si="1"/>
        <v/>
      </c>
      <c r="AH39" s="36">
        <f t="shared" si="2"/>
        <v>1.0001941747572816</v>
      </c>
    </row>
    <row r="40" spans="1:34" ht="1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29">
        <f t="shared" si="3"/>
        <v>27</v>
      </c>
      <c r="Q40" s="30" t="s">
        <v>109</v>
      </c>
      <c r="R40" s="31">
        <v>45793</v>
      </c>
      <c r="S40" s="68"/>
      <c r="T40" s="39">
        <v>120.6</v>
      </c>
      <c r="U40" s="38">
        <v>104.77200000000001</v>
      </c>
      <c r="V40" s="74"/>
      <c r="W40" s="34">
        <f t="shared" si="4"/>
        <v>104.77200000000001</v>
      </c>
      <c r="X40" s="34">
        <f t="shared" si="0"/>
        <v>0.69917429809737552</v>
      </c>
      <c r="Y40" s="35" t="str">
        <f t="shared" si="5"/>
        <v/>
      </c>
      <c r="Z40" s="36">
        <f t="shared" si="6"/>
        <v>0.86875621890547272</v>
      </c>
      <c r="AA40" s="6"/>
      <c r="AB40" s="37">
        <v>6.18</v>
      </c>
      <c r="AC40" s="38">
        <v>5.2270000000000003</v>
      </c>
      <c r="AD40" s="38"/>
      <c r="AE40" s="34">
        <f t="shared" si="7"/>
        <v>5.2270000000000003</v>
      </c>
      <c r="AF40" s="34">
        <f t="shared" si="8"/>
        <v>1.6015554429719103</v>
      </c>
      <c r="AG40" s="35" t="str">
        <f t="shared" si="1"/>
        <v/>
      </c>
      <c r="AH40" s="36">
        <f t="shared" si="2"/>
        <v>0.84579288025889976</v>
      </c>
    </row>
    <row r="41" spans="1:34" ht="1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29">
        <f t="shared" si="3"/>
        <v>28</v>
      </c>
      <c r="Q41" s="30" t="s">
        <v>109</v>
      </c>
      <c r="R41" s="31">
        <v>45793</v>
      </c>
      <c r="S41" s="68"/>
      <c r="T41" s="39">
        <v>120.6</v>
      </c>
      <c r="U41" s="38">
        <v>118.69499999999999</v>
      </c>
      <c r="V41" s="74"/>
      <c r="W41" s="34">
        <f t="shared" si="4"/>
        <v>118.69499999999999</v>
      </c>
      <c r="X41" s="34">
        <f t="shared" si="0"/>
        <v>0.48930142664945864</v>
      </c>
      <c r="Y41" s="35" t="str">
        <f t="shared" si="5"/>
        <v/>
      </c>
      <c r="Z41" s="36">
        <f t="shared" si="6"/>
        <v>0.9842039800995025</v>
      </c>
      <c r="AA41" s="6"/>
      <c r="AB41" s="37">
        <v>6.18</v>
      </c>
      <c r="AC41" s="38">
        <v>6.62</v>
      </c>
      <c r="AD41" s="38"/>
      <c r="AE41" s="34">
        <f t="shared" si="7"/>
        <v>6.62</v>
      </c>
      <c r="AF41" s="34">
        <f t="shared" si="8"/>
        <v>0.4436304941518982</v>
      </c>
      <c r="AG41" s="35" t="str">
        <f t="shared" si="1"/>
        <v/>
      </c>
      <c r="AH41" s="36">
        <f t="shared" si="2"/>
        <v>1.0711974110032363</v>
      </c>
    </row>
    <row r="42" spans="1:34" ht="1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29">
        <f t="shared" si="3"/>
        <v>29</v>
      </c>
      <c r="Q42" s="30" t="s">
        <v>108</v>
      </c>
      <c r="R42" s="31">
        <v>45804</v>
      </c>
      <c r="S42" s="68"/>
      <c r="T42" s="39">
        <v>120.6</v>
      </c>
      <c r="U42" s="38">
        <v>112.125</v>
      </c>
      <c r="V42" s="74"/>
      <c r="W42" s="34">
        <f t="shared" si="4"/>
        <v>112.125</v>
      </c>
      <c r="X42" s="34">
        <f t="shared" si="0"/>
        <v>7.1517758266629775E-2</v>
      </c>
      <c r="Y42" s="35" t="str">
        <f t="shared" si="5"/>
        <v/>
      </c>
      <c r="Z42" s="36">
        <f t="shared" si="6"/>
        <v>0.92972636815920406</v>
      </c>
      <c r="AA42" s="6"/>
      <c r="AB42" s="37">
        <v>6.18</v>
      </c>
      <c r="AC42" s="38">
        <v>7.0170000000000003</v>
      </c>
      <c r="AD42" s="38"/>
      <c r="AE42" s="34">
        <f t="shared" si="7"/>
        <v>7.0170000000000003</v>
      </c>
      <c r="AF42" s="34">
        <f t="shared" si="8"/>
        <v>1.0265011452919934</v>
      </c>
      <c r="AG42" s="35" t="str">
        <f t="shared" si="1"/>
        <v/>
      </c>
      <c r="AH42" s="36">
        <f t="shared" si="2"/>
        <v>1.1354368932038836</v>
      </c>
    </row>
    <row r="43" spans="1:34" ht="1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29">
        <f t="shared" si="3"/>
        <v>30</v>
      </c>
      <c r="Q43" s="30" t="s">
        <v>108</v>
      </c>
      <c r="R43" s="31">
        <v>45804</v>
      </c>
      <c r="S43" s="68"/>
      <c r="T43" s="39">
        <v>120.6</v>
      </c>
      <c r="U43" s="38">
        <v>107.63800000000001</v>
      </c>
      <c r="V43" s="74"/>
      <c r="W43" s="34">
        <f t="shared" si="4"/>
        <v>107.63800000000001</v>
      </c>
      <c r="X43" s="34">
        <f t="shared" si="0"/>
        <v>0.45453079977629318</v>
      </c>
      <c r="Y43" s="35" t="str">
        <f t="shared" si="5"/>
        <v/>
      </c>
      <c r="Z43" s="36">
        <f t="shared" si="6"/>
        <v>0.89252072968490892</v>
      </c>
      <c r="AA43" s="6"/>
      <c r="AB43" s="37">
        <v>6.18</v>
      </c>
      <c r="AC43" s="38">
        <v>6.452</v>
      </c>
      <c r="AD43" s="38"/>
      <c r="AE43" s="34">
        <f t="shared" si="7"/>
        <v>6.452</v>
      </c>
      <c r="AF43" s="34">
        <f t="shared" si="8"/>
        <v>0.19697490374500645</v>
      </c>
      <c r="AG43" s="35" t="str">
        <f t="shared" si="1"/>
        <v/>
      </c>
      <c r="AH43" s="36">
        <f t="shared" si="2"/>
        <v>1.0440129449838189</v>
      </c>
    </row>
    <row r="44" spans="1:34" ht="1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29">
        <f t="shared" si="3"/>
        <v>31</v>
      </c>
      <c r="Q44" s="30" t="s">
        <v>108</v>
      </c>
      <c r="R44" s="31">
        <v>45825</v>
      </c>
      <c r="S44" s="68"/>
      <c r="T44" s="39">
        <v>120.6</v>
      </c>
      <c r="U44" s="38">
        <v>112.917</v>
      </c>
      <c r="V44" s="74"/>
      <c r="W44" s="34">
        <f t="shared" si="4"/>
        <v>112.917</v>
      </c>
      <c r="X44" s="34">
        <f t="shared" si="0"/>
        <v>3.9121578931833011E-3</v>
      </c>
      <c r="Y44" s="35" t="str">
        <f t="shared" si="5"/>
        <v/>
      </c>
      <c r="Z44" s="36">
        <f t="shared" si="6"/>
        <v>0.93629353233830848</v>
      </c>
      <c r="AA44" s="6"/>
      <c r="AB44" s="37">
        <v>6.18</v>
      </c>
      <c r="AC44" s="38">
        <v>5.74</v>
      </c>
      <c r="AD44" s="38"/>
      <c r="AE44" s="34">
        <f t="shared" si="7"/>
        <v>5.74</v>
      </c>
      <c r="AF44" s="34">
        <f t="shared" si="8"/>
        <v>0.84837497940800966</v>
      </c>
      <c r="AG44" s="35" t="str">
        <f t="shared" si="1"/>
        <v/>
      </c>
      <c r="AH44" s="36">
        <f t="shared" si="2"/>
        <v>0.92880258899676382</v>
      </c>
    </row>
    <row r="45" spans="1:34" ht="1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29">
        <f t="shared" si="3"/>
        <v>32</v>
      </c>
      <c r="Q45" s="30" t="s">
        <v>108</v>
      </c>
      <c r="R45" s="31">
        <v>45825</v>
      </c>
      <c r="S45" s="68"/>
      <c r="T45" s="39">
        <v>120.6</v>
      </c>
      <c r="U45" s="38">
        <v>91.759</v>
      </c>
      <c r="V45" s="74"/>
      <c r="W45" s="34">
        <f t="shared" si="4"/>
        <v>91.759</v>
      </c>
      <c r="X45" s="34">
        <f t="shared" si="0"/>
        <v>1.8099718708999735</v>
      </c>
      <c r="Y45" s="35" t="str">
        <f t="shared" si="5"/>
        <v/>
      </c>
      <c r="Z45" s="36">
        <f t="shared" si="6"/>
        <v>0.76085406301824221</v>
      </c>
      <c r="AA45" s="6"/>
      <c r="AB45" s="37">
        <v>6.18</v>
      </c>
      <c r="AC45" s="38">
        <v>6.1349999999999998</v>
      </c>
      <c r="AD45" s="38"/>
      <c r="AE45" s="34">
        <f t="shared" si="7"/>
        <v>6.1349999999999998</v>
      </c>
      <c r="AF45" s="34">
        <f t="shared" si="8"/>
        <v>0.26844070434418793</v>
      </c>
      <c r="AG45" s="35" t="str">
        <f t="shared" si="1"/>
        <v/>
      </c>
      <c r="AH45" s="36">
        <f t="shared" si="2"/>
        <v>0.99271844660194175</v>
      </c>
    </row>
    <row r="46" spans="1:34" ht="1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29">
        <f t="shared" si="3"/>
        <v>33</v>
      </c>
      <c r="Q46" s="30" t="s">
        <v>108</v>
      </c>
      <c r="R46" s="31">
        <v>45825</v>
      </c>
      <c r="S46" s="68"/>
      <c r="T46" s="39">
        <v>120.6</v>
      </c>
      <c r="U46" s="38">
        <v>123.116</v>
      </c>
      <c r="V46" s="74"/>
      <c r="W46" s="34">
        <f t="shared" si="4"/>
        <v>123.116</v>
      </c>
      <c r="X46" s="34">
        <f t="shared" si="0"/>
        <v>0.86668066812800248</v>
      </c>
      <c r="Y46" s="35" t="str">
        <f t="shared" si="5"/>
        <v/>
      </c>
      <c r="Z46" s="36">
        <f t="shared" si="6"/>
        <v>1.0208623548922058</v>
      </c>
      <c r="AA46" s="6"/>
      <c r="AB46" s="37">
        <v>6.18</v>
      </c>
      <c r="AC46" s="38">
        <v>5.5469999999999997</v>
      </c>
      <c r="AD46" s="38"/>
      <c r="AE46" s="34">
        <f t="shared" si="7"/>
        <v>5.5469999999999997</v>
      </c>
      <c r="AF46" s="34">
        <f t="shared" si="8"/>
        <v>1.1317352707683084</v>
      </c>
      <c r="AG46" s="35" t="str">
        <f t="shared" si="1"/>
        <v/>
      </c>
      <c r="AH46" s="36">
        <f t="shared" si="2"/>
        <v>0.89757281553398061</v>
      </c>
    </row>
    <row r="47" spans="1:34" ht="1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29">
        <f t="shared" si="3"/>
        <v>34</v>
      </c>
      <c r="Q47" s="30" t="s">
        <v>108</v>
      </c>
      <c r="R47" s="31">
        <v>45825</v>
      </c>
      <c r="S47" s="68"/>
      <c r="T47" s="39">
        <v>120.6</v>
      </c>
      <c r="U47" s="38">
        <v>105.21899999999999</v>
      </c>
      <c r="V47" s="74"/>
      <c r="W47" s="34">
        <f t="shared" si="4"/>
        <v>105.21899999999999</v>
      </c>
      <c r="X47" s="34">
        <f t="shared" si="0"/>
        <v>0.66101810697751473</v>
      </c>
      <c r="Y47" s="35" t="str">
        <f t="shared" si="5"/>
        <v/>
      </c>
      <c r="Z47" s="36">
        <f t="shared" si="6"/>
        <v>0.87246268656716419</v>
      </c>
      <c r="AA47" s="6"/>
      <c r="AB47" s="37">
        <v>6.18</v>
      </c>
      <c r="AC47" s="38">
        <v>6.3550000000000004</v>
      </c>
      <c r="AD47" s="38"/>
      <c r="AE47" s="34">
        <f t="shared" si="7"/>
        <v>6.3550000000000004</v>
      </c>
      <c r="AF47" s="34">
        <f t="shared" si="8"/>
        <v>5.4560664045790012E-2</v>
      </c>
      <c r="AG47" s="35" t="str">
        <f t="shared" si="1"/>
        <v/>
      </c>
      <c r="AH47" s="36">
        <f t="shared" si="2"/>
        <v>1.0283171521035599</v>
      </c>
    </row>
    <row r="48" spans="1:34" ht="1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29">
        <f t="shared" si="3"/>
        <v>35</v>
      </c>
      <c r="Q48" s="30" t="s">
        <v>106</v>
      </c>
      <c r="R48" s="31">
        <v>45860</v>
      </c>
      <c r="S48" s="68"/>
      <c r="T48" s="39">
        <v>120.6</v>
      </c>
      <c r="U48" s="38">
        <v>118.971</v>
      </c>
      <c r="V48" s="74"/>
      <c r="W48" s="34">
        <f t="shared" si="4"/>
        <v>118.971</v>
      </c>
      <c r="X48" s="34">
        <f t="shared" si="0"/>
        <v>0.51286095405232723</v>
      </c>
      <c r="Y48" s="35" t="str">
        <f t="shared" si="5"/>
        <v/>
      </c>
      <c r="Z48" s="36">
        <f t="shared" si="6"/>
        <v>0.98649253731343289</v>
      </c>
      <c r="AA48" s="6"/>
      <c r="AB48" s="37">
        <v>6.18</v>
      </c>
      <c r="AC48" s="38">
        <v>5.53</v>
      </c>
      <c r="AD48" s="38"/>
      <c r="AE48" s="34">
        <f t="shared" si="7"/>
        <v>5.53</v>
      </c>
      <c r="AF48" s="34">
        <f t="shared" si="8"/>
        <v>1.156694467416624</v>
      </c>
      <c r="AG48" s="35" t="str">
        <f t="shared" si="1"/>
        <v/>
      </c>
      <c r="AH48" s="36">
        <f t="shared" si="2"/>
        <v>0.89482200647249199</v>
      </c>
    </row>
    <row r="49" spans="1:34" ht="1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29">
        <f t="shared" si="3"/>
        <v>36</v>
      </c>
      <c r="Q49" s="30" t="s">
        <v>106</v>
      </c>
      <c r="R49" s="31">
        <v>45860</v>
      </c>
      <c r="S49" s="68"/>
      <c r="T49" s="39">
        <v>120.6</v>
      </c>
      <c r="U49" s="38">
        <v>96.92</v>
      </c>
      <c r="V49" s="74"/>
      <c r="W49" s="34">
        <f t="shared" si="4"/>
        <v>96.92</v>
      </c>
      <c r="X49" s="34">
        <f t="shared" si="0"/>
        <v>1.3694257805876544</v>
      </c>
      <c r="Y49" s="35" t="str">
        <f t="shared" si="5"/>
        <v/>
      </c>
      <c r="Z49" s="36">
        <f t="shared" si="6"/>
        <v>0.80364842454394703</v>
      </c>
      <c r="AA49" s="6"/>
      <c r="AB49" s="37">
        <v>6.18</v>
      </c>
      <c r="AC49" s="38">
        <v>6.226</v>
      </c>
      <c r="AD49" s="38"/>
      <c r="AE49" s="34">
        <f t="shared" si="7"/>
        <v>6.226</v>
      </c>
      <c r="AF49" s="34">
        <f t="shared" si="8"/>
        <v>0.13483559287378805</v>
      </c>
      <c r="AG49" s="35" t="str">
        <f t="shared" si="1"/>
        <v/>
      </c>
      <c r="AH49" s="36">
        <f t="shared" si="2"/>
        <v>1.0074433656957928</v>
      </c>
    </row>
    <row r="50" spans="1:34" ht="1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29">
        <f t="shared" si="3"/>
        <v>37</v>
      </c>
      <c r="Q50" s="30" t="s">
        <v>106</v>
      </c>
      <c r="R50" s="31">
        <v>45912</v>
      </c>
      <c r="S50" s="68"/>
      <c r="T50" s="39">
        <v>120.6</v>
      </c>
      <c r="U50" s="38">
        <v>108.286</v>
      </c>
      <c r="V50" s="74"/>
      <c r="W50" s="34">
        <f t="shared" si="4"/>
        <v>108.286</v>
      </c>
      <c r="X50" s="34">
        <f t="shared" si="0"/>
        <v>0.39921712674347376</v>
      </c>
      <c r="Y50" s="35" t="str">
        <f t="shared" si="5"/>
        <v/>
      </c>
      <c r="Z50" s="36">
        <f t="shared" si="6"/>
        <v>0.8978938640132671</v>
      </c>
      <c r="AA50" s="6"/>
      <c r="AB50" s="37">
        <v>6.18</v>
      </c>
      <c r="AC50" s="38">
        <v>5.6539999999999999</v>
      </c>
      <c r="AD50" s="38"/>
      <c r="AE50" s="34">
        <f t="shared" si="7"/>
        <v>5.6539999999999999</v>
      </c>
      <c r="AF50" s="34">
        <f t="shared" si="8"/>
        <v>0.97463915068772833</v>
      </c>
      <c r="AG50" s="35" t="str">
        <f t="shared" si="1"/>
        <v/>
      </c>
      <c r="AH50" s="36">
        <f t="shared" si="2"/>
        <v>0.91488673139158583</v>
      </c>
    </row>
    <row r="51" spans="1:34" ht="1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29">
        <f t="shared" si="3"/>
        <v>38</v>
      </c>
      <c r="Q51" s="30" t="s">
        <v>106</v>
      </c>
      <c r="R51" s="31">
        <v>46044</v>
      </c>
      <c r="S51" s="68"/>
      <c r="T51" s="39">
        <v>120.6</v>
      </c>
      <c r="U51" s="38">
        <v>120.863</v>
      </c>
      <c r="V51" s="74"/>
      <c r="W51" s="34">
        <f t="shared" si="4"/>
        <v>120.863</v>
      </c>
      <c r="X51" s="34">
        <f t="shared" si="0"/>
        <v>0.67436322161111528</v>
      </c>
      <c r="Y51" s="35" t="str">
        <f t="shared" si="5"/>
        <v/>
      </c>
      <c r="Z51" s="36">
        <f t="shared" si="6"/>
        <v>1.0021807628524046</v>
      </c>
      <c r="AA51" s="6"/>
      <c r="AB51" s="37">
        <v>6.18</v>
      </c>
      <c r="AC51" s="38">
        <v>5.7610000000000001</v>
      </c>
      <c r="AD51" s="38"/>
      <c r="AE51" s="34">
        <f t="shared" si="7"/>
        <v>5.7610000000000001</v>
      </c>
      <c r="AF51" s="34">
        <f t="shared" si="8"/>
        <v>0.81754303060714828</v>
      </c>
      <c r="AG51" s="35" t="str">
        <f t="shared" si="1"/>
        <v/>
      </c>
      <c r="AH51" s="36">
        <f t="shared" si="2"/>
        <v>0.93220064724919105</v>
      </c>
    </row>
    <row r="52" spans="1:34" ht="1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29">
        <f t="shared" si="3"/>
        <v>39</v>
      </c>
      <c r="Q52" s="30" t="s">
        <v>106</v>
      </c>
      <c r="R52" s="31">
        <v>46044</v>
      </c>
      <c r="S52" s="68"/>
      <c r="T52" s="39">
        <v>120.6</v>
      </c>
      <c r="U52" s="38">
        <v>140.84700000000001</v>
      </c>
      <c r="V52" s="74"/>
      <c r="W52" s="34">
        <f t="shared" si="4"/>
        <v>140.84700000000001</v>
      </c>
      <c r="X52" s="34">
        <f t="shared" si="0"/>
        <v>2.3802095825491865</v>
      </c>
      <c r="Y52" s="35">
        <f t="shared" si="5"/>
        <v>140.84700000000001</v>
      </c>
      <c r="Z52" s="36">
        <f t="shared" si="6"/>
        <v>1.1678855721393036</v>
      </c>
      <c r="AA52" s="6"/>
      <c r="AB52" s="37">
        <v>6.18</v>
      </c>
      <c r="AC52" s="38">
        <v>5.9320000000000004</v>
      </c>
      <c r="AD52" s="38"/>
      <c r="AE52" s="34">
        <f t="shared" si="7"/>
        <v>5.9320000000000004</v>
      </c>
      <c r="AF52" s="34">
        <f t="shared" si="8"/>
        <v>0.56648287608584758</v>
      </c>
      <c r="AG52" s="35" t="str">
        <f t="shared" si="1"/>
        <v/>
      </c>
      <c r="AH52" s="36">
        <f t="shared" si="2"/>
        <v>0.95987055016181244</v>
      </c>
    </row>
    <row r="53" spans="1:34" ht="1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29">
        <f t="shared" si="3"/>
        <v>40</v>
      </c>
      <c r="Q53" s="30" t="s">
        <v>106</v>
      </c>
      <c r="R53" s="31">
        <v>46048</v>
      </c>
      <c r="S53" s="68"/>
      <c r="T53" s="39">
        <v>120.6</v>
      </c>
      <c r="U53" s="38">
        <v>94.194000000000003</v>
      </c>
      <c r="V53" s="74"/>
      <c r="W53" s="34">
        <f t="shared" si="4"/>
        <v>94.194000000000003</v>
      </c>
      <c r="X53" s="34">
        <f t="shared" si="0"/>
        <v>1.6021187939942387</v>
      </c>
      <c r="Y53" s="35" t="str">
        <f t="shared" si="5"/>
        <v/>
      </c>
      <c r="Z53" s="36">
        <f t="shared" si="6"/>
        <v>0.78104477611940304</v>
      </c>
      <c r="AA53" s="6"/>
      <c r="AB53" s="37">
        <v>6.18</v>
      </c>
      <c r="AC53" s="38">
        <v>6.835</v>
      </c>
      <c r="AD53" s="38"/>
      <c r="AE53" s="34">
        <f t="shared" si="7"/>
        <v>6.835</v>
      </c>
      <c r="AF53" s="34">
        <f t="shared" si="8"/>
        <v>0.75929092235119366</v>
      </c>
      <c r="AG53" s="35" t="str">
        <f t="shared" si="1"/>
        <v/>
      </c>
      <c r="AH53" s="36">
        <f t="shared" si="2"/>
        <v>1.1059870550161812</v>
      </c>
    </row>
    <row r="54" spans="1:34" ht="1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29">
        <f t="shared" si="3"/>
        <v>41</v>
      </c>
      <c r="Q54" s="30" t="s">
        <v>106</v>
      </c>
      <c r="R54" s="31">
        <v>46048</v>
      </c>
      <c r="S54" s="68"/>
      <c r="T54" s="39">
        <v>120.6</v>
      </c>
      <c r="U54" s="38">
        <v>104.504</v>
      </c>
      <c r="V54" s="74"/>
      <c r="W54" s="34">
        <f t="shared" si="4"/>
        <v>104.504</v>
      </c>
      <c r="X54" s="34">
        <f t="shared" si="0"/>
        <v>0.72205094064798614</v>
      </c>
      <c r="Y54" s="35" t="str">
        <f t="shared" si="5"/>
        <v/>
      </c>
      <c r="Z54" s="36">
        <f t="shared" si="6"/>
        <v>0.86653399668325048</v>
      </c>
      <c r="AA54" s="6"/>
      <c r="AB54" s="37">
        <v>6.18</v>
      </c>
      <c r="AC54" s="38">
        <v>7.0970000000000004</v>
      </c>
      <c r="AD54" s="38"/>
      <c r="AE54" s="34">
        <f t="shared" si="7"/>
        <v>7.0970000000000004</v>
      </c>
      <c r="AF54" s="34">
        <f t="shared" si="8"/>
        <v>1.1439561883428941</v>
      </c>
      <c r="AG54" s="35" t="str">
        <f t="shared" si="1"/>
        <v/>
      </c>
      <c r="AH54" s="36">
        <f t="shared" si="2"/>
        <v>1.1483818770226539</v>
      </c>
    </row>
    <row r="55" spans="1:34" ht="1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29">
        <f t="shared" si="3"/>
        <v>42</v>
      </c>
      <c r="Q55" s="30" t="s">
        <v>106</v>
      </c>
      <c r="R55" s="31">
        <v>46065</v>
      </c>
      <c r="S55" s="68"/>
      <c r="T55" s="39">
        <v>120.6</v>
      </c>
      <c r="U55" s="38">
        <v>113.051</v>
      </c>
      <c r="V55" s="74"/>
      <c r="W55" s="34">
        <f t="shared" si="4"/>
        <v>113.051</v>
      </c>
      <c r="X55" s="34">
        <f t="shared" si="0"/>
        <v>7.5261633821220439E-3</v>
      </c>
      <c r="Y55" s="35" t="str">
        <f t="shared" si="5"/>
        <v/>
      </c>
      <c r="Z55" s="36">
        <f t="shared" si="6"/>
        <v>0.93740464344941965</v>
      </c>
      <c r="AA55" s="6"/>
      <c r="AB55" s="37">
        <v>6.18</v>
      </c>
      <c r="AC55" s="38">
        <v>5.9870000000000001</v>
      </c>
      <c r="AD55" s="38"/>
      <c r="AE55" s="34"/>
      <c r="AF55" s="34">
        <f t="shared" si="8"/>
        <v>0.48573253398835381</v>
      </c>
      <c r="AG55" s="35" t="str">
        <f t="shared" si="1"/>
        <v/>
      </c>
      <c r="AH55" s="36">
        <f t="shared" si="2"/>
        <v>0.96877022653721689</v>
      </c>
    </row>
    <row r="56" spans="1:34" ht="1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29" t="str">
        <f t="shared" si="3"/>
        <v/>
      </c>
      <c r="Q56" s="30"/>
      <c r="R56" s="31"/>
      <c r="S56" s="68"/>
      <c r="T56" s="39">
        <v>120.6</v>
      </c>
      <c r="U56" s="38"/>
      <c r="V56" s="74"/>
      <c r="W56" s="34" t="str">
        <f t="shared" si="4"/>
        <v>FALSE</v>
      </c>
      <c r="X56" s="34" t="str">
        <f t="shared" si="0"/>
        <v>FALSE</v>
      </c>
      <c r="Y56" s="35">
        <f t="shared" si="5"/>
        <v>0</v>
      </c>
      <c r="Z56" s="36" t="str">
        <f t="shared" si="6"/>
        <v/>
      </c>
      <c r="AA56" s="6"/>
      <c r="AB56" s="37">
        <v>6.18</v>
      </c>
      <c r="AC56" s="38"/>
      <c r="AD56" s="38"/>
      <c r="AE56" s="34"/>
      <c r="AF56" s="34" t="str">
        <f t="shared" si="8"/>
        <v>FALSE</v>
      </c>
      <c r="AG56" s="35">
        <f t="shared" si="1"/>
        <v>0</v>
      </c>
      <c r="AH56" s="36" t="str">
        <f t="shared" si="2"/>
        <v/>
      </c>
    </row>
    <row r="57" spans="1:34" ht="14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29" t="str">
        <f t="shared" si="3"/>
        <v/>
      </c>
      <c r="Q57" s="30"/>
      <c r="R57" s="31"/>
      <c r="S57" s="68"/>
      <c r="T57" s="39">
        <v>120.6</v>
      </c>
      <c r="U57" s="38"/>
      <c r="V57" s="74"/>
      <c r="W57" s="34" t="str">
        <f t="shared" si="4"/>
        <v>FALSE</v>
      </c>
      <c r="X57" s="34" t="str">
        <f t="shared" si="0"/>
        <v>FALSE</v>
      </c>
      <c r="Y57" s="35">
        <f t="shared" si="5"/>
        <v>0</v>
      </c>
      <c r="Z57" s="36" t="str">
        <f t="shared" si="6"/>
        <v/>
      </c>
      <c r="AA57" s="42"/>
      <c r="AB57" s="37">
        <v>6.18</v>
      </c>
      <c r="AC57" s="38"/>
      <c r="AD57" s="38"/>
      <c r="AE57" s="34"/>
      <c r="AF57" s="34" t="str">
        <f t="shared" si="8"/>
        <v>FALSE</v>
      </c>
      <c r="AG57" s="35">
        <f t="shared" si="1"/>
        <v>0</v>
      </c>
      <c r="AH57" s="36" t="str">
        <f t="shared" si="2"/>
        <v/>
      </c>
    </row>
    <row r="58" spans="1:34" ht="1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29" t="str">
        <f t="shared" si="3"/>
        <v/>
      </c>
      <c r="Q58" s="30"/>
      <c r="R58" s="31"/>
      <c r="S58" s="68"/>
      <c r="T58" s="40"/>
      <c r="U58" s="38"/>
      <c r="V58" s="74"/>
      <c r="W58" s="34" t="str">
        <f t="shared" si="4"/>
        <v>FALSE</v>
      </c>
      <c r="X58" s="34" t="str">
        <f t="shared" si="0"/>
        <v>FALSE</v>
      </c>
      <c r="Y58" s="35">
        <f t="shared" si="5"/>
        <v>0</v>
      </c>
      <c r="Z58" s="36" t="str">
        <f t="shared" si="6"/>
        <v/>
      </c>
      <c r="AA58" s="6"/>
      <c r="AB58" s="41"/>
      <c r="AC58" s="38"/>
      <c r="AD58" s="38"/>
      <c r="AE58" s="34"/>
      <c r="AF58" s="34" t="str">
        <f t="shared" si="8"/>
        <v>FALSE</v>
      </c>
      <c r="AG58" s="35">
        <f t="shared" si="1"/>
        <v>0</v>
      </c>
      <c r="AH58" s="36" t="str">
        <f t="shared" si="2"/>
        <v/>
      </c>
    </row>
    <row r="59" spans="1:34" ht="1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29" t="str">
        <f t="shared" si="3"/>
        <v/>
      </c>
      <c r="Q59" s="30"/>
      <c r="R59" s="31"/>
      <c r="S59" s="68"/>
      <c r="T59" s="40"/>
      <c r="U59" s="38"/>
      <c r="V59" s="74"/>
      <c r="W59" s="34" t="str">
        <f t="shared" si="4"/>
        <v>FALSE</v>
      </c>
      <c r="X59" s="34" t="str">
        <f t="shared" si="0"/>
        <v>FALSE</v>
      </c>
      <c r="Y59" s="35">
        <f t="shared" si="5"/>
        <v>0</v>
      </c>
      <c r="Z59" s="36" t="str">
        <f t="shared" si="6"/>
        <v/>
      </c>
      <c r="AA59" s="6"/>
      <c r="AB59" s="41"/>
      <c r="AC59" s="38"/>
      <c r="AD59" s="38"/>
      <c r="AE59" s="34"/>
      <c r="AF59" s="34" t="str">
        <f t="shared" si="8"/>
        <v>FALSE</v>
      </c>
      <c r="AG59" s="35">
        <f t="shared" si="1"/>
        <v>0</v>
      </c>
      <c r="AH59" s="36" t="str">
        <f t="shared" si="2"/>
        <v/>
      </c>
    </row>
    <row r="60" spans="1:34" ht="1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29" t="str">
        <f t="shared" si="3"/>
        <v/>
      </c>
      <c r="Q60" s="30"/>
      <c r="R60" s="31"/>
      <c r="S60" s="68"/>
      <c r="T60" s="40"/>
      <c r="U60" s="38"/>
      <c r="V60" s="74"/>
      <c r="W60" s="34" t="str">
        <f t="shared" si="4"/>
        <v>FALSE</v>
      </c>
      <c r="X60" s="34" t="str">
        <f t="shared" si="0"/>
        <v>FALSE</v>
      </c>
      <c r="Y60" s="35">
        <f t="shared" si="5"/>
        <v>0</v>
      </c>
      <c r="Z60" s="36" t="str">
        <f t="shared" si="6"/>
        <v/>
      </c>
      <c r="AA60" s="6"/>
      <c r="AB60" s="41"/>
      <c r="AC60" s="38"/>
      <c r="AD60" s="38"/>
      <c r="AE60" s="34"/>
      <c r="AF60" s="34" t="str">
        <f t="shared" si="8"/>
        <v>FALSE</v>
      </c>
      <c r="AG60" s="35">
        <f t="shared" si="1"/>
        <v>0</v>
      </c>
      <c r="AH60" s="36" t="str">
        <f t="shared" si="2"/>
        <v/>
      </c>
    </row>
    <row r="61" spans="1:34" ht="1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29" t="str">
        <f t="shared" si="3"/>
        <v/>
      </c>
      <c r="Q61" s="30"/>
      <c r="R61" s="31"/>
      <c r="S61" s="68"/>
      <c r="T61" s="40"/>
      <c r="U61" s="38"/>
      <c r="V61" s="74"/>
      <c r="W61" s="34" t="str">
        <f t="shared" si="4"/>
        <v>FALSE</v>
      </c>
      <c r="X61" s="34" t="str">
        <f t="shared" si="0"/>
        <v>FALSE</v>
      </c>
      <c r="Y61" s="35">
        <f t="shared" si="5"/>
        <v>0</v>
      </c>
      <c r="Z61" s="36" t="str">
        <f t="shared" si="6"/>
        <v/>
      </c>
      <c r="AA61" s="6"/>
      <c r="AB61" s="41"/>
      <c r="AC61" s="38"/>
      <c r="AD61" s="38"/>
      <c r="AE61" s="34"/>
      <c r="AF61" s="34" t="str">
        <f t="shared" si="8"/>
        <v>FALSE</v>
      </c>
      <c r="AG61" s="35">
        <f t="shared" si="1"/>
        <v>0</v>
      </c>
      <c r="AH61" s="36" t="str">
        <f t="shared" si="2"/>
        <v/>
      </c>
    </row>
    <row r="62" spans="1:34" ht="1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29" t="str">
        <f t="shared" si="3"/>
        <v/>
      </c>
      <c r="Q62" s="30"/>
      <c r="R62" s="31"/>
      <c r="S62" s="68"/>
      <c r="T62" s="40"/>
      <c r="U62" s="38"/>
      <c r="V62" s="74"/>
      <c r="W62" s="34" t="str">
        <f t="shared" si="4"/>
        <v>FALSE</v>
      </c>
      <c r="X62" s="34" t="str">
        <f t="shared" si="0"/>
        <v>FALSE</v>
      </c>
      <c r="Y62" s="35">
        <f t="shared" si="5"/>
        <v>0</v>
      </c>
      <c r="Z62" s="36" t="str">
        <f t="shared" si="6"/>
        <v/>
      </c>
      <c r="AA62" s="6"/>
      <c r="AB62" s="41"/>
      <c r="AC62" s="38"/>
      <c r="AD62" s="38"/>
      <c r="AE62" s="34"/>
      <c r="AF62" s="34" t="str">
        <f t="shared" si="8"/>
        <v>FALSE</v>
      </c>
      <c r="AG62" s="35">
        <f t="shared" si="1"/>
        <v>0</v>
      </c>
      <c r="AH62" s="36" t="str">
        <f t="shared" si="2"/>
        <v/>
      </c>
    </row>
    <row r="63" spans="1:34" ht="1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29" t="str">
        <f t="shared" si="3"/>
        <v/>
      </c>
      <c r="Q63" s="30"/>
      <c r="R63" s="31"/>
      <c r="S63" s="68"/>
      <c r="T63" s="40"/>
      <c r="U63" s="38"/>
      <c r="V63" s="74"/>
      <c r="W63" s="34" t="str">
        <f t="shared" si="4"/>
        <v>FALSE</v>
      </c>
      <c r="X63" s="34" t="str">
        <f t="shared" si="0"/>
        <v>FALSE</v>
      </c>
      <c r="Y63" s="35">
        <f t="shared" si="5"/>
        <v>0</v>
      </c>
      <c r="Z63" s="36" t="str">
        <f t="shared" si="6"/>
        <v/>
      </c>
      <c r="AA63" s="6"/>
      <c r="AB63" s="41"/>
      <c r="AC63" s="38"/>
      <c r="AD63" s="38"/>
      <c r="AE63" s="34"/>
      <c r="AF63" s="34" t="str">
        <f t="shared" si="8"/>
        <v>FALSE</v>
      </c>
      <c r="AG63" s="35">
        <f t="shared" si="1"/>
        <v>0</v>
      </c>
      <c r="AH63" s="36" t="str">
        <f t="shared" si="2"/>
        <v/>
      </c>
    </row>
    <row r="64" spans="1:34" ht="1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29" t="str">
        <f t="shared" si="3"/>
        <v/>
      </c>
      <c r="Q64" s="30"/>
      <c r="R64" s="31"/>
      <c r="S64" s="68"/>
      <c r="T64" s="40"/>
      <c r="U64" s="38"/>
      <c r="V64" s="74"/>
      <c r="W64" s="34" t="str">
        <f t="shared" si="4"/>
        <v>FALSE</v>
      </c>
      <c r="X64" s="34" t="str">
        <f t="shared" si="0"/>
        <v>FALSE</v>
      </c>
      <c r="Y64" s="35">
        <f t="shared" si="5"/>
        <v>0</v>
      </c>
      <c r="Z64" s="36" t="str">
        <f t="shared" si="6"/>
        <v/>
      </c>
      <c r="AA64" s="6"/>
      <c r="AB64" s="41"/>
      <c r="AC64" s="38"/>
      <c r="AD64" s="38"/>
      <c r="AE64" s="34"/>
      <c r="AF64" s="34" t="str">
        <f t="shared" si="8"/>
        <v>FALSE</v>
      </c>
      <c r="AG64" s="35">
        <f t="shared" si="1"/>
        <v>0</v>
      </c>
      <c r="AH64" s="36" t="str">
        <f t="shared" si="2"/>
        <v/>
      </c>
    </row>
    <row r="65" spans="1:34" ht="1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29" t="str">
        <f t="shared" si="3"/>
        <v/>
      </c>
      <c r="Q65" s="30"/>
      <c r="R65" s="31"/>
      <c r="S65" s="68"/>
      <c r="T65" s="40"/>
      <c r="U65" s="38"/>
      <c r="V65" s="74"/>
      <c r="W65" s="34" t="str">
        <f t="shared" si="4"/>
        <v>FALSE</v>
      </c>
      <c r="X65" s="34" t="str">
        <f t="shared" si="0"/>
        <v>FALSE</v>
      </c>
      <c r="Y65" s="35">
        <f t="shared" si="5"/>
        <v>0</v>
      </c>
      <c r="Z65" s="36" t="str">
        <f t="shared" si="6"/>
        <v/>
      </c>
      <c r="AA65" s="6"/>
      <c r="AB65" s="41"/>
      <c r="AC65" s="38"/>
      <c r="AD65" s="38"/>
      <c r="AE65" s="34"/>
      <c r="AF65" s="34" t="str">
        <f t="shared" si="8"/>
        <v>FALSE</v>
      </c>
      <c r="AG65" s="35">
        <f t="shared" si="1"/>
        <v>0</v>
      </c>
      <c r="AH65" s="36" t="str">
        <f t="shared" si="2"/>
        <v/>
      </c>
    </row>
    <row r="66" spans="1:34" ht="1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29" t="str">
        <f t="shared" si="3"/>
        <v/>
      </c>
      <c r="Q66" s="30"/>
      <c r="R66" s="31"/>
      <c r="S66" s="68"/>
      <c r="T66" s="40"/>
      <c r="U66" s="38"/>
      <c r="V66" s="74"/>
      <c r="W66" s="34" t="str">
        <f t="shared" si="4"/>
        <v>FALSE</v>
      </c>
      <c r="X66" s="34" t="str">
        <f t="shared" si="0"/>
        <v>FALSE</v>
      </c>
      <c r="Y66" s="35">
        <f t="shared" si="5"/>
        <v>0</v>
      </c>
      <c r="Z66" s="36" t="str">
        <f t="shared" si="6"/>
        <v/>
      </c>
      <c r="AA66" s="6"/>
      <c r="AB66" s="41"/>
      <c r="AC66" s="38"/>
      <c r="AD66" s="38"/>
      <c r="AE66" s="34"/>
      <c r="AF66" s="34" t="str">
        <f t="shared" si="8"/>
        <v>FALSE</v>
      </c>
      <c r="AG66" s="35">
        <f t="shared" si="1"/>
        <v>0</v>
      </c>
      <c r="AH66" s="36" t="str">
        <f t="shared" si="2"/>
        <v/>
      </c>
    </row>
    <row r="67" spans="1:34" ht="1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29" t="str">
        <f t="shared" si="3"/>
        <v/>
      </c>
      <c r="Q67" s="30"/>
      <c r="R67" s="31"/>
      <c r="S67" s="68"/>
      <c r="T67" s="40"/>
      <c r="U67" s="38"/>
      <c r="V67" s="74"/>
      <c r="W67" s="34" t="str">
        <f t="shared" si="4"/>
        <v>FALSE</v>
      </c>
      <c r="X67" s="34" t="str">
        <f t="shared" si="0"/>
        <v>FALSE</v>
      </c>
      <c r="Y67" s="35">
        <f t="shared" si="5"/>
        <v>0</v>
      </c>
      <c r="Z67" s="36" t="str">
        <f t="shared" si="6"/>
        <v/>
      </c>
      <c r="AA67" s="6"/>
      <c r="AB67" s="41"/>
      <c r="AC67" s="38"/>
      <c r="AD67" s="38"/>
      <c r="AE67" s="34"/>
      <c r="AF67" s="34" t="str">
        <f t="shared" si="8"/>
        <v>FALSE</v>
      </c>
      <c r="AG67" s="35">
        <f t="shared" si="1"/>
        <v>0</v>
      </c>
      <c r="AH67" s="36" t="str">
        <f t="shared" si="2"/>
        <v/>
      </c>
    </row>
    <row r="68" spans="1:34" ht="1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29" t="str">
        <f t="shared" si="3"/>
        <v/>
      </c>
      <c r="Q68" s="30"/>
      <c r="R68" s="31"/>
      <c r="S68" s="68"/>
      <c r="T68" s="40"/>
      <c r="U68" s="38"/>
      <c r="V68" s="74"/>
      <c r="W68" s="34" t="str">
        <f t="shared" si="4"/>
        <v>FALSE</v>
      </c>
      <c r="X68" s="34" t="str">
        <f t="shared" si="0"/>
        <v>FALSE</v>
      </c>
      <c r="Y68" s="35">
        <f t="shared" si="5"/>
        <v>0</v>
      </c>
      <c r="Z68" s="36" t="str">
        <f t="shared" si="6"/>
        <v/>
      </c>
      <c r="AA68" s="6"/>
      <c r="AB68" s="41"/>
      <c r="AC68" s="38"/>
      <c r="AD68" s="38"/>
      <c r="AE68" s="34"/>
      <c r="AF68" s="34" t="str">
        <f t="shared" si="8"/>
        <v>FALSE</v>
      </c>
      <c r="AG68" s="35">
        <f t="shared" si="1"/>
        <v>0</v>
      </c>
      <c r="AH68" s="36" t="str">
        <f t="shared" si="2"/>
        <v/>
      </c>
    </row>
    <row r="69" spans="1:34" ht="1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29" t="str">
        <f t="shared" si="3"/>
        <v/>
      </c>
      <c r="Q69" s="30"/>
      <c r="R69" s="31"/>
      <c r="S69" s="68"/>
      <c r="T69" s="40"/>
      <c r="U69" s="38"/>
      <c r="V69" s="74"/>
      <c r="W69" s="34" t="str">
        <f t="shared" si="4"/>
        <v>FALSE</v>
      </c>
      <c r="X69" s="34" t="str">
        <f t="shared" si="0"/>
        <v>FALSE</v>
      </c>
      <c r="Y69" s="35">
        <f t="shared" si="5"/>
        <v>0</v>
      </c>
      <c r="Z69" s="36" t="str">
        <f t="shared" si="6"/>
        <v/>
      </c>
      <c r="AA69" s="6"/>
      <c r="AB69" s="41"/>
      <c r="AC69" s="38"/>
      <c r="AD69" s="38"/>
      <c r="AE69" s="34"/>
      <c r="AF69" s="34" t="str">
        <f t="shared" si="8"/>
        <v>FALSE</v>
      </c>
      <c r="AG69" s="35">
        <f t="shared" si="1"/>
        <v>0</v>
      </c>
      <c r="AH69" s="36" t="str">
        <f t="shared" si="2"/>
        <v/>
      </c>
    </row>
    <row r="70" spans="1:34" ht="1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29" t="str">
        <f t="shared" si="3"/>
        <v/>
      </c>
      <c r="Q70" s="30"/>
      <c r="R70" s="31"/>
      <c r="S70" s="68"/>
      <c r="T70" s="40"/>
      <c r="U70" s="38"/>
      <c r="V70" s="74"/>
      <c r="W70" s="34" t="str">
        <f t="shared" si="4"/>
        <v>FALSE</v>
      </c>
      <c r="X70" s="34" t="str">
        <f t="shared" si="0"/>
        <v>FALSE</v>
      </c>
      <c r="Y70" s="35">
        <f t="shared" si="5"/>
        <v>0</v>
      </c>
      <c r="Z70" s="36" t="str">
        <f t="shared" si="6"/>
        <v/>
      </c>
      <c r="AA70" s="6"/>
      <c r="AB70" s="41"/>
      <c r="AC70" s="38"/>
      <c r="AD70" s="38"/>
      <c r="AE70" s="34"/>
      <c r="AF70" s="34" t="str">
        <f t="shared" si="8"/>
        <v>FALSE</v>
      </c>
      <c r="AG70" s="35">
        <f t="shared" si="1"/>
        <v>0</v>
      </c>
      <c r="AH70" s="36" t="str">
        <f t="shared" si="2"/>
        <v/>
      </c>
    </row>
    <row r="71" spans="1:34" ht="1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29" t="str">
        <f t="shared" si="3"/>
        <v/>
      </c>
      <c r="Q71" s="30"/>
      <c r="R71" s="31"/>
      <c r="S71" s="68"/>
      <c r="T71" s="40"/>
      <c r="U71" s="38"/>
      <c r="V71" s="74"/>
      <c r="W71" s="34" t="str">
        <f t="shared" si="4"/>
        <v>FALSE</v>
      </c>
      <c r="X71" s="34" t="str">
        <f t="shared" si="0"/>
        <v>FALSE</v>
      </c>
      <c r="Y71" s="35">
        <f t="shared" si="5"/>
        <v>0</v>
      </c>
      <c r="Z71" s="36" t="str">
        <f t="shared" si="6"/>
        <v/>
      </c>
      <c r="AA71" s="6"/>
      <c r="AB71" s="41"/>
      <c r="AC71" s="38"/>
      <c r="AD71" s="38"/>
      <c r="AE71" s="34"/>
      <c r="AF71" s="34" t="str">
        <f t="shared" si="8"/>
        <v>FALSE</v>
      </c>
      <c r="AG71" s="35">
        <f t="shared" si="1"/>
        <v>0</v>
      </c>
      <c r="AH71" s="36" t="str">
        <f t="shared" si="2"/>
        <v/>
      </c>
    </row>
    <row r="72" spans="1:34" ht="1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29" t="str">
        <f t="shared" si="3"/>
        <v/>
      </c>
      <c r="Q72" s="30"/>
      <c r="R72" s="31"/>
      <c r="S72" s="68"/>
      <c r="T72" s="40"/>
      <c r="U72" s="38"/>
      <c r="V72" s="74"/>
      <c r="W72" s="34" t="str">
        <f t="shared" si="4"/>
        <v>FALSE</v>
      </c>
      <c r="X72" s="34" t="str">
        <f t="shared" si="0"/>
        <v>FALSE</v>
      </c>
      <c r="Y72" s="35">
        <f t="shared" si="5"/>
        <v>0</v>
      </c>
      <c r="Z72" s="36" t="str">
        <f t="shared" si="6"/>
        <v/>
      </c>
      <c r="AA72" s="6"/>
      <c r="AB72" s="41"/>
      <c r="AC72" s="38"/>
      <c r="AD72" s="38"/>
      <c r="AE72" s="34"/>
      <c r="AF72" s="34" t="str">
        <f t="shared" si="8"/>
        <v>FALSE</v>
      </c>
      <c r="AG72" s="35">
        <f t="shared" si="1"/>
        <v>0</v>
      </c>
      <c r="AH72" s="36" t="str">
        <f t="shared" si="2"/>
        <v/>
      </c>
    </row>
    <row r="73" spans="1:34" ht="1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29" t="str">
        <f t="shared" si="3"/>
        <v/>
      </c>
      <c r="Q73" s="30"/>
      <c r="R73" s="31"/>
      <c r="S73" s="68"/>
      <c r="T73" s="40"/>
      <c r="U73" s="38"/>
      <c r="V73" s="74"/>
      <c r="W73" s="34" t="str">
        <f t="shared" si="4"/>
        <v>FALSE</v>
      </c>
      <c r="X73" s="34" t="str">
        <f t="shared" si="0"/>
        <v>FALSE</v>
      </c>
      <c r="Y73" s="35">
        <f t="shared" si="5"/>
        <v>0</v>
      </c>
      <c r="Z73" s="36" t="str">
        <f t="shared" si="6"/>
        <v/>
      </c>
      <c r="AA73" s="6"/>
      <c r="AB73" s="41"/>
      <c r="AC73" s="38"/>
      <c r="AD73" s="38"/>
      <c r="AE73" s="34"/>
      <c r="AF73" s="34" t="str">
        <f t="shared" si="8"/>
        <v>FALSE</v>
      </c>
      <c r="AG73" s="35">
        <f t="shared" si="1"/>
        <v>0</v>
      </c>
      <c r="AH73" s="36" t="str">
        <f t="shared" si="2"/>
        <v/>
      </c>
    </row>
    <row r="74" spans="1:34" ht="1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29" t="str">
        <f t="shared" si="3"/>
        <v/>
      </c>
      <c r="Q74" s="30"/>
      <c r="R74" s="31"/>
      <c r="S74" s="68"/>
      <c r="T74" s="40"/>
      <c r="U74" s="38"/>
      <c r="V74" s="74"/>
      <c r="W74" s="34" t="str">
        <f t="shared" si="4"/>
        <v>FALSE</v>
      </c>
      <c r="X74" s="34" t="str">
        <f t="shared" si="0"/>
        <v>FALSE</v>
      </c>
      <c r="Y74" s="35">
        <f t="shared" si="5"/>
        <v>0</v>
      </c>
      <c r="Z74" s="36" t="str">
        <f t="shared" si="6"/>
        <v/>
      </c>
      <c r="AA74" s="6"/>
      <c r="AB74" s="41"/>
      <c r="AC74" s="38"/>
      <c r="AD74" s="38"/>
      <c r="AE74" s="34"/>
      <c r="AF74" s="34" t="str">
        <f t="shared" si="8"/>
        <v>FALSE</v>
      </c>
      <c r="AG74" s="35">
        <f t="shared" si="1"/>
        <v>0</v>
      </c>
      <c r="AH74" s="36" t="str">
        <f t="shared" si="2"/>
        <v/>
      </c>
    </row>
    <row r="75" spans="1:34" ht="1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29" t="str">
        <f t="shared" si="3"/>
        <v/>
      </c>
      <c r="Q75" s="30"/>
      <c r="R75" s="31"/>
      <c r="S75" s="68"/>
      <c r="T75" s="40"/>
      <c r="U75" s="38"/>
      <c r="V75" s="74"/>
      <c r="W75" s="34" t="str">
        <f t="shared" si="4"/>
        <v>FALSE</v>
      </c>
      <c r="X75" s="34" t="str">
        <f t="shared" si="0"/>
        <v>FALSE</v>
      </c>
      <c r="Y75" s="35">
        <f t="shared" si="5"/>
        <v>0</v>
      </c>
      <c r="Z75" s="36" t="str">
        <f t="shared" si="6"/>
        <v/>
      </c>
      <c r="AA75" s="6"/>
      <c r="AB75" s="41"/>
      <c r="AC75" s="38"/>
      <c r="AD75" s="38"/>
      <c r="AE75" s="34"/>
      <c r="AF75" s="34" t="str">
        <f t="shared" si="8"/>
        <v>FALSE</v>
      </c>
      <c r="AG75" s="35">
        <f t="shared" si="1"/>
        <v>0</v>
      </c>
      <c r="AH75" s="36" t="str">
        <f t="shared" si="2"/>
        <v/>
      </c>
    </row>
    <row r="76" spans="1:34" ht="1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29" t="str">
        <f t="shared" si="3"/>
        <v/>
      </c>
      <c r="Q76" s="30"/>
      <c r="R76" s="31"/>
      <c r="S76" s="68"/>
      <c r="T76" s="40"/>
      <c r="U76" s="38"/>
      <c r="V76" s="74"/>
      <c r="W76" s="34" t="str">
        <f t="shared" si="4"/>
        <v>FALSE</v>
      </c>
      <c r="X76" s="34" t="str">
        <f t="shared" si="0"/>
        <v>FALSE</v>
      </c>
      <c r="Y76" s="35">
        <f t="shared" si="5"/>
        <v>0</v>
      </c>
      <c r="Z76" s="36" t="str">
        <f t="shared" si="6"/>
        <v/>
      </c>
      <c r="AA76" s="6"/>
      <c r="AB76" s="41"/>
      <c r="AC76" s="38"/>
      <c r="AD76" s="38"/>
      <c r="AE76" s="34"/>
      <c r="AF76" s="34" t="str">
        <f t="shared" si="8"/>
        <v>FALSE</v>
      </c>
      <c r="AG76" s="35">
        <f t="shared" si="1"/>
        <v>0</v>
      </c>
      <c r="AH76" s="36" t="str">
        <f t="shared" si="2"/>
        <v/>
      </c>
    </row>
    <row r="77" spans="1:34" ht="1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29" t="str">
        <f t="shared" si="3"/>
        <v/>
      </c>
      <c r="Q77" s="30"/>
      <c r="R77" s="31"/>
      <c r="S77" s="68"/>
      <c r="T77" s="40"/>
      <c r="U77" s="38"/>
      <c r="V77" s="74"/>
      <c r="W77" s="34" t="str">
        <f t="shared" si="4"/>
        <v>FALSE</v>
      </c>
      <c r="X77" s="34" t="str">
        <f t="shared" si="0"/>
        <v>FALSE</v>
      </c>
      <c r="Y77" s="35">
        <f t="shared" si="5"/>
        <v>0</v>
      </c>
      <c r="Z77" s="36" t="str">
        <f t="shared" si="6"/>
        <v/>
      </c>
      <c r="AA77" s="6"/>
      <c r="AB77" s="41"/>
      <c r="AC77" s="38"/>
      <c r="AD77" s="38"/>
      <c r="AE77" s="34"/>
      <c r="AF77" s="34" t="str">
        <f t="shared" si="8"/>
        <v>FALSE</v>
      </c>
      <c r="AG77" s="35">
        <f t="shared" si="1"/>
        <v>0</v>
      </c>
      <c r="AH77" s="36" t="str">
        <f t="shared" si="2"/>
        <v/>
      </c>
    </row>
    <row r="78" spans="1:34" ht="1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29" t="str">
        <f t="shared" si="3"/>
        <v/>
      </c>
      <c r="Q78" s="30"/>
      <c r="R78" s="31"/>
      <c r="S78" s="68"/>
      <c r="T78" s="40"/>
      <c r="U78" s="38"/>
      <c r="V78" s="74"/>
      <c r="W78" s="34" t="str">
        <f t="shared" si="4"/>
        <v>FALSE</v>
      </c>
      <c r="X78" s="34" t="str">
        <f t="shared" ref="X78:X120" si="9">IF(U78="","FALSE",ABS((U78-AVERAGE($U$14:$U$120))/_xlfn.STDEV.S($U$14:$U$104)))</f>
        <v>FALSE</v>
      </c>
      <c r="Y78" s="35">
        <f t="shared" si="5"/>
        <v>0</v>
      </c>
      <c r="Z78" s="36" t="str">
        <f t="shared" si="6"/>
        <v/>
      </c>
      <c r="AA78" s="6"/>
      <c r="AB78" s="41"/>
      <c r="AC78" s="38"/>
      <c r="AD78" s="38"/>
      <c r="AE78" s="34"/>
      <c r="AF78" s="34" t="str">
        <f t="shared" si="8"/>
        <v>FALSE</v>
      </c>
      <c r="AG78" s="35">
        <f t="shared" ref="AG78:AG120" si="10">IF(OR(AC78&gt;$AG$11,AC78&lt;$AF$11),AC78,"")</f>
        <v>0</v>
      </c>
      <c r="AH78" s="36" t="str">
        <f t="shared" ref="AH78:AH120" si="11">IF(AC78="","",AC78/AB78)</f>
        <v/>
      </c>
    </row>
    <row r="79" spans="1:34" ht="1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29" t="str">
        <f t="shared" ref="P79:P120" si="12">IF(R79&lt;&gt;"",P78+1,"")</f>
        <v/>
      </c>
      <c r="Q79" s="30"/>
      <c r="R79" s="31"/>
      <c r="S79" s="68"/>
      <c r="T79" s="40"/>
      <c r="U79" s="38"/>
      <c r="V79" s="74"/>
      <c r="W79" s="34" t="str">
        <f t="shared" ref="W79:W120" si="13">IF(X79&gt;3,"FALSE",U79)</f>
        <v>FALSE</v>
      </c>
      <c r="X79" s="34" t="str">
        <f t="shared" si="9"/>
        <v>FALSE</v>
      </c>
      <c r="Y79" s="35">
        <f t="shared" ref="Y79:Y120" si="14">IF(OR(U79&gt;$Y$11,U79&lt;$X$11),U79,"")</f>
        <v>0</v>
      </c>
      <c r="Z79" s="36" t="str">
        <f t="shared" ref="Z79:Z120" si="15">IF(U79="","",U79/T79)</f>
        <v/>
      </c>
      <c r="AA79" s="6"/>
      <c r="AB79" s="41"/>
      <c r="AC79" s="38"/>
      <c r="AD79" s="38"/>
      <c r="AE79" s="34"/>
      <c r="AF79" s="34" t="str">
        <f t="shared" ref="AF79:AF120" si="16">IF(AC79="","FALSE",ABS((AC79-AVERAGE($AC$14:$AC$120))/_xlfn.STDEV.S($AC$14:$AC$104)))</f>
        <v>FALSE</v>
      </c>
      <c r="AG79" s="35">
        <f t="shared" si="10"/>
        <v>0</v>
      </c>
      <c r="AH79" s="36" t="str">
        <f t="shared" si="11"/>
        <v/>
      </c>
    </row>
    <row r="80" spans="1:34" ht="1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29" t="str">
        <f t="shared" si="12"/>
        <v/>
      </c>
      <c r="Q80" s="30"/>
      <c r="R80" s="31"/>
      <c r="S80" s="68"/>
      <c r="T80" s="40"/>
      <c r="U80" s="38"/>
      <c r="V80" s="74"/>
      <c r="W80" s="34" t="str">
        <f t="shared" si="13"/>
        <v>FALSE</v>
      </c>
      <c r="X80" s="34" t="str">
        <f t="shared" si="9"/>
        <v>FALSE</v>
      </c>
      <c r="Y80" s="35">
        <f t="shared" si="14"/>
        <v>0</v>
      </c>
      <c r="Z80" s="36" t="str">
        <f t="shared" si="15"/>
        <v/>
      </c>
      <c r="AA80" s="6"/>
      <c r="AB80" s="41"/>
      <c r="AC80" s="38"/>
      <c r="AD80" s="38"/>
      <c r="AE80" s="34"/>
      <c r="AF80" s="34" t="str">
        <f t="shared" si="16"/>
        <v>FALSE</v>
      </c>
      <c r="AG80" s="35">
        <f t="shared" si="10"/>
        <v>0</v>
      </c>
      <c r="AH80" s="36" t="str">
        <f t="shared" si="11"/>
        <v/>
      </c>
    </row>
    <row r="81" spans="1:34" ht="1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29" t="str">
        <f t="shared" si="12"/>
        <v/>
      </c>
      <c r="Q81" s="30"/>
      <c r="R81" s="31"/>
      <c r="S81" s="68"/>
      <c r="T81" s="40"/>
      <c r="U81" s="38"/>
      <c r="V81" s="74"/>
      <c r="W81" s="34" t="str">
        <f t="shared" si="13"/>
        <v>FALSE</v>
      </c>
      <c r="X81" s="34" t="str">
        <f t="shared" si="9"/>
        <v>FALSE</v>
      </c>
      <c r="Y81" s="35">
        <f t="shared" si="14"/>
        <v>0</v>
      </c>
      <c r="Z81" s="36" t="str">
        <f t="shared" si="15"/>
        <v/>
      </c>
      <c r="AA81" s="6"/>
      <c r="AB81" s="41"/>
      <c r="AC81" s="38"/>
      <c r="AD81" s="38"/>
      <c r="AE81" s="34"/>
      <c r="AF81" s="34" t="str">
        <f t="shared" si="16"/>
        <v>FALSE</v>
      </c>
      <c r="AG81" s="35">
        <f t="shared" si="10"/>
        <v>0</v>
      </c>
      <c r="AH81" s="36" t="str">
        <f t="shared" si="11"/>
        <v/>
      </c>
    </row>
    <row r="82" spans="1:34" ht="1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29" t="str">
        <f t="shared" si="12"/>
        <v/>
      </c>
      <c r="Q82" s="30"/>
      <c r="R82" s="31"/>
      <c r="S82" s="68"/>
      <c r="T82" s="40"/>
      <c r="U82" s="38"/>
      <c r="V82" s="74"/>
      <c r="W82" s="34" t="str">
        <f t="shared" si="13"/>
        <v>FALSE</v>
      </c>
      <c r="X82" s="34" t="str">
        <f t="shared" si="9"/>
        <v>FALSE</v>
      </c>
      <c r="Y82" s="35">
        <f t="shared" si="14"/>
        <v>0</v>
      </c>
      <c r="Z82" s="36" t="str">
        <f t="shared" si="15"/>
        <v/>
      </c>
      <c r="AA82" s="6"/>
      <c r="AB82" s="41"/>
      <c r="AC82" s="38"/>
      <c r="AD82" s="38"/>
      <c r="AE82" s="34"/>
      <c r="AF82" s="34" t="str">
        <f t="shared" si="16"/>
        <v>FALSE</v>
      </c>
      <c r="AG82" s="35">
        <f t="shared" si="10"/>
        <v>0</v>
      </c>
      <c r="AH82" s="36" t="str">
        <f t="shared" si="11"/>
        <v/>
      </c>
    </row>
    <row r="83" spans="1:34" ht="1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29" t="str">
        <f t="shared" si="12"/>
        <v/>
      </c>
      <c r="Q83" s="30"/>
      <c r="R83" s="31"/>
      <c r="S83" s="68"/>
      <c r="T83" s="40"/>
      <c r="U83" s="38"/>
      <c r="V83" s="74"/>
      <c r="W83" s="34" t="str">
        <f t="shared" si="13"/>
        <v>FALSE</v>
      </c>
      <c r="X83" s="34" t="str">
        <f t="shared" si="9"/>
        <v>FALSE</v>
      </c>
      <c r="Y83" s="35">
        <f t="shared" si="14"/>
        <v>0</v>
      </c>
      <c r="Z83" s="36" t="str">
        <f t="shared" si="15"/>
        <v/>
      </c>
      <c r="AA83" s="6"/>
      <c r="AB83" s="41"/>
      <c r="AC83" s="38"/>
      <c r="AD83" s="38"/>
      <c r="AE83" s="34"/>
      <c r="AF83" s="34" t="str">
        <f t="shared" si="16"/>
        <v>FALSE</v>
      </c>
      <c r="AG83" s="35">
        <f t="shared" si="10"/>
        <v>0</v>
      </c>
      <c r="AH83" s="36" t="str">
        <f t="shared" si="11"/>
        <v/>
      </c>
    </row>
    <row r="84" spans="1:34" ht="1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29" t="str">
        <f t="shared" si="12"/>
        <v/>
      </c>
      <c r="Q84" s="30"/>
      <c r="R84" s="31"/>
      <c r="S84" s="68"/>
      <c r="T84" s="40"/>
      <c r="U84" s="38"/>
      <c r="V84" s="74"/>
      <c r="W84" s="34" t="str">
        <f t="shared" si="13"/>
        <v>FALSE</v>
      </c>
      <c r="X84" s="34" t="str">
        <f t="shared" si="9"/>
        <v>FALSE</v>
      </c>
      <c r="Y84" s="35">
        <f t="shared" si="14"/>
        <v>0</v>
      </c>
      <c r="Z84" s="36" t="str">
        <f t="shared" si="15"/>
        <v/>
      </c>
      <c r="AA84" s="6"/>
      <c r="AB84" s="41"/>
      <c r="AC84" s="38"/>
      <c r="AD84" s="38"/>
      <c r="AE84" s="34"/>
      <c r="AF84" s="34" t="str">
        <f t="shared" si="16"/>
        <v>FALSE</v>
      </c>
      <c r="AG84" s="35">
        <f t="shared" si="10"/>
        <v>0</v>
      </c>
      <c r="AH84" s="36" t="str">
        <f t="shared" si="11"/>
        <v/>
      </c>
    </row>
    <row r="85" spans="1:34" ht="1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29" t="str">
        <f t="shared" si="12"/>
        <v/>
      </c>
      <c r="Q85" s="30"/>
      <c r="R85" s="31"/>
      <c r="S85" s="68"/>
      <c r="T85" s="40"/>
      <c r="U85" s="38"/>
      <c r="V85" s="74"/>
      <c r="W85" s="34" t="str">
        <f t="shared" si="13"/>
        <v>FALSE</v>
      </c>
      <c r="X85" s="34" t="str">
        <f t="shared" si="9"/>
        <v>FALSE</v>
      </c>
      <c r="Y85" s="35">
        <f t="shared" si="14"/>
        <v>0</v>
      </c>
      <c r="Z85" s="36" t="str">
        <f t="shared" si="15"/>
        <v/>
      </c>
      <c r="AA85" s="6"/>
      <c r="AB85" s="41"/>
      <c r="AC85" s="38"/>
      <c r="AD85" s="38"/>
      <c r="AE85" s="34"/>
      <c r="AF85" s="34" t="str">
        <f t="shared" si="16"/>
        <v>FALSE</v>
      </c>
      <c r="AG85" s="35">
        <f t="shared" si="10"/>
        <v>0</v>
      </c>
      <c r="AH85" s="36" t="str">
        <f t="shared" si="11"/>
        <v/>
      </c>
    </row>
    <row r="86" spans="1:34" ht="1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29" t="str">
        <f t="shared" si="12"/>
        <v/>
      </c>
      <c r="Q86" s="30"/>
      <c r="R86" s="31"/>
      <c r="S86" s="68"/>
      <c r="T86" s="40"/>
      <c r="U86" s="38"/>
      <c r="V86" s="74"/>
      <c r="W86" s="34" t="str">
        <f t="shared" si="13"/>
        <v>FALSE</v>
      </c>
      <c r="X86" s="34" t="str">
        <f t="shared" si="9"/>
        <v>FALSE</v>
      </c>
      <c r="Y86" s="35">
        <f t="shared" si="14"/>
        <v>0</v>
      </c>
      <c r="Z86" s="36" t="str">
        <f t="shared" si="15"/>
        <v/>
      </c>
      <c r="AA86" s="6"/>
      <c r="AB86" s="41"/>
      <c r="AC86" s="38"/>
      <c r="AD86" s="38"/>
      <c r="AE86" s="34"/>
      <c r="AF86" s="34" t="str">
        <f t="shared" si="16"/>
        <v>FALSE</v>
      </c>
      <c r="AG86" s="35">
        <f t="shared" si="10"/>
        <v>0</v>
      </c>
      <c r="AH86" s="36" t="str">
        <f t="shared" si="11"/>
        <v/>
      </c>
    </row>
    <row r="87" spans="1:34" ht="1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29" t="str">
        <f t="shared" si="12"/>
        <v/>
      </c>
      <c r="Q87" s="30"/>
      <c r="R87" s="31"/>
      <c r="S87" s="68"/>
      <c r="T87" s="40"/>
      <c r="U87" s="38"/>
      <c r="V87" s="74"/>
      <c r="W87" s="34" t="str">
        <f t="shared" si="13"/>
        <v>FALSE</v>
      </c>
      <c r="X87" s="34" t="str">
        <f t="shared" si="9"/>
        <v>FALSE</v>
      </c>
      <c r="Y87" s="35">
        <f t="shared" si="14"/>
        <v>0</v>
      </c>
      <c r="Z87" s="36" t="str">
        <f t="shared" si="15"/>
        <v/>
      </c>
      <c r="AA87" s="6"/>
      <c r="AB87" s="41"/>
      <c r="AC87" s="38"/>
      <c r="AD87" s="38"/>
      <c r="AE87" s="34"/>
      <c r="AF87" s="34" t="str">
        <f t="shared" si="16"/>
        <v>FALSE</v>
      </c>
      <c r="AG87" s="35">
        <f t="shared" si="10"/>
        <v>0</v>
      </c>
      <c r="AH87" s="36" t="str">
        <f t="shared" si="11"/>
        <v/>
      </c>
    </row>
    <row r="88" spans="1:34" ht="1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29" t="str">
        <f t="shared" si="12"/>
        <v/>
      </c>
      <c r="Q88" s="30"/>
      <c r="R88" s="31"/>
      <c r="S88" s="68"/>
      <c r="T88" s="40"/>
      <c r="U88" s="38"/>
      <c r="V88" s="74"/>
      <c r="W88" s="34" t="str">
        <f t="shared" si="13"/>
        <v>FALSE</v>
      </c>
      <c r="X88" s="34" t="str">
        <f t="shared" si="9"/>
        <v>FALSE</v>
      </c>
      <c r="Y88" s="35">
        <f t="shared" si="14"/>
        <v>0</v>
      </c>
      <c r="Z88" s="36" t="str">
        <f t="shared" si="15"/>
        <v/>
      </c>
      <c r="AA88" s="6"/>
      <c r="AB88" s="41"/>
      <c r="AC88" s="38"/>
      <c r="AD88" s="38"/>
      <c r="AE88" s="34"/>
      <c r="AF88" s="34" t="str">
        <f t="shared" si="16"/>
        <v>FALSE</v>
      </c>
      <c r="AG88" s="35">
        <f t="shared" si="10"/>
        <v>0</v>
      </c>
      <c r="AH88" s="36" t="str">
        <f t="shared" si="11"/>
        <v/>
      </c>
    </row>
    <row r="89" spans="1:34" ht="1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29" t="str">
        <f t="shared" si="12"/>
        <v/>
      </c>
      <c r="Q89" s="30"/>
      <c r="R89" s="31"/>
      <c r="S89" s="68"/>
      <c r="T89" s="40"/>
      <c r="U89" s="38"/>
      <c r="V89" s="74"/>
      <c r="W89" s="34" t="str">
        <f t="shared" si="13"/>
        <v>FALSE</v>
      </c>
      <c r="X89" s="34" t="str">
        <f t="shared" si="9"/>
        <v>FALSE</v>
      </c>
      <c r="Y89" s="35">
        <f t="shared" si="14"/>
        <v>0</v>
      </c>
      <c r="Z89" s="36" t="str">
        <f t="shared" si="15"/>
        <v/>
      </c>
      <c r="AA89" s="6"/>
      <c r="AB89" s="41"/>
      <c r="AC89" s="38"/>
      <c r="AD89" s="38"/>
      <c r="AE89" s="34"/>
      <c r="AF89" s="34" t="str">
        <f t="shared" si="16"/>
        <v>FALSE</v>
      </c>
      <c r="AG89" s="35">
        <f t="shared" si="10"/>
        <v>0</v>
      </c>
      <c r="AH89" s="36" t="str">
        <f t="shared" si="11"/>
        <v/>
      </c>
    </row>
    <row r="90" spans="1:34" ht="1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29" t="str">
        <f t="shared" si="12"/>
        <v/>
      </c>
      <c r="Q90" s="30"/>
      <c r="R90" s="31"/>
      <c r="S90" s="68"/>
      <c r="T90" s="40"/>
      <c r="U90" s="38"/>
      <c r="V90" s="74"/>
      <c r="W90" s="34" t="str">
        <f t="shared" si="13"/>
        <v>FALSE</v>
      </c>
      <c r="X90" s="34" t="str">
        <f t="shared" si="9"/>
        <v>FALSE</v>
      </c>
      <c r="Y90" s="35">
        <f t="shared" si="14"/>
        <v>0</v>
      </c>
      <c r="Z90" s="36" t="str">
        <f t="shared" si="15"/>
        <v/>
      </c>
      <c r="AA90" s="6"/>
      <c r="AB90" s="41"/>
      <c r="AC90" s="38"/>
      <c r="AD90" s="38"/>
      <c r="AE90" s="34"/>
      <c r="AF90" s="34" t="str">
        <f t="shared" si="16"/>
        <v>FALSE</v>
      </c>
      <c r="AG90" s="35">
        <f t="shared" si="10"/>
        <v>0</v>
      </c>
      <c r="AH90" s="36" t="str">
        <f t="shared" si="11"/>
        <v/>
      </c>
    </row>
    <row r="91" spans="1:34" ht="1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29" t="str">
        <f t="shared" si="12"/>
        <v/>
      </c>
      <c r="Q91" s="30"/>
      <c r="R91" s="31"/>
      <c r="S91" s="68"/>
      <c r="T91" s="40"/>
      <c r="U91" s="38"/>
      <c r="V91" s="74"/>
      <c r="W91" s="34" t="str">
        <f t="shared" si="13"/>
        <v>FALSE</v>
      </c>
      <c r="X91" s="34" t="str">
        <f t="shared" si="9"/>
        <v>FALSE</v>
      </c>
      <c r="Y91" s="35">
        <f t="shared" si="14"/>
        <v>0</v>
      </c>
      <c r="Z91" s="36" t="str">
        <f t="shared" si="15"/>
        <v/>
      </c>
      <c r="AA91" s="6"/>
      <c r="AB91" s="41"/>
      <c r="AC91" s="38"/>
      <c r="AD91" s="38"/>
      <c r="AE91" s="34"/>
      <c r="AF91" s="34" t="str">
        <f t="shared" si="16"/>
        <v>FALSE</v>
      </c>
      <c r="AG91" s="35">
        <f t="shared" si="10"/>
        <v>0</v>
      </c>
      <c r="AH91" s="36" t="str">
        <f t="shared" si="11"/>
        <v/>
      </c>
    </row>
    <row r="92" spans="1:34" ht="1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29" t="str">
        <f t="shared" si="12"/>
        <v/>
      </c>
      <c r="Q92" s="30"/>
      <c r="R92" s="31"/>
      <c r="S92" s="68"/>
      <c r="T92" s="40"/>
      <c r="U92" s="38"/>
      <c r="V92" s="74"/>
      <c r="W92" s="34" t="str">
        <f t="shared" si="13"/>
        <v>FALSE</v>
      </c>
      <c r="X92" s="34" t="str">
        <f t="shared" si="9"/>
        <v>FALSE</v>
      </c>
      <c r="Y92" s="35">
        <f t="shared" si="14"/>
        <v>0</v>
      </c>
      <c r="Z92" s="36" t="str">
        <f t="shared" si="15"/>
        <v/>
      </c>
      <c r="AA92" s="6"/>
      <c r="AB92" s="41"/>
      <c r="AC92" s="38"/>
      <c r="AD92" s="38"/>
      <c r="AE92" s="34"/>
      <c r="AF92" s="34" t="str">
        <f t="shared" si="16"/>
        <v>FALSE</v>
      </c>
      <c r="AG92" s="35">
        <f t="shared" si="10"/>
        <v>0</v>
      </c>
      <c r="AH92" s="36" t="str">
        <f t="shared" si="11"/>
        <v/>
      </c>
    </row>
    <row r="93" spans="1:34" ht="1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29" t="str">
        <f t="shared" si="12"/>
        <v/>
      </c>
      <c r="Q93" s="30"/>
      <c r="R93" s="31"/>
      <c r="S93" s="68"/>
      <c r="T93" s="40"/>
      <c r="U93" s="38"/>
      <c r="V93" s="74"/>
      <c r="W93" s="34" t="str">
        <f t="shared" si="13"/>
        <v>FALSE</v>
      </c>
      <c r="X93" s="34" t="str">
        <f t="shared" si="9"/>
        <v>FALSE</v>
      </c>
      <c r="Y93" s="35">
        <f t="shared" si="14"/>
        <v>0</v>
      </c>
      <c r="Z93" s="36" t="str">
        <f t="shared" si="15"/>
        <v/>
      </c>
      <c r="AA93" s="6"/>
      <c r="AB93" s="41"/>
      <c r="AC93" s="38"/>
      <c r="AD93" s="38"/>
      <c r="AE93" s="34"/>
      <c r="AF93" s="34" t="str">
        <f t="shared" si="16"/>
        <v>FALSE</v>
      </c>
      <c r="AG93" s="35">
        <f t="shared" si="10"/>
        <v>0</v>
      </c>
      <c r="AH93" s="36" t="str">
        <f t="shared" si="11"/>
        <v/>
      </c>
    </row>
    <row r="94" spans="1:34" ht="1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29" t="str">
        <f t="shared" si="12"/>
        <v/>
      </c>
      <c r="Q94" s="30"/>
      <c r="R94" s="31"/>
      <c r="S94" s="68"/>
      <c r="T94" s="40"/>
      <c r="U94" s="38"/>
      <c r="V94" s="74"/>
      <c r="W94" s="34" t="str">
        <f t="shared" si="13"/>
        <v>FALSE</v>
      </c>
      <c r="X94" s="34" t="str">
        <f t="shared" si="9"/>
        <v>FALSE</v>
      </c>
      <c r="Y94" s="35">
        <f t="shared" si="14"/>
        <v>0</v>
      </c>
      <c r="Z94" s="36" t="str">
        <f t="shared" si="15"/>
        <v/>
      </c>
      <c r="AA94" s="6"/>
      <c r="AB94" s="41"/>
      <c r="AC94" s="38"/>
      <c r="AD94" s="38"/>
      <c r="AE94" s="34"/>
      <c r="AF94" s="34" t="str">
        <f t="shared" si="16"/>
        <v>FALSE</v>
      </c>
      <c r="AG94" s="35">
        <f t="shared" si="10"/>
        <v>0</v>
      </c>
      <c r="AH94" s="36" t="str">
        <f t="shared" si="11"/>
        <v/>
      </c>
    </row>
    <row r="95" spans="1:34" ht="1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29" t="str">
        <f t="shared" si="12"/>
        <v/>
      </c>
      <c r="Q95" s="30"/>
      <c r="R95" s="31"/>
      <c r="S95" s="68"/>
      <c r="T95" s="40"/>
      <c r="U95" s="38"/>
      <c r="V95" s="74"/>
      <c r="W95" s="34" t="str">
        <f t="shared" si="13"/>
        <v>FALSE</v>
      </c>
      <c r="X95" s="34" t="str">
        <f t="shared" si="9"/>
        <v>FALSE</v>
      </c>
      <c r="Y95" s="35">
        <f t="shared" si="14"/>
        <v>0</v>
      </c>
      <c r="Z95" s="36" t="str">
        <f t="shared" si="15"/>
        <v/>
      </c>
      <c r="AA95" s="6"/>
      <c r="AB95" s="41"/>
      <c r="AC95" s="38"/>
      <c r="AD95" s="38"/>
      <c r="AE95" s="34"/>
      <c r="AF95" s="34" t="str">
        <f t="shared" si="16"/>
        <v>FALSE</v>
      </c>
      <c r="AG95" s="35">
        <f t="shared" si="10"/>
        <v>0</v>
      </c>
      <c r="AH95" s="36" t="str">
        <f t="shared" si="11"/>
        <v/>
      </c>
    </row>
    <row r="96" spans="1:34" ht="1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29" t="str">
        <f t="shared" si="12"/>
        <v/>
      </c>
      <c r="Q96" s="30"/>
      <c r="R96" s="31"/>
      <c r="S96" s="68"/>
      <c r="T96" s="40"/>
      <c r="U96" s="38"/>
      <c r="V96" s="74"/>
      <c r="W96" s="34" t="str">
        <f t="shared" si="13"/>
        <v>FALSE</v>
      </c>
      <c r="X96" s="34" t="str">
        <f t="shared" si="9"/>
        <v>FALSE</v>
      </c>
      <c r="Y96" s="35">
        <f t="shared" si="14"/>
        <v>0</v>
      </c>
      <c r="Z96" s="36" t="str">
        <f t="shared" si="15"/>
        <v/>
      </c>
      <c r="AA96" s="6"/>
      <c r="AB96" s="41"/>
      <c r="AC96" s="38"/>
      <c r="AD96" s="38"/>
      <c r="AE96" s="34"/>
      <c r="AF96" s="34" t="str">
        <f t="shared" si="16"/>
        <v>FALSE</v>
      </c>
      <c r="AG96" s="35">
        <f t="shared" si="10"/>
        <v>0</v>
      </c>
      <c r="AH96" s="36" t="str">
        <f t="shared" si="11"/>
        <v/>
      </c>
    </row>
    <row r="97" spans="1:34" ht="1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29" t="str">
        <f t="shared" si="12"/>
        <v/>
      </c>
      <c r="Q97" s="30"/>
      <c r="R97" s="31"/>
      <c r="S97" s="68"/>
      <c r="T97" s="40"/>
      <c r="U97" s="38"/>
      <c r="V97" s="74"/>
      <c r="W97" s="34" t="str">
        <f t="shared" si="13"/>
        <v>FALSE</v>
      </c>
      <c r="X97" s="34" t="str">
        <f t="shared" si="9"/>
        <v>FALSE</v>
      </c>
      <c r="Y97" s="35">
        <f t="shared" si="14"/>
        <v>0</v>
      </c>
      <c r="Z97" s="36" t="str">
        <f t="shared" si="15"/>
        <v/>
      </c>
      <c r="AA97" s="6"/>
      <c r="AB97" s="41"/>
      <c r="AC97" s="38"/>
      <c r="AD97" s="38"/>
      <c r="AE97" s="34"/>
      <c r="AF97" s="34" t="str">
        <f t="shared" si="16"/>
        <v>FALSE</v>
      </c>
      <c r="AG97" s="35">
        <f t="shared" si="10"/>
        <v>0</v>
      </c>
      <c r="AH97" s="36" t="str">
        <f t="shared" si="11"/>
        <v/>
      </c>
    </row>
    <row r="98" spans="1:34" ht="1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29" t="str">
        <f t="shared" si="12"/>
        <v/>
      </c>
      <c r="Q98" s="30"/>
      <c r="R98" s="31"/>
      <c r="S98" s="68"/>
      <c r="T98" s="40"/>
      <c r="U98" s="38"/>
      <c r="V98" s="74"/>
      <c r="W98" s="34" t="str">
        <f t="shared" si="13"/>
        <v>FALSE</v>
      </c>
      <c r="X98" s="34" t="str">
        <f t="shared" si="9"/>
        <v>FALSE</v>
      </c>
      <c r="Y98" s="35">
        <f t="shared" si="14"/>
        <v>0</v>
      </c>
      <c r="Z98" s="36" t="str">
        <f t="shared" si="15"/>
        <v/>
      </c>
      <c r="AA98" s="6"/>
      <c r="AB98" s="41"/>
      <c r="AC98" s="38"/>
      <c r="AD98" s="38"/>
      <c r="AE98" s="34"/>
      <c r="AF98" s="34" t="str">
        <f t="shared" si="16"/>
        <v>FALSE</v>
      </c>
      <c r="AG98" s="35">
        <f t="shared" si="10"/>
        <v>0</v>
      </c>
      <c r="AH98" s="36" t="str">
        <f t="shared" si="11"/>
        <v/>
      </c>
    </row>
    <row r="99" spans="1:34" ht="1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29" t="str">
        <f t="shared" si="12"/>
        <v/>
      </c>
      <c r="Q99" s="30"/>
      <c r="R99" s="31"/>
      <c r="S99" s="68"/>
      <c r="T99" s="40"/>
      <c r="U99" s="38"/>
      <c r="V99" s="74"/>
      <c r="W99" s="34" t="str">
        <f t="shared" si="13"/>
        <v>FALSE</v>
      </c>
      <c r="X99" s="34" t="str">
        <f t="shared" si="9"/>
        <v>FALSE</v>
      </c>
      <c r="Y99" s="35">
        <f t="shared" si="14"/>
        <v>0</v>
      </c>
      <c r="Z99" s="36" t="str">
        <f t="shared" si="15"/>
        <v/>
      </c>
      <c r="AA99" s="6"/>
      <c r="AB99" s="41"/>
      <c r="AC99" s="38"/>
      <c r="AD99" s="38"/>
      <c r="AE99" s="34"/>
      <c r="AF99" s="34" t="str">
        <f t="shared" si="16"/>
        <v>FALSE</v>
      </c>
      <c r="AG99" s="35">
        <f t="shared" si="10"/>
        <v>0</v>
      </c>
      <c r="AH99" s="36" t="str">
        <f t="shared" si="11"/>
        <v/>
      </c>
    </row>
    <row r="100" spans="1:34" ht="1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29" t="str">
        <f t="shared" si="12"/>
        <v/>
      </c>
      <c r="Q100" s="30"/>
      <c r="R100" s="31"/>
      <c r="S100" s="68"/>
      <c r="T100" s="40"/>
      <c r="U100" s="38"/>
      <c r="V100" s="74"/>
      <c r="W100" s="34" t="str">
        <f t="shared" si="13"/>
        <v>FALSE</v>
      </c>
      <c r="X100" s="34" t="str">
        <f t="shared" si="9"/>
        <v>FALSE</v>
      </c>
      <c r="Y100" s="35">
        <f t="shared" si="14"/>
        <v>0</v>
      </c>
      <c r="Z100" s="36" t="str">
        <f t="shared" si="15"/>
        <v/>
      </c>
      <c r="AA100" s="6"/>
      <c r="AB100" s="41"/>
      <c r="AC100" s="38"/>
      <c r="AD100" s="38"/>
      <c r="AE100" s="34"/>
      <c r="AF100" s="34" t="str">
        <f t="shared" si="16"/>
        <v>FALSE</v>
      </c>
      <c r="AG100" s="35">
        <f t="shared" si="10"/>
        <v>0</v>
      </c>
      <c r="AH100" s="36" t="str">
        <f t="shared" si="11"/>
        <v/>
      </c>
    </row>
    <row r="101" spans="1:34" ht="1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29" t="str">
        <f t="shared" si="12"/>
        <v/>
      </c>
      <c r="Q101" s="30"/>
      <c r="R101" s="31"/>
      <c r="S101" s="68"/>
      <c r="T101" s="40"/>
      <c r="U101" s="38"/>
      <c r="V101" s="74"/>
      <c r="W101" s="34" t="str">
        <f t="shared" si="13"/>
        <v>FALSE</v>
      </c>
      <c r="X101" s="34" t="str">
        <f t="shared" si="9"/>
        <v>FALSE</v>
      </c>
      <c r="Y101" s="35">
        <f t="shared" si="14"/>
        <v>0</v>
      </c>
      <c r="Z101" s="36" t="str">
        <f t="shared" si="15"/>
        <v/>
      </c>
      <c r="AA101" s="6"/>
      <c r="AB101" s="41"/>
      <c r="AC101" s="38"/>
      <c r="AD101" s="38"/>
      <c r="AE101" s="34"/>
      <c r="AF101" s="34" t="str">
        <f t="shared" si="16"/>
        <v>FALSE</v>
      </c>
      <c r="AG101" s="35">
        <f t="shared" si="10"/>
        <v>0</v>
      </c>
      <c r="AH101" s="36" t="str">
        <f t="shared" si="11"/>
        <v/>
      </c>
    </row>
    <row r="102" spans="1:34" ht="1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29" t="str">
        <f t="shared" si="12"/>
        <v/>
      </c>
      <c r="Q102" s="30"/>
      <c r="R102" s="31"/>
      <c r="S102" s="68"/>
      <c r="T102" s="40"/>
      <c r="U102" s="38"/>
      <c r="V102" s="74"/>
      <c r="W102" s="34" t="str">
        <f t="shared" si="13"/>
        <v>FALSE</v>
      </c>
      <c r="X102" s="34" t="str">
        <f t="shared" si="9"/>
        <v>FALSE</v>
      </c>
      <c r="Y102" s="35">
        <f t="shared" si="14"/>
        <v>0</v>
      </c>
      <c r="Z102" s="36" t="str">
        <f t="shared" si="15"/>
        <v/>
      </c>
      <c r="AA102" s="6"/>
      <c r="AB102" s="41"/>
      <c r="AC102" s="38"/>
      <c r="AD102" s="38"/>
      <c r="AE102" s="34"/>
      <c r="AF102" s="34" t="str">
        <f t="shared" si="16"/>
        <v>FALSE</v>
      </c>
      <c r="AG102" s="35">
        <f t="shared" si="10"/>
        <v>0</v>
      </c>
      <c r="AH102" s="36" t="str">
        <f t="shared" si="11"/>
        <v/>
      </c>
    </row>
    <row r="103" spans="1:34" ht="1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29" t="str">
        <f t="shared" si="12"/>
        <v/>
      </c>
      <c r="Q103" s="30"/>
      <c r="R103" s="31"/>
      <c r="S103" s="68"/>
      <c r="T103" s="40"/>
      <c r="U103" s="38"/>
      <c r="V103" s="74"/>
      <c r="W103" s="34" t="str">
        <f t="shared" si="13"/>
        <v>FALSE</v>
      </c>
      <c r="X103" s="34" t="str">
        <f t="shared" si="9"/>
        <v>FALSE</v>
      </c>
      <c r="Y103" s="35">
        <f t="shared" si="14"/>
        <v>0</v>
      </c>
      <c r="Z103" s="36" t="str">
        <f t="shared" si="15"/>
        <v/>
      </c>
      <c r="AA103" s="6"/>
      <c r="AB103" s="41"/>
      <c r="AC103" s="38"/>
      <c r="AD103" s="38"/>
      <c r="AE103" s="34"/>
      <c r="AF103" s="34" t="str">
        <f t="shared" si="16"/>
        <v>FALSE</v>
      </c>
      <c r="AG103" s="35">
        <f t="shared" si="10"/>
        <v>0</v>
      </c>
      <c r="AH103" s="36" t="str">
        <f t="shared" si="11"/>
        <v/>
      </c>
    </row>
    <row r="104" spans="1:34" ht="1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29" t="str">
        <f t="shared" si="12"/>
        <v/>
      </c>
      <c r="Q104" s="30"/>
      <c r="R104" s="31"/>
      <c r="S104" s="68"/>
      <c r="T104" s="40"/>
      <c r="U104" s="38"/>
      <c r="V104" s="74"/>
      <c r="W104" s="34" t="str">
        <f t="shared" si="13"/>
        <v>FALSE</v>
      </c>
      <c r="X104" s="34" t="str">
        <f t="shared" si="9"/>
        <v>FALSE</v>
      </c>
      <c r="Y104" s="35">
        <f t="shared" si="14"/>
        <v>0</v>
      </c>
      <c r="Z104" s="36" t="str">
        <f t="shared" si="15"/>
        <v/>
      </c>
      <c r="AA104" s="6"/>
      <c r="AB104" s="41"/>
      <c r="AC104" s="38"/>
      <c r="AD104" s="38"/>
      <c r="AE104" s="34"/>
      <c r="AF104" s="34" t="str">
        <f t="shared" si="16"/>
        <v>FALSE</v>
      </c>
      <c r="AG104" s="35">
        <f t="shared" si="10"/>
        <v>0</v>
      </c>
      <c r="AH104" s="36" t="str">
        <f t="shared" si="11"/>
        <v/>
      </c>
    </row>
    <row r="105" spans="1:34" ht="1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29" t="str">
        <f t="shared" si="12"/>
        <v/>
      </c>
      <c r="Q105" s="30"/>
      <c r="R105" s="31"/>
      <c r="S105" s="68"/>
      <c r="T105" s="40"/>
      <c r="U105" s="38"/>
      <c r="V105" s="74"/>
      <c r="W105" s="34" t="str">
        <f t="shared" si="13"/>
        <v>FALSE</v>
      </c>
      <c r="X105" s="34" t="str">
        <f t="shared" si="9"/>
        <v>FALSE</v>
      </c>
      <c r="Y105" s="35">
        <f t="shared" si="14"/>
        <v>0</v>
      </c>
      <c r="Z105" s="36" t="str">
        <f t="shared" si="15"/>
        <v/>
      </c>
      <c r="AA105" s="6"/>
      <c r="AB105" s="41"/>
      <c r="AC105" s="38"/>
      <c r="AD105" s="38"/>
      <c r="AE105" s="34"/>
      <c r="AF105" s="34" t="str">
        <f t="shared" si="16"/>
        <v>FALSE</v>
      </c>
      <c r="AG105" s="35">
        <f t="shared" si="10"/>
        <v>0</v>
      </c>
      <c r="AH105" s="36" t="str">
        <f t="shared" si="11"/>
        <v/>
      </c>
    </row>
    <row r="106" spans="1:34" ht="1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29" t="str">
        <f t="shared" si="12"/>
        <v/>
      </c>
      <c r="Q106" s="30"/>
      <c r="R106" s="31"/>
      <c r="S106" s="68"/>
      <c r="T106" s="40"/>
      <c r="U106" s="38"/>
      <c r="V106" s="74"/>
      <c r="W106" s="34" t="str">
        <f t="shared" si="13"/>
        <v>FALSE</v>
      </c>
      <c r="X106" s="34" t="str">
        <f t="shared" si="9"/>
        <v>FALSE</v>
      </c>
      <c r="Y106" s="35">
        <f t="shared" si="14"/>
        <v>0</v>
      </c>
      <c r="Z106" s="36" t="str">
        <f t="shared" si="15"/>
        <v/>
      </c>
      <c r="AA106" s="6"/>
      <c r="AB106" s="41"/>
      <c r="AC106" s="38"/>
      <c r="AD106" s="38"/>
      <c r="AE106" s="34"/>
      <c r="AF106" s="34" t="str">
        <f t="shared" si="16"/>
        <v>FALSE</v>
      </c>
      <c r="AG106" s="35">
        <f t="shared" si="10"/>
        <v>0</v>
      </c>
      <c r="AH106" s="36" t="str">
        <f t="shared" si="11"/>
        <v/>
      </c>
    </row>
    <row r="107" spans="1:34" ht="1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29" t="str">
        <f t="shared" si="12"/>
        <v/>
      </c>
      <c r="Q107" s="30"/>
      <c r="R107" s="31"/>
      <c r="S107" s="68"/>
      <c r="T107" s="40"/>
      <c r="U107" s="38"/>
      <c r="V107" s="74"/>
      <c r="W107" s="34" t="str">
        <f t="shared" si="13"/>
        <v>FALSE</v>
      </c>
      <c r="X107" s="34" t="str">
        <f t="shared" si="9"/>
        <v>FALSE</v>
      </c>
      <c r="Y107" s="35">
        <f t="shared" si="14"/>
        <v>0</v>
      </c>
      <c r="Z107" s="36" t="str">
        <f t="shared" si="15"/>
        <v/>
      </c>
      <c r="AA107" s="6"/>
      <c r="AB107" s="41"/>
      <c r="AC107" s="38"/>
      <c r="AD107" s="38"/>
      <c r="AE107" s="34"/>
      <c r="AF107" s="34" t="str">
        <f t="shared" si="16"/>
        <v>FALSE</v>
      </c>
      <c r="AG107" s="35">
        <f t="shared" si="10"/>
        <v>0</v>
      </c>
      <c r="AH107" s="36" t="str">
        <f t="shared" si="11"/>
        <v/>
      </c>
    </row>
    <row r="108" spans="1:34" ht="1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29" t="str">
        <f t="shared" si="12"/>
        <v/>
      </c>
      <c r="Q108" s="30"/>
      <c r="R108" s="31"/>
      <c r="S108" s="68"/>
      <c r="T108" s="40"/>
      <c r="U108" s="38"/>
      <c r="V108" s="74"/>
      <c r="W108" s="34" t="str">
        <f t="shared" si="13"/>
        <v>FALSE</v>
      </c>
      <c r="X108" s="34" t="str">
        <f t="shared" si="9"/>
        <v>FALSE</v>
      </c>
      <c r="Y108" s="35">
        <f t="shared" si="14"/>
        <v>0</v>
      </c>
      <c r="Z108" s="36" t="str">
        <f t="shared" si="15"/>
        <v/>
      </c>
      <c r="AA108" s="6"/>
      <c r="AB108" s="41"/>
      <c r="AC108" s="38"/>
      <c r="AD108" s="38"/>
      <c r="AE108" s="34"/>
      <c r="AF108" s="34" t="str">
        <f t="shared" si="16"/>
        <v>FALSE</v>
      </c>
      <c r="AG108" s="35">
        <f t="shared" si="10"/>
        <v>0</v>
      </c>
      <c r="AH108" s="36" t="str">
        <f t="shared" si="11"/>
        <v/>
      </c>
    </row>
    <row r="109" spans="1:34" ht="1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29" t="str">
        <f t="shared" si="12"/>
        <v/>
      </c>
      <c r="Q109" s="30"/>
      <c r="R109" s="31"/>
      <c r="S109" s="68"/>
      <c r="T109" s="40"/>
      <c r="U109" s="38"/>
      <c r="V109" s="74"/>
      <c r="W109" s="34" t="str">
        <f t="shared" si="13"/>
        <v>FALSE</v>
      </c>
      <c r="X109" s="34" t="str">
        <f t="shared" si="9"/>
        <v>FALSE</v>
      </c>
      <c r="Y109" s="35">
        <f t="shared" si="14"/>
        <v>0</v>
      </c>
      <c r="Z109" s="36" t="str">
        <f t="shared" si="15"/>
        <v/>
      </c>
      <c r="AA109" s="6"/>
      <c r="AB109" s="41"/>
      <c r="AC109" s="38"/>
      <c r="AD109" s="38"/>
      <c r="AE109" s="34"/>
      <c r="AF109" s="34" t="str">
        <f t="shared" si="16"/>
        <v>FALSE</v>
      </c>
      <c r="AG109" s="35">
        <f t="shared" si="10"/>
        <v>0</v>
      </c>
      <c r="AH109" s="36" t="str">
        <f t="shared" si="11"/>
        <v/>
      </c>
    </row>
    <row r="110" spans="1:34" ht="1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29" t="str">
        <f t="shared" si="12"/>
        <v/>
      </c>
      <c r="Q110" s="30"/>
      <c r="R110" s="31"/>
      <c r="S110" s="68"/>
      <c r="T110" s="40"/>
      <c r="U110" s="38"/>
      <c r="V110" s="74"/>
      <c r="W110" s="34" t="str">
        <f t="shared" si="13"/>
        <v>FALSE</v>
      </c>
      <c r="X110" s="34" t="str">
        <f t="shared" si="9"/>
        <v>FALSE</v>
      </c>
      <c r="Y110" s="35">
        <f t="shared" si="14"/>
        <v>0</v>
      </c>
      <c r="Z110" s="36" t="str">
        <f t="shared" si="15"/>
        <v/>
      </c>
      <c r="AA110" s="6"/>
      <c r="AB110" s="41"/>
      <c r="AC110" s="38"/>
      <c r="AD110" s="38"/>
      <c r="AE110" s="34"/>
      <c r="AF110" s="34" t="str">
        <f t="shared" si="16"/>
        <v>FALSE</v>
      </c>
      <c r="AG110" s="35">
        <f t="shared" si="10"/>
        <v>0</v>
      </c>
      <c r="AH110" s="36" t="str">
        <f t="shared" si="11"/>
        <v/>
      </c>
    </row>
    <row r="111" spans="1:34" ht="1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29" t="str">
        <f t="shared" si="12"/>
        <v/>
      </c>
      <c r="Q111" s="30"/>
      <c r="R111" s="31"/>
      <c r="S111" s="68"/>
      <c r="T111" s="40"/>
      <c r="U111" s="38"/>
      <c r="V111" s="74"/>
      <c r="W111" s="34" t="str">
        <f t="shared" si="13"/>
        <v>FALSE</v>
      </c>
      <c r="X111" s="34" t="str">
        <f t="shared" si="9"/>
        <v>FALSE</v>
      </c>
      <c r="Y111" s="35">
        <f t="shared" si="14"/>
        <v>0</v>
      </c>
      <c r="Z111" s="36" t="str">
        <f t="shared" si="15"/>
        <v/>
      </c>
      <c r="AA111" s="6"/>
      <c r="AB111" s="41"/>
      <c r="AC111" s="38"/>
      <c r="AD111" s="38"/>
      <c r="AE111" s="34"/>
      <c r="AF111" s="34" t="str">
        <f t="shared" si="16"/>
        <v>FALSE</v>
      </c>
      <c r="AG111" s="35">
        <f t="shared" si="10"/>
        <v>0</v>
      </c>
      <c r="AH111" s="36" t="str">
        <f t="shared" si="11"/>
        <v/>
      </c>
    </row>
    <row r="112" spans="1:34" ht="1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29" t="str">
        <f t="shared" si="12"/>
        <v/>
      </c>
      <c r="Q112" s="30"/>
      <c r="R112" s="31"/>
      <c r="S112" s="68"/>
      <c r="T112" s="40"/>
      <c r="U112" s="38"/>
      <c r="V112" s="74"/>
      <c r="W112" s="34" t="str">
        <f t="shared" si="13"/>
        <v>FALSE</v>
      </c>
      <c r="X112" s="34" t="str">
        <f t="shared" si="9"/>
        <v>FALSE</v>
      </c>
      <c r="Y112" s="35">
        <f t="shared" si="14"/>
        <v>0</v>
      </c>
      <c r="Z112" s="36" t="str">
        <f t="shared" si="15"/>
        <v/>
      </c>
      <c r="AA112" s="6"/>
      <c r="AB112" s="41"/>
      <c r="AC112" s="38"/>
      <c r="AD112" s="38"/>
      <c r="AE112" s="34"/>
      <c r="AF112" s="34" t="str">
        <f t="shared" si="16"/>
        <v>FALSE</v>
      </c>
      <c r="AG112" s="35">
        <f t="shared" si="10"/>
        <v>0</v>
      </c>
      <c r="AH112" s="36" t="str">
        <f t="shared" si="11"/>
        <v/>
      </c>
    </row>
    <row r="113" spans="1:34" ht="1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29" t="str">
        <f t="shared" si="12"/>
        <v/>
      </c>
      <c r="Q113" s="30"/>
      <c r="R113" s="31"/>
      <c r="S113" s="68"/>
      <c r="T113" s="40"/>
      <c r="U113" s="38"/>
      <c r="V113" s="74"/>
      <c r="W113" s="34" t="str">
        <f t="shared" si="13"/>
        <v>FALSE</v>
      </c>
      <c r="X113" s="34" t="str">
        <f t="shared" si="9"/>
        <v>FALSE</v>
      </c>
      <c r="Y113" s="35">
        <f t="shared" si="14"/>
        <v>0</v>
      </c>
      <c r="Z113" s="36" t="str">
        <f t="shared" si="15"/>
        <v/>
      </c>
      <c r="AA113" s="6"/>
      <c r="AB113" s="41"/>
      <c r="AC113" s="38"/>
      <c r="AD113" s="38"/>
      <c r="AE113" s="34"/>
      <c r="AF113" s="34" t="str">
        <f t="shared" si="16"/>
        <v>FALSE</v>
      </c>
      <c r="AG113" s="35">
        <f t="shared" si="10"/>
        <v>0</v>
      </c>
      <c r="AH113" s="36" t="str">
        <f t="shared" si="11"/>
        <v/>
      </c>
    </row>
    <row r="114" spans="1:34" ht="1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29" t="str">
        <f t="shared" si="12"/>
        <v/>
      </c>
      <c r="Q114" s="30"/>
      <c r="R114" s="31"/>
      <c r="S114" s="68"/>
      <c r="T114" s="40"/>
      <c r="U114" s="38"/>
      <c r="V114" s="74"/>
      <c r="W114" s="34" t="str">
        <f t="shared" si="13"/>
        <v>FALSE</v>
      </c>
      <c r="X114" s="34" t="str">
        <f t="shared" si="9"/>
        <v>FALSE</v>
      </c>
      <c r="Y114" s="35">
        <f t="shared" si="14"/>
        <v>0</v>
      </c>
      <c r="Z114" s="36" t="str">
        <f t="shared" si="15"/>
        <v/>
      </c>
      <c r="AA114" s="6"/>
      <c r="AB114" s="41"/>
      <c r="AC114" s="38"/>
      <c r="AD114" s="38"/>
      <c r="AE114" s="34"/>
      <c r="AF114" s="34" t="str">
        <f t="shared" si="16"/>
        <v>FALSE</v>
      </c>
      <c r="AG114" s="35">
        <f t="shared" si="10"/>
        <v>0</v>
      </c>
      <c r="AH114" s="36" t="str">
        <f t="shared" si="11"/>
        <v/>
      </c>
    </row>
    <row r="115" spans="1:34" ht="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29" t="str">
        <f t="shared" si="12"/>
        <v/>
      </c>
      <c r="Q115" s="30"/>
      <c r="R115" s="31"/>
      <c r="S115" s="68"/>
      <c r="T115" s="40"/>
      <c r="U115" s="38"/>
      <c r="V115" s="74"/>
      <c r="W115" s="34" t="str">
        <f t="shared" si="13"/>
        <v>FALSE</v>
      </c>
      <c r="X115" s="34" t="str">
        <f t="shared" si="9"/>
        <v>FALSE</v>
      </c>
      <c r="Y115" s="35">
        <f t="shared" si="14"/>
        <v>0</v>
      </c>
      <c r="Z115" s="36" t="str">
        <f t="shared" si="15"/>
        <v/>
      </c>
      <c r="AA115" s="6"/>
      <c r="AB115" s="41"/>
      <c r="AC115" s="38"/>
      <c r="AD115" s="38"/>
      <c r="AE115" s="34"/>
      <c r="AF115" s="34" t="str">
        <f t="shared" si="16"/>
        <v>FALSE</v>
      </c>
      <c r="AG115" s="35">
        <f t="shared" si="10"/>
        <v>0</v>
      </c>
      <c r="AH115" s="36" t="str">
        <f t="shared" si="11"/>
        <v/>
      </c>
    </row>
    <row r="116" spans="1:34" ht="1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29" t="str">
        <f t="shared" si="12"/>
        <v/>
      </c>
      <c r="Q116" s="30"/>
      <c r="R116" s="31"/>
      <c r="S116" s="68"/>
      <c r="T116" s="40"/>
      <c r="U116" s="38"/>
      <c r="V116" s="74"/>
      <c r="W116" s="34" t="str">
        <f t="shared" si="13"/>
        <v>FALSE</v>
      </c>
      <c r="X116" s="34" t="str">
        <f t="shared" si="9"/>
        <v>FALSE</v>
      </c>
      <c r="Y116" s="35">
        <f t="shared" si="14"/>
        <v>0</v>
      </c>
      <c r="Z116" s="36" t="str">
        <f t="shared" si="15"/>
        <v/>
      </c>
      <c r="AA116" s="6"/>
      <c r="AB116" s="41"/>
      <c r="AC116" s="38"/>
      <c r="AD116" s="38"/>
      <c r="AE116" s="34"/>
      <c r="AF116" s="34" t="str">
        <f t="shared" si="16"/>
        <v>FALSE</v>
      </c>
      <c r="AG116" s="35">
        <f t="shared" si="10"/>
        <v>0</v>
      </c>
      <c r="AH116" s="36" t="str">
        <f t="shared" si="11"/>
        <v/>
      </c>
    </row>
    <row r="117" spans="1:34" ht="1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29" t="str">
        <f t="shared" si="12"/>
        <v/>
      </c>
      <c r="Q117" s="30"/>
      <c r="R117" s="31"/>
      <c r="S117" s="68"/>
      <c r="T117" s="40"/>
      <c r="U117" s="38"/>
      <c r="V117" s="74"/>
      <c r="W117" s="34" t="str">
        <f t="shared" si="13"/>
        <v>FALSE</v>
      </c>
      <c r="X117" s="34" t="str">
        <f t="shared" si="9"/>
        <v>FALSE</v>
      </c>
      <c r="Y117" s="35">
        <f t="shared" si="14"/>
        <v>0</v>
      </c>
      <c r="Z117" s="36" t="str">
        <f t="shared" si="15"/>
        <v/>
      </c>
      <c r="AA117" s="6"/>
      <c r="AB117" s="41"/>
      <c r="AC117" s="38"/>
      <c r="AD117" s="38"/>
      <c r="AE117" s="34"/>
      <c r="AF117" s="34" t="str">
        <f t="shared" si="16"/>
        <v>FALSE</v>
      </c>
      <c r="AG117" s="35">
        <f t="shared" si="10"/>
        <v>0</v>
      </c>
      <c r="AH117" s="36" t="str">
        <f t="shared" si="11"/>
        <v/>
      </c>
    </row>
    <row r="118" spans="1:34" ht="1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29" t="str">
        <f t="shared" si="12"/>
        <v/>
      </c>
      <c r="Q118" s="30"/>
      <c r="R118" s="31"/>
      <c r="S118" s="68"/>
      <c r="T118" s="40"/>
      <c r="U118" s="38"/>
      <c r="V118" s="74"/>
      <c r="W118" s="34" t="str">
        <f t="shared" si="13"/>
        <v>FALSE</v>
      </c>
      <c r="X118" s="34" t="str">
        <f t="shared" si="9"/>
        <v>FALSE</v>
      </c>
      <c r="Y118" s="35">
        <f t="shared" si="14"/>
        <v>0</v>
      </c>
      <c r="Z118" s="36" t="str">
        <f t="shared" si="15"/>
        <v/>
      </c>
      <c r="AA118" s="6"/>
      <c r="AB118" s="41"/>
      <c r="AC118" s="38"/>
      <c r="AD118" s="38"/>
      <c r="AE118" s="34"/>
      <c r="AF118" s="34" t="str">
        <f t="shared" si="16"/>
        <v>FALSE</v>
      </c>
      <c r="AG118" s="35">
        <f t="shared" si="10"/>
        <v>0</v>
      </c>
      <c r="AH118" s="36" t="str">
        <f t="shared" si="11"/>
        <v/>
      </c>
    </row>
    <row r="119" spans="1:34" ht="1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29" t="str">
        <f t="shared" si="12"/>
        <v/>
      </c>
      <c r="Q119" s="30"/>
      <c r="R119" s="31"/>
      <c r="S119" s="68"/>
      <c r="T119" s="40"/>
      <c r="U119" s="38"/>
      <c r="V119" s="74"/>
      <c r="W119" s="34" t="str">
        <f t="shared" si="13"/>
        <v>FALSE</v>
      </c>
      <c r="X119" s="34" t="str">
        <f t="shared" si="9"/>
        <v>FALSE</v>
      </c>
      <c r="Y119" s="35">
        <f t="shared" si="14"/>
        <v>0</v>
      </c>
      <c r="Z119" s="36" t="str">
        <f t="shared" si="15"/>
        <v/>
      </c>
      <c r="AA119" s="6"/>
      <c r="AB119" s="41"/>
      <c r="AC119" s="38"/>
      <c r="AD119" s="38"/>
      <c r="AE119" s="34"/>
      <c r="AF119" s="34" t="str">
        <f t="shared" si="16"/>
        <v>FALSE</v>
      </c>
      <c r="AG119" s="35">
        <f t="shared" si="10"/>
        <v>0</v>
      </c>
      <c r="AH119" s="36" t="str">
        <f t="shared" si="11"/>
        <v/>
      </c>
    </row>
    <row r="120" spans="1:34" ht="1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29" t="str">
        <f t="shared" si="12"/>
        <v/>
      </c>
      <c r="Q120" s="30"/>
      <c r="R120" s="31"/>
      <c r="S120" s="68"/>
      <c r="T120" s="40"/>
      <c r="U120" s="38"/>
      <c r="V120" s="74"/>
      <c r="W120" s="34" t="str">
        <f t="shared" si="13"/>
        <v>FALSE</v>
      </c>
      <c r="X120" s="34" t="str">
        <f t="shared" si="9"/>
        <v>FALSE</v>
      </c>
      <c r="Y120" s="35">
        <f t="shared" si="14"/>
        <v>0</v>
      </c>
      <c r="Z120" s="36" t="str">
        <f t="shared" si="15"/>
        <v/>
      </c>
      <c r="AA120" s="6"/>
      <c r="AB120" s="41"/>
      <c r="AC120" s="38"/>
      <c r="AD120" s="38"/>
      <c r="AE120" s="34"/>
      <c r="AF120" s="34" t="str">
        <f t="shared" si="16"/>
        <v>FALSE</v>
      </c>
      <c r="AG120" s="35">
        <f t="shared" si="10"/>
        <v>0</v>
      </c>
      <c r="AH120" s="36" t="str">
        <f t="shared" si="11"/>
        <v/>
      </c>
    </row>
  </sheetData>
  <mergeCells count="11">
    <mergeCell ref="P6:U6"/>
    <mergeCell ref="X6:AA6"/>
    <mergeCell ref="Q8:Z8"/>
    <mergeCell ref="AB8:AH8"/>
    <mergeCell ref="D1:L2"/>
    <mergeCell ref="X2:AA2"/>
    <mergeCell ref="AC2:AG2"/>
    <mergeCell ref="P3:R3"/>
    <mergeCell ref="T3:U3"/>
    <mergeCell ref="X3:AA3"/>
    <mergeCell ref="AC3:AG3"/>
  </mergeCells>
  <conditionalFormatting sqref="U14:U120">
    <cfRule type="containsBlanks" dxfId="179" priority="1">
      <formula>LEN(TRIM(U14))=0</formula>
    </cfRule>
    <cfRule type="expression" dxfId="178" priority="2">
      <formula>AND(X14&gt;=2,X14&lt;3)</formula>
    </cfRule>
    <cfRule type="expression" dxfId="177" priority="3">
      <formula>X14&gt;3</formula>
    </cfRule>
  </conditionalFormatting>
  <conditionalFormatting sqref="W14:W120">
    <cfRule type="expression" dxfId="176" priority="15">
      <formula>X14="FALSE"</formula>
    </cfRule>
  </conditionalFormatting>
  <conditionalFormatting sqref="X14:X120">
    <cfRule type="expression" dxfId="175" priority="14">
      <formula>X14="FALSE"</formula>
    </cfRule>
    <cfRule type="expression" dxfId="174" priority="16">
      <formula>AND(X14&gt;2,X14&lt;3)</formula>
    </cfRule>
  </conditionalFormatting>
  <conditionalFormatting sqref="X14:Y50 X51:X120">
    <cfRule type="expression" dxfId="173" priority="20">
      <formula>X14&gt;=3</formula>
    </cfRule>
  </conditionalFormatting>
  <conditionalFormatting sqref="Y14:Y50">
    <cfRule type="expression" dxfId="172" priority="19">
      <formula>AND(X14&gt;=2,X14&lt;3)</formula>
    </cfRule>
  </conditionalFormatting>
  <conditionalFormatting sqref="Z14:Z120">
    <cfRule type="cellIs" dxfId="171" priority="17" operator="notBetween">
      <formula>0.8</formula>
      <formula>1.15</formula>
    </cfRule>
  </conditionalFormatting>
  <conditionalFormatting sqref="AC14:AC120">
    <cfRule type="containsBlanks" dxfId="170" priority="4">
      <formula>LEN(TRIM(AC14))=0</formula>
    </cfRule>
    <cfRule type="expression" dxfId="169" priority="5">
      <formula>AND(AF14&gt;=2,AF14&lt;3)</formula>
    </cfRule>
    <cfRule type="expression" dxfId="168" priority="6">
      <formula>AF14&gt;3</formula>
    </cfRule>
  </conditionalFormatting>
  <conditionalFormatting sqref="AE14:AE120">
    <cfRule type="expression" dxfId="167" priority="13">
      <formula>AF14="FALSE"</formula>
    </cfRule>
  </conditionalFormatting>
  <conditionalFormatting sqref="AF14:AF120">
    <cfRule type="expression" dxfId="166" priority="10">
      <formula>AF14="FALSE"</formula>
    </cfRule>
    <cfRule type="expression" dxfId="165" priority="11">
      <formula>AND(AF14&gt;2,AF14&lt;3)</formula>
    </cfRule>
    <cfRule type="expression" dxfId="164" priority="12">
      <formula>AF14&gt;=3</formula>
    </cfRule>
  </conditionalFormatting>
  <conditionalFormatting sqref="AG14:AG120">
    <cfRule type="expression" dxfId="163" priority="7">
      <formula>AF14=0</formula>
    </cfRule>
    <cfRule type="expression" dxfId="162" priority="8">
      <formula>AND(AF14&gt;=2,AF14&lt;3)</formula>
    </cfRule>
    <cfRule type="expression" dxfId="161" priority="9">
      <formula>AG14&gt;=3</formula>
    </cfRule>
  </conditionalFormatting>
  <conditionalFormatting sqref="AH14:AH120">
    <cfRule type="cellIs" dxfId="160" priority="18" operator="notBetween">
      <formula>0.8</formula>
      <formula>1.15</formula>
    </cfRule>
  </conditionalFormatting>
  <pageMargins left="0.4" right="0.4" top="0.4" bottom="0.4" header="0" footer="0"/>
  <pageSetup scale="10" fitToHeight="0" orientation="landscape" horizontalDpi="4294967292" verticalDpi="4294967292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CA935-A5AA-4E6A-B75A-93D192A5098F}">
  <sheetPr>
    <tabColor rgb="FFFFFFFF"/>
    <pageSetUpPr fitToPage="1"/>
  </sheetPr>
  <dimension ref="A1:AH120"/>
  <sheetViews>
    <sheetView showGridLines="0" topLeftCell="C1" zoomScale="70" zoomScaleNormal="70" workbookViewId="0">
      <selection activeCell="AD55" sqref="AD55"/>
    </sheetView>
  </sheetViews>
  <sheetFormatPr defaultColWidth="11" defaultRowHeight="13.5" customHeight="1"/>
  <cols>
    <col min="1" max="2" width="3.125" style="12" customWidth="1"/>
    <col min="3" max="8" width="11" style="12"/>
    <col min="9" max="9" width="9" style="12" customWidth="1"/>
    <col min="10" max="13" width="11" style="12"/>
    <col min="14" max="15" width="4" style="12" customWidth="1"/>
    <col min="16" max="16" width="6.125" style="43" customWidth="1"/>
    <col min="17" max="17" width="13" style="12" customWidth="1"/>
    <col min="18" max="18" width="12.875" style="44" customWidth="1"/>
    <col min="19" max="19" width="3" style="44" customWidth="1"/>
    <col min="20" max="20" width="12" style="45" customWidth="1"/>
    <col min="21" max="21" width="14.875" style="8" customWidth="1"/>
    <col min="22" max="22" width="2.375" style="12" customWidth="1"/>
    <col min="23" max="23" width="12.875" style="6" customWidth="1"/>
    <col min="24" max="24" width="11.5" style="6" customWidth="1"/>
    <col min="25" max="25" width="13" style="12" customWidth="1"/>
    <col min="26" max="26" width="11.625" style="12" customWidth="1"/>
    <col min="27" max="27" width="9.125" style="12" customWidth="1"/>
    <col min="28" max="28" width="13.375" style="8" customWidth="1"/>
    <col min="29" max="29" width="13.75" style="12" customWidth="1"/>
    <col min="30" max="30" width="2" style="12" customWidth="1"/>
    <col min="31" max="31" width="12.75" style="12" customWidth="1"/>
    <col min="32" max="32" width="12.375" style="12" customWidth="1"/>
    <col min="33" max="33" width="13.125" style="12" customWidth="1"/>
    <col min="34" max="34" width="15.25" style="12" customWidth="1"/>
    <col min="35" max="16384" width="11" style="12"/>
  </cols>
  <sheetData>
    <row r="1" spans="1:34" s="7" customFormat="1" ht="31.5" customHeight="1">
      <c r="A1" s="1"/>
      <c r="B1" s="1"/>
      <c r="C1" s="1"/>
      <c r="D1" s="162" t="s">
        <v>59</v>
      </c>
      <c r="E1" s="162"/>
      <c r="F1" s="162"/>
      <c r="G1" s="162"/>
      <c r="H1" s="162"/>
      <c r="I1" s="162"/>
      <c r="J1" s="162"/>
      <c r="K1" s="162"/>
      <c r="L1" s="162"/>
      <c r="M1" s="1"/>
      <c r="N1" s="1"/>
      <c r="O1" s="1"/>
      <c r="P1" s="2"/>
      <c r="Q1" s="3" t="s">
        <v>74</v>
      </c>
      <c r="R1" s="4"/>
      <c r="S1" s="4"/>
      <c r="T1" s="4"/>
      <c r="U1" s="5"/>
      <c r="V1" s="6"/>
      <c r="W1" s="6"/>
      <c r="X1" s="6"/>
      <c r="Y1" s="5"/>
      <c r="Z1" s="5"/>
      <c r="AA1" s="5"/>
      <c r="AB1" s="5"/>
      <c r="AC1" s="5"/>
      <c r="AD1" s="5"/>
      <c r="AE1" s="5"/>
      <c r="AF1" s="5"/>
      <c r="AG1" s="5"/>
      <c r="AH1"/>
    </row>
    <row r="2" spans="1:34" ht="15.75" customHeight="1">
      <c r="A2" s="8"/>
      <c r="B2" s="8"/>
      <c r="C2" s="8"/>
      <c r="D2" s="162"/>
      <c r="E2" s="162"/>
      <c r="F2" s="162"/>
      <c r="G2" s="162"/>
      <c r="H2" s="162"/>
      <c r="I2" s="162"/>
      <c r="J2" s="162"/>
      <c r="K2" s="162"/>
      <c r="L2" s="162"/>
      <c r="M2" s="8"/>
      <c r="N2" s="8"/>
      <c r="O2" s="8"/>
      <c r="P2" s="9"/>
      <c r="Q2" s="10" t="s">
        <v>75</v>
      </c>
      <c r="R2" s="11"/>
      <c r="S2" s="11"/>
      <c r="T2" s="10" t="s">
        <v>76</v>
      </c>
      <c r="X2" s="163" t="s">
        <v>77</v>
      </c>
      <c r="Y2" s="163"/>
      <c r="Z2" s="163"/>
      <c r="AA2" s="163"/>
      <c r="AC2" s="163" t="s">
        <v>78</v>
      </c>
      <c r="AD2" s="163"/>
      <c r="AE2" s="163"/>
      <c r="AF2" s="163"/>
      <c r="AG2" s="163"/>
      <c r="AH2"/>
    </row>
    <row r="3" spans="1:34" ht="26.2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164">
        <f>MIN(R14:R16)</f>
        <v>45677</v>
      </c>
      <c r="Q3" s="165"/>
      <c r="R3" s="166"/>
      <c r="S3" s="65"/>
      <c r="T3" s="167">
        <f>MAX(R14:R116)</f>
        <v>46065</v>
      </c>
      <c r="U3" s="168"/>
      <c r="X3" s="164" t="s">
        <v>79</v>
      </c>
      <c r="Y3" s="165"/>
      <c r="Z3" s="165"/>
      <c r="AA3" s="168"/>
      <c r="AC3" s="169" t="s">
        <v>80</v>
      </c>
      <c r="AD3" s="170"/>
      <c r="AE3" s="170"/>
      <c r="AF3" s="170"/>
      <c r="AG3" s="171"/>
      <c r="AH3"/>
    </row>
    <row r="4" spans="1:34" ht="15.7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13"/>
      <c r="Q4" s="14"/>
      <c r="R4" s="15">
        <f>MIN(P14:P120)</f>
        <v>1</v>
      </c>
      <c r="S4" s="15"/>
      <c r="T4" s="16">
        <f>MAX(P14:P120)</f>
        <v>42</v>
      </c>
      <c r="U4" s="14"/>
      <c r="V4" s="6"/>
      <c r="X4" s="14"/>
      <c r="Y4" s="14"/>
      <c r="Z4" s="14"/>
      <c r="AA4" s="14"/>
      <c r="AB4"/>
      <c r="AC4" s="14"/>
      <c r="AD4" s="14"/>
      <c r="AE4" s="14"/>
      <c r="AF4" s="14"/>
      <c r="AH4" s="8"/>
    </row>
    <row r="5" spans="1:34" ht="20.2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17"/>
      <c r="Q5" s="17" t="s">
        <v>81</v>
      </c>
      <c r="R5" s="11"/>
      <c r="S5" s="11"/>
      <c r="T5" s="18"/>
      <c r="U5" s="17"/>
      <c r="V5" s="6"/>
      <c r="X5" s="17" t="s">
        <v>82</v>
      </c>
      <c r="Y5" s="17"/>
      <c r="Z5" s="17"/>
      <c r="AA5" s="14"/>
      <c r="AB5"/>
      <c r="AC5" s="10"/>
      <c r="AD5" s="10"/>
    </row>
    <row r="6" spans="1:34" ht="25.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158" t="s">
        <v>83</v>
      </c>
      <c r="Q6" s="158"/>
      <c r="R6" s="158"/>
      <c r="S6" s="158"/>
      <c r="T6" s="158"/>
      <c r="U6" s="158"/>
      <c r="V6" s="6"/>
      <c r="X6" s="159"/>
      <c r="Y6" s="159"/>
      <c r="Z6" s="159"/>
      <c r="AA6" s="159"/>
      <c r="AB6"/>
      <c r="AC6" s="6"/>
      <c r="AD6" s="6"/>
    </row>
    <row r="7" spans="1:34" ht="23.2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19"/>
      <c r="Q7" s="20" t="s">
        <v>84</v>
      </c>
      <c r="R7" s="21"/>
      <c r="S7" s="21"/>
      <c r="T7" s="22"/>
      <c r="V7" s="8"/>
      <c r="Y7" s="8"/>
      <c r="Z7" s="8"/>
      <c r="AA7" s="8"/>
      <c r="AC7" s="8"/>
      <c r="AD7" s="8"/>
      <c r="AE7" s="8"/>
      <c r="AF7" s="8"/>
      <c r="AG7" s="8"/>
      <c r="AH7" s="8"/>
    </row>
    <row r="8" spans="1:34" ht="31.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19"/>
      <c r="Q8" s="160" t="s">
        <v>85</v>
      </c>
      <c r="R8" s="160"/>
      <c r="S8" s="160"/>
      <c r="T8" s="160"/>
      <c r="U8" s="160"/>
      <c r="V8" s="160"/>
      <c r="W8" s="160"/>
      <c r="X8" s="160"/>
      <c r="Y8" s="160"/>
      <c r="Z8" s="160"/>
      <c r="AA8" s="6"/>
      <c r="AB8" s="161" t="s">
        <v>86</v>
      </c>
      <c r="AC8" s="161"/>
      <c r="AD8" s="161"/>
      <c r="AE8" s="161"/>
      <c r="AF8" s="161"/>
      <c r="AG8" s="161"/>
      <c r="AH8" s="161"/>
    </row>
    <row r="9" spans="1:34" customFormat="1" ht="11.25" customHeight="1"/>
    <row r="10" spans="1:34" s="52" customFormat="1" ht="27.75" customHeight="1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Q10" s="73" t="s">
        <v>87</v>
      </c>
      <c r="R10" s="73" t="s">
        <v>88</v>
      </c>
      <c r="S10" s="66"/>
      <c r="T10" s="49" t="s">
        <v>89</v>
      </c>
      <c r="U10" s="46" t="s">
        <v>90</v>
      </c>
      <c r="V10" s="50"/>
      <c r="W10" s="47" t="s">
        <v>91</v>
      </c>
      <c r="X10" s="61" t="s">
        <v>92</v>
      </c>
      <c r="Y10" s="61" t="s">
        <v>93</v>
      </c>
      <c r="Z10" s="48" t="s">
        <v>94</v>
      </c>
      <c r="AA10" s="53"/>
      <c r="AB10" s="49" t="s">
        <v>95</v>
      </c>
      <c r="AC10" s="46" t="s">
        <v>90</v>
      </c>
      <c r="AE10" s="47" t="s">
        <v>91</v>
      </c>
      <c r="AF10" s="61" t="s">
        <v>92</v>
      </c>
      <c r="AG10" s="61" t="s">
        <v>93</v>
      </c>
      <c r="AH10" s="48" t="s">
        <v>94</v>
      </c>
    </row>
    <row r="11" spans="1:34" s="55" customFormat="1" ht="27.75" customHeight="1" thickBot="1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Q11" s="64">
        <f>IF(U11="","",1.15)</f>
        <v>1.1499999999999999</v>
      </c>
      <c r="R11" s="64">
        <f>IF(U11="","",0.8)</f>
        <v>0.8</v>
      </c>
      <c r="S11" s="67"/>
      <c r="T11" s="62">
        <f>_xlfn.STDEV.P($U$14:$U$120)/$U$11</f>
        <v>9.702197430754668E-2</v>
      </c>
      <c r="U11" s="63">
        <f>AVERAGE($W$14:$W$120)</f>
        <v>114.98417560975609</v>
      </c>
      <c r="V11" s="56"/>
      <c r="W11" s="60">
        <f>$U$11-(3*_xlfn.STDEV.S($W$14:$W$120))</f>
        <v>84.862897800547671</v>
      </c>
      <c r="X11" s="59">
        <f>$U$11-(2*_xlfn.STDEV.S($W$14:$W$120))</f>
        <v>94.903323736950483</v>
      </c>
      <c r="Y11" s="59">
        <f>$U$11+(2*_xlfn.STDEV.S($W$14:$W$120))</f>
        <v>135.0650274825617</v>
      </c>
      <c r="Z11" s="58">
        <f>$U$11+(3*_xlfn.STDEV.S($W$14:$W$120))</f>
        <v>145.10545341896452</v>
      </c>
      <c r="AA11" s="57"/>
      <c r="AB11" s="62">
        <f>_xlfn.STDEV.P($AC$14:$AC$120)/$AC$11</f>
        <v>0.24480886309421229</v>
      </c>
      <c r="AC11" s="63">
        <f>AVERAGE($AC$14:$AC$120)</f>
        <v>11.98074523809524</v>
      </c>
      <c r="AE11" s="60">
        <f>$AC$11-(3*_xlfn.STDEV.S($AE$14:$AE$120))</f>
        <v>3.0751092045017234</v>
      </c>
      <c r="AF11" s="59">
        <f>$AC$11-(2*_xlfn.STDEV.S($AE$14:$AE$120))</f>
        <v>6.0436545490328957</v>
      </c>
      <c r="AG11" s="59">
        <f>$AC$11+(2*_xlfn.STDEV.S($AE$14:$AE$120))</f>
        <v>17.917835927157583</v>
      </c>
      <c r="AH11" s="58">
        <f>$AC$11+(3*_xlfn.STDEV.S($AE$14:$AE$120))</f>
        <v>20.886381271688755</v>
      </c>
    </row>
    <row r="12" spans="1:34" ht="11.2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19"/>
      <c r="Q12" s="20"/>
      <c r="R12" s="21"/>
      <c r="S12" s="21"/>
      <c r="T12" s="22"/>
      <c r="V12" s="8"/>
      <c r="Y12" s="8"/>
      <c r="Z12" s="8"/>
      <c r="AA12" s="6"/>
      <c r="AC12" s="8"/>
      <c r="AD12" s="8"/>
      <c r="AE12" s="8"/>
      <c r="AF12" s="8"/>
      <c r="AG12" s="8"/>
      <c r="AH12" s="8"/>
    </row>
    <row r="13" spans="1:34" ht="4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70" t="s">
        <v>96</v>
      </c>
      <c r="Q13" s="71" t="s">
        <v>97</v>
      </c>
      <c r="R13" s="71" t="s">
        <v>98</v>
      </c>
      <c r="S13" s="69"/>
      <c r="T13" s="72" t="s">
        <v>99</v>
      </c>
      <c r="U13" s="71" t="s">
        <v>100</v>
      </c>
      <c r="V13" s="69"/>
      <c r="W13" s="75" t="s">
        <v>101</v>
      </c>
      <c r="X13" s="75" t="s">
        <v>102</v>
      </c>
      <c r="Y13" s="76" t="s">
        <v>103</v>
      </c>
      <c r="Z13" s="77" t="s">
        <v>104</v>
      </c>
      <c r="AA13" s="6"/>
      <c r="AB13" s="26" t="s">
        <v>99</v>
      </c>
      <c r="AC13" s="27" t="s">
        <v>100</v>
      </c>
      <c r="AD13" s="28"/>
      <c r="AE13" s="23" t="s">
        <v>101</v>
      </c>
      <c r="AF13" s="23" t="s">
        <v>102</v>
      </c>
      <c r="AG13" s="24" t="s">
        <v>105</v>
      </c>
      <c r="AH13" s="25" t="s">
        <v>104</v>
      </c>
    </row>
    <row r="14" spans="1:34" ht="1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29">
        <v>1</v>
      </c>
      <c r="Q14" s="30" t="s">
        <v>106</v>
      </c>
      <c r="R14" s="31">
        <v>45677</v>
      </c>
      <c r="S14" s="68"/>
      <c r="T14" s="32">
        <v>117.8</v>
      </c>
      <c r="U14" s="38">
        <v>118.252</v>
      </c>
      <c r="V14" s="74"/>
      <c r="W14" s="34">
        <f>IF(X14&gt;3,"FALSE",U14)</f>
        <v>118.252</v>
      </c>
      <c r="X14" s="34">
        <f t="shared" ref="X14:X77" si="0">IF(U14="","FALSE",ABS((U14-AVERAGE($U$14:$U$120))/_xlfn.STDEV.S($U$14:$U$104)))</f>
        <v>0.36318313324133145</v>
      </c>
      <c r="Y14" s="35" t="str">
        <f>IF(OR(U14&gt;$Y$11,U14&lt;$X$11),U14,"")</f>
        <v/>
      </c>
      <c r="Z14" s="36">
        <f>IF(U14="","",U14/T14)</f>
        <v>1.0038370118845501</v>
      </c>
      <c r="AA14" s="6"/>
      <c r="AB14" s="37">
        <v>12.01</v>
      </c>
      <c r="AC14" s="38">
        <v>18.401</v>
      </c>
      <c r="AD14" s="38"/>
      <c r="AE14" s="34">
        <f>IF(AF14&gt;3,"FALSE",AC14)</f>
        <v>18.401</v>
      </c>
      <c r="AF14" s="34">
        <f>IF(AC14="","FALSE",ABS((AC14-AVERAGE($AC$14:$AC$120))/_xlfn.STDEV.S($AC$14:$AC$104)))</f>
        <v>2.1627612236857114</v>
      </c>
      <c r="AG14" s="35">
        <f t="shared" ref="AG14:AG77" si="1">IF(OR(AC14&gt;$AG$11,AC14&lt;$AF$11),AC14,"")</f>
        <v>18.401</v>
      </c>
      <c r="AH14" s="36">
        <f t="shared" ref="AH14:AH77" si="2">IF(AC14="","",AC14/AB14)</f>
        <v>1.5321398834304747</v>
      </c>
    </row>
    <row r="15" spans="1:34" ht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29">
        <f t="shared" ref="P15:P78" si="3">IF(R15&lt;&gt;"",P14+1,"")</f>
        <v>2</v>
      </c>
      <c r="Q15" s="30" t="s">
        <v>106</v>
      </c>
      <c r="R15" s="31">
        <v>45677</v>
      </c>
      <c r="S15" s="68"/>
      <c r="T15" s="32">
        <v>117.8</v>
      </c>
      <c r="U15" s="38">
        <v>112.706</v>
      </c>
      <c r="V15" s="74"/>
      <c r="W15" s="34">
        <f t="shared" ref="W15:W78" si="4">IF(X15&gt;3,"FALSE",U15)</f>
        <v>112.706</v>
      </c>
      <c r="X15" s="34">
        <f t="shared" si="0"/>
        <v>0.12799493267973508</v>
      </c>
      <c r="Y15" s="35" t="str">
        <f t="shared" ref="Y15:Y78" si="5">IF(OR(U15&gt;$Y$11,U15&lt;$X$11),U15,"")</f>
        <v/>
      </c>
      <c r="Z15" s="36">
        <f t="shared" ref="Z15:Z78" si="6">IF(U15="","",U15/T15)</f>
        <v>0.9567572156196944</v>
      </c>
      <c r="AA15" s="6"/>
      <c r="AB15" s="37">
        <v>12.01</v>
      </c>
      <c r="AC15" s="38">
        <v>15.031000000000001</v>
      </c>
      <c r="AD15" s="38"/>
      <c r="AE15" s="34">
        <f t="shared" ref="AE15:AE60" si="7">IF(AF15&gt;3,"FALSE",AC15)</f>
        <v>15.031000000000001</v>
      </c>
      <c r="AF15" s="34">
        <f t="shared" ref="AF15:AF78" si="8">IF(AC15="","FALSE",ABS((AC15-AVERAGE($AC$14:$AC$120))/_xlfn.STDEV.S($AC$14:$AC$104)))</f>
        <v>1.0275250696520832</v>
      </c>
      <c r="AG15" s="35" t="str">
        <f t="shared" si="1"/>
        <v/>
      </c>
      <c r="AH15" s="36">
        <f t="shared" si="2"/>
        <v>1.2515403830141549</v>
      </c>
    </row>
    <row r="16" spans="1:34" ht="1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29">
        <f t="shared" si="3"/>
        <v>3</v>
      </c>
      <c r="Q16" s="30" t="s">
        <v>106</v>
      </c>
      <c r="R16" s="31">
        <v>45677</v>
      </c>
      <c r="S16" s="68"/>
      <c r="T16" s="32">
        <v>117.8</v>
      </c>
      <c r="U16" s="38">
        <v>122.199</v>
      </c>
      <c r="V16" s="74"/>
      <c r="W16" s="34">
        <f t="shared" si="4"/>
        <v>122.199</v>
      </c>
      <c r="X16" s="34">
        <f t="shared" si="0"/>
        <v>0.71274675137880961</v>
      </c>
      <c r="Y16" s="35" t="str">
        <f t="shared" si="5"/>
        <v/>
      </c>
      <c r="Z16" s="36">
        <f t="shared" si="6"/>
        <v>1.0373429541595924</v>
      </c>
      <c r="AA16" s="6"/>
      <c r="AB16" s="37">
        <v>12.01</v>
      </c>
      <c r="AC16" s="38">
        <v>18.677</v>
      </c>
      <c r="AD16" s="38"/>
      <c r="AE16" s="34">
        <f t="shared" si="7"/>
        <v>18.677</v>
      </c>
      <c r="AF16" s="34">
        <f t="shared" si="8"/>
        <v>2.2557360541050828</v>
      </c>
      <c r="AG16" s="35">
        <f t="shared" si="1"/>
        <v>18.677</v>
      </c>
      <c r="AH16" s="36">
        <f t="shared" si="2"/>
        <v>1.555120732722731</v>
      </c>
    </row>
    <row r="17" spans="1:34" ht="1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29">
        <f t="shared" si="3"/>
        <v>4</v>
      </c>
      <c r="Q17" s="30" t="s">
        <v>106</v>
      </c>
      <c r="R17" s="31">
        <v>45677</v>
      </c>
      <c r="S17" s="68"/>
      <c r="T17" s="32">
        <v>117.8</v>
      </c>
      <c r="U17" s="38">
        <v>124.244</v>
      </c>
      <c r="V17" s="74"/>
      <c r="W17" s="34">
        <f t="shared" si="4"/>
        <v>124.244</v>
      </c>
      <c r="X17" s="34">
        <f t="shared" si="0"/>
        <v>0.89386091380372545</v>
      </c>
      <c r="Y17" s="35" t="str">
        <f t="shared" si="5"/>
        <v/>
      </c>
      <c r="Z17" s="36">
        <f t="shared" si="6"/>
        <v>1.0547028862478778</v>
      </c>
      <c r="AA17" s="6"/>
      <c r="AB17" s="37">
        <v>12.01</v>
      </c>
      <c r="AC17" s="38">
        <v>14.435</v>
      </c>
      <c r="AD17" s="38"/>
      <c r="AE17" s="34">
        <f t="shared" si="7"/>
        <v>14.435</v>
      </c>
      <c r="AF17" s="34">
        <f t="shared" si="8"/>
        <v>0.82675333439865817</v>
      </c>
      <c r="AG17" s="35" t="str">
        <f t="shared" si="1"/>
        <v/>
      </c>
      <c r="AH17" s="36">
        <f t="shared" si="2"/>
        <v>1.2019150707743547</v>
      </c>
    </row>
    <row r="18" spans="1:34" ht="1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29">
        <f t="shared" si="3"/>
        <v>5</v>
      </c>
      <c r="Q18" s="30" t="s">
        <v>106</v>
      </c>
      <c r="R18" s="31">
        <v>45677</v>
      </c>
      <c r="S18" s="68"/>
      <c r="T18" s="32">
        <v>117.8</v>
      </c>
      <c r="U18" s="38">
        <v>118.426</v>
      </c>
      <c r="V18" s="74"/>
      <c r="W18" s="34">
        <f t="shared" si="4"/>
        <v>118.426</v>
      </c>
      <c r="X18" s="34">
        <f t="shared" si="0"/>
        <v>0.37859333581440552</v>
      </c>
      <c r="Y18" s="35" t="str">
        <f t="shared" si="5"/>
        <v/>
      </c>
      <c r="Z18" s="36">
        <f t="shared" si="6"/>
        <v>1.005314091680815</v>
      </c>
      <c r="AA18" s="6"/>
      <c r="AB18" s="37">
        <v>12.01</v>
      </c>
      <c r="AC18" s="38">
        <v>15.832000000000001</v>
      </c>
      <c r="AD18" s="38"/>
      <c r="AE18" s="34">
        <f t="shared" si="7"/>
        <v>15.832000000000001</v>
      </c>
      <c r="AF18" s="34">
        <f t="shared" si="8"/>
        <v>1.2973541970648241</v>
      </c>
      <c r="AG18" s="35" t="str">
        <f t="shared" si="1"/>
        <v/>
      </c>
      <c r="AH18" s="36">
        <f t="shared" si="2"/>
        <v>1.3182348043297254</v>
      </c>
    </row>
    <row r="19" spans="1:34" ht="1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29">
        <f t="shared" si="3"/>
        <v>6</v>
      </c>
      <c r="Q19" s="30" t="s">
        <v>106</v>
      </c>
      <c r="R19" s="31">
        <v>45678</v>
      </c>
      <c r="S19" s="68"/>
      <c r="T19" s="32">
        <v>117.8</v>
      </c>
      <c r="U19" s="38">
        <v>96.66</v>
      </c>
      <c r="V19" s="74"/>
      <c r="W19" s="34">
        <f t="shared" si="4"/>
        <v>96.66</v>
      </c>
      <c r="X19" s="34">
        <f t="shared" si="0"/>
        <v>1.5490990159414457</v>
      </c>
      <c r="Y19" s="35" t="str">
        <f t="shared" si="5"/>
        <v/>
      </c>
      <c r="Z19" s="36">
        <f t="shared" si="6"/>
        <v>0.82054329371816637</v>
      </c>
      <c r="AA19" s="6"/>
      <c r="AB19" s="37">
        <v>12.01</v>
      </c>
      <c r="AC19" s="38">
        <v>13.260999999999999</v>
      </c>
      <c r="AD19" s="38"/>
      <c r="AE19" s="34">
        <f t="shared" si="7"/>
        <v>13.260999999999999</v>
      </c>
      <c r="AF19" s="34">
        <f t="shared" si="8"/>
        <v>0.43127343978872318</v>
      </c>
      <c r="AG19" s="35" t="str">
        <f t="shared" si="1"/>
        <v/>
      </c>
      <c r="AH19" s="36">
        <f t="shared" si="2"/>
        <v>1.1041631973355537</v>
      </c>
    </row>
    <row r="20" spans="1:34" ht="1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29">
        <f t="shared" si="3"/>
        <v>7</v>
      </c>
      <c r="Q20" s="30" t="s">
        <v>106</v>
      </c>
      <c r="R20" s="31">
        <v>45678</v>
      </c>
      <c r="S20" s="68"/>
      <c r="T20" s="32">
        <v>117.8</v>
      </c>
      <c r="U20" s="38">
        <v>109.57299999999999</v>
      </c>
      <c r="V20" s="74"/>
      <c r="W20" s="34">
        <f t="shared" si="4"/>
        <v>109.57299999999999</v>
      </c>
      <c r="X20" s="34">
        <f t="shared" si="0"/>
        <v>0.40546714337766304</v>
      </c>
      <c r="Y20" s="35" t="str">
        <f t="shared" si="5"/>
        <v/>
      </c>
      <c r="Z20" s="36">
        <f t="shared" si="6"/>
        <v>0.93016129032258066</v>
      </c>
      <c r="AA20" s="6"/>
      <c r="AB20" s="37">
        <v>12.01</v>
      </c>
      <c r="AC20" s="38">
        <v>11.083</v>
      </c>
      <c r="AD20" s="38"/>
      <c r="AE20" s="34">
        <f t="shared" si="7"/>
        <v>11.083</v>
      </c>
      <c r="AF20" s="34">
        <f t="shared" si="8"/>
        <v>0.30241924373805462</v>
      </c>
      <c r="AG20" s="35" t="str">
        <f t="shared" si="1"/>
        <v/>
      </c>
      <c r="AH20" s="36">
        <f t="shared" si="2"/>
        <v>0.92281432139883435</v>
      </c>
    </row>
    <row r="21" spans="1:34" ht="1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29">
        <f t="shared" si="3"/>
        <v>8</v>
      </c>
      <c r="Q21" s="30" t="s">
        <v>106</v>
      </c>
      <c r="R21" s="31">
        <v>45678</v>
      </c>
      <c r="S21" s="68"/>
      <c r="T21" s="32">
        <v>117.8</v>
      </c>
      <c r="U21" s="38">
        <v>110.229</v>
      </c>
      <c r="V21" s="74"/>
      <c r="W21" s="34">
        <f t="shared" si="4"/>
        <v>110.229</v>
      </c>
      <c r="X21" s="34">
        <f t="shared" si="0"/>
        <v>0.34736890838952328</v>
      </c>
      <c r="Y21" s="35" t="str">
        <f t="shared" si="5"/>
        <v/>
      </c>
      <c r="Z21" s="36">
        <f t="shared" si="6"/>
        <v>0.93573005093378614</v>
      </c>
      <c r="AA21" s="6"/>
      <c r="AB21" s="37">
        <v>12.01</v>
      </c>
      <c r="AC21" s="38">
        <v>16.911000000000001</v>
      </c>
      <c r="AD21" s="38"/>
      <c r="AE21" s="34">
        <f t="shared" si="7"/>
        <v>16.911000000000001</v>
      </c>
      <c r="AF21" s="34">
        <f t="shared" si="8"/>
        <v>1.6608318855521491</v>
      </c>
      <c r="AG21" s="35" t="str">
        <f t="shared" si="1"/>
        <v/>
      </c>
      <c r="AH21" s="36">
        <f t="shared" si="2"/>
        <v>1.4080766028309744</v>
      </c>
    </row>
    <row r="22" spans="1:34" ht="1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29">
        <f t="shared" si="3"/>
        <v>9</v>
      </c>
      <c r="Q22" s="30" t="s">
        <v>106</v>
      </c>
      <c r="R22" s="31">
        <v>45678</v>
      </c>
      <c r="S22" s="68"/>
      <c r="T22" s="32">
        <v>117.8</v>
      </c>
      <c r="U22" s="38">
        <v>108.79300000000001</v>
      </c>
      <c r="V22" s="74"/>
      <c r="W22" s="34">
        <f t="shared" si="4"/>
        <v>108.79300000000001</v>
      </c>
      <c r="X22" s="34">
        <f t="shared" si="0"/>
        <v>0.47454736180868107</v>
      </c>
      <c r="Y22" s="35" t="str">
        <f t="shared" si="5"/>
        <v/>
      </c>
      <c r="Z22" s="36">
        <f t="shared" si="6"/>
        <v>0.92353989813242787</v>
      </c>
      <c r="AA22" s="6"/>
      <c r="AB22" s="37">
        <v>12.01</v>
      </c>
      <c r="AC22" s="38">
        <v>14.359</v>
      </c>
      <c r="AD22" s="38"/>
      <c r="AE22" s="34">
        <f t="shared" si="7"/>
        <v>14.359</v>
      </c>
      <c r="AF22" s="34">
        <f t="shared" si="8"/>
        <v>0.80115156950057032</v>
      </c>
      <c r="AG22" s="35" t="str">
        <f t="shared" si="1"/>
        <v/>
      </c>
      <c r="AH22" s="36">
        <f t="shared" si="2"/>
        <v>1.1955870108243132</v>
      </c>
    </row>
    <row r="23" spans="1:34" ht="1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29">
        <f t="shared" si="3"/>
        <v>10</v>
      </c>
      <c r="Q23" s="30" t="s">
        <v>106</v>
      </c>
      <c r="R23" s="31">
        <v>45678</v>
      </c>
      <c r="S23" s="68"/>
      <c r="T23" s="32">
        <v>117.8</v>
      </c>
      <c r="U23" s="38">
        <v>112.714</v>
      </c>
      <c r="V23" s="74"/>
      <c r="W23" s="34">
        <f t="shared" si="4"/>
        <v>112.714</v>
      </c>
      <c r="X23" s="34">
        <f t="shared" si="0"/>
        <v>0.1272864176189045</v>
      </c>
      <c r="Y23" s="35" t="str">
        <f t="shared" si="5"/>
        <v/>
      </c>
      <c r="Z23" s="36">
        <f t="shared" si="6"/>
        <v>0.95682512733446523</v>
      </c>
      <c r="AA23" s="6"/>
      <c r="AB23" s="37">
        <v>12.01</v>
      </c>
      <c r="AC23" s="38">
        <v>11.968999999999999</v>
      </c>
      <c r="AD23" s="38"/>
      <c r="AE23" s="34">
        <f t="shared" si="7"/>
        <v>11.968999999999999</v>
      </c>
      <c r="AF23" s="34">
        <f t="shared" si="8"/>
        <v>3.9565634787686555E-3</v>
      </c>
      <c r="AG23" s="35" t="str">
        <f t="shared" si="1"/>
        <v/>
      </c>
      <c r="AH23" s="36">
        <f t="shared" si="2"/>
        <v>0.99658617818484596</v>
      </c>
    </row>
    <row r="24" spans="1:34" ht="1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29">
        <f t="shared" si="3"/>
        <v>11</v>
      </c>
      <c r="Q24" s="30" t="s">
        <v>106</v>
      </c>
      <c r="R24" s="31">
        <v>45679</v>
      </c>
      <c r="S24" s="68"/>
      <c r="T24" s="32">
        <v>117.8</v>
      </c>
      <c r="U24" s="38">
        <v>112.34099999999999</v>
      </c>
      <c r="V24" s="74"/>
      <c r="W24" s="34">
        <f t="shared" si="4"/>
        <v>112.34099999999999</v>
      </c>
      <c r="X24" s="34">
        <f t="shared" si="0"/>
        <v>0.16032093233014871</v>
      </c>
      <c r="Y24" s="35" t="str">
        <f t="shared" si="5"/>
        <v/>
      </c>
      <c r="Z24" s="36">
        <f t="shared" si="6"/>
        <v>0.95365874363327674</v>
      </c>
      <c r="AA24" s="6"/>
      <c r="AB24" s="37">
        <v>12.01</v>
      </c>
      <c r="AC24" s="38">
        <v>8.5530000000000008</v>
      </c>
      <c r="AD24" s="38"/>
      <c r="AE24" s="34">
        <f t="shared" si="7"/>
        <v>8.5530000000000008</v>
      </c>
      <c r="AF24" s="34">
        <f t="shared" si="8"/>
        <v>1.1546885225822916</v>
      </c>
      <c r="AG24" s="35" t="str">
        <f t="shared" si="1"/>
        <v/>
      </c>
      <c r="AH24" s="36">
        <f t="shared" si="2"/>
        <v>0.71215653621981689</v>
      </c>
    </row>
    <row r="25" spans="1:34" ht="1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29">
        <f t="shared" si="3"/>
        <v>12</v>
      </c>
      <c r="Q25" s="30" t="s">
        <v>106</v>
      </c>
      <c r="R25" s="31">
        <v>45679</v>
      </c>
      <c r="S25" s="68"/>
      <c r="T25" s="32">
        <v>117.8</v>
      </c>
      <c r="U25" s="38">
        <v>120.193</v>
      </c>
      <c r="V25" s="74"/>
      <c r="W25" s="34">
        <f t="shared" si="4"/>
        <v>120.193</v>
      </c>
      <c r="X25" s="34">
        <f t="shared" si="0"/>
        <v>0.53508659987544482</v>
      </c>
      <c r="Y25" s="35" t="str">
        <f t="shared" si="5"/>
        <v/>
      </c>
      <c r="Z25" s="36">
        <f t="shared" si="6"/>
        <v>1.0203140916808149</v>
      </c>
      <c r="AA25" s="6"/>
      <c r="AB25" s="37">
        <v>12.01</v>
      </c>
      <c r="AC25" s="38">
        <v>10.481</v>
      </c>
      <c r="AD25" s="38"/>
      <c r="AE25" s="34">
        <f t="shared" si="7"/>
        <v>10.481</v>
      </c>
      <c r="AF25" s="34">
        <f t="shared" si="8"/>
        <v>0.50521217095711834</v>
      </c>
      <c r="AG25" s="35" t="str">
        <f t="shared" si="1"/>
        <v/>
      </c>
      <c r="AH25" s="36">
        <f t="shared" si="2"/>
        <v>0.87268942547876771</v>
      </c>
    </row>
    <row r="26" spans="1:34" ht="1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29">
        <f t="shared" si="3"/>
        <v>13</v>
      </c>
      <c r="Q26" s="30" t="s">
        <v>106</v>
      </c>
      <c r="R26" s="31">
        <v>45679</v>
      </c>
      <c r="S26" s="68"/>
      <c r="T26" s="32">
        <v>117.8</v>
      </c>
      <c r="U26" s="38">
        <v>80</v>
      </c>
      <c r="V26" s="74"/>
      <c r="W26" s="34" t="str">
        <f t="shared" si="4"/>
        <v>FALSE</v>
      </c>
      <c r="X26" s="34">
        <f t="shared" si="0"/>
        <v>3.0245816301219324</v>
      </c>
      <c r="Y26" s="35">
        <f t="shared" si="5"/>
        <v>80</v>
      </c>
      <c r="Z26" s="36">
        <f t="shared" si="6"/>
        <v>0.6791171477079796</v>
      </c>
      <c r="AA26" s="6"/>
      <c r="AB26" s="37">
        <v>12.01</v>
      </c>
      <c r="AC26" s="38">
        <v>11.430999999999999</v>
      </c>
      <c r="AD26" s="38"/>
      <c r="AE26" s="34">
        <f t="shared" si="7"/>
        <v>11.430999999999999</v>
      </c>
      <c r="AF26" s="34">
        <f t="shared" si="8"/>
        <v>0.18519010973102157</v>
      </c>
      <c r="AG26" s="35" t="str">
        <f t="shared" si="1"/>
        <v/>
      </c>
      <c r="AH26" s="36">
        <f t="shared" si="2"/>
        <v>0.95179017485428807</v>
      </c>
    </row>
    <row r="27" spans="1:34" ht="1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29">
        <f t="shared" si="3"/>
        <v>14</v>
      </c>
      <c r="Q27" s="30" t="s">
        <v>106</v>
      </c>
      <c r="R27" s="31">
        <v>45679</v>
      </c>
      <c r="S27" s="68"/>
      <c r="T27" s="32">
        <v>117.8</v>
      </c>
      <c r="U27" s="38">
        <v>107.18300000000001</v>
      </c>
      <c r="V27" s="74"/>
      <c r="W27" s="34">
        <f t="shared" si="4"/>
        <v>107.18300000000001</v>
      </c>
      <c r="X27" s="34">
        <f t="shared" si="0"/>
        <v>0.61713601780091287</v>
      </c>
      <c r="Y27" s="35" t="str">
        <f t="shared" si="5"/>
        <v/>
      </c>
      <c r="Z27" s="36">
        <f t="shared" si="6"/>
        <v>0.90987266553480484</v>
      </c>
      <c r="AA27" s="6"/>
      <c r="AB27" s="37">
        <v>12.01</v>
      </c>
      <c r="AC27" s="38">
        <v>11.943</v>
      </c>
      <c r="AD27" s="38"/>
      <c r="AE27" s="34">
        <f t="shared" si="7"/>
        <v>11.943</v>
      </c>
      <c r="AF27" s="34">
        <f t="shared" si="8"/>
        <v>1.2715061996535453E-2</v>
      </c>
      <c r="AG27" s="35" t="str">
        <f t="shared" si="1"/>
        <v/>
      </c>
      <c r="AH27" s="36">
        <f t="shared" si="2"/>
        <v>0.99442131557035807</v>
      </c>
    </row>
    <row r="28" spans="1:34" ht="1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29">
        <f t="shared" si="3"/>
        <v>15</v>
      </c>
      <c r="Q28" s="30" t="s">
        <v>106</v>
      </c>
      <c r="R28" s="31">
        <v>45679</v>
      </c>
      <c r="S28" s="68"/>
      <c r="T28" s="32">
        <v>117.8</v>
      </c>
      <c r="U28" s="38">
        <v>87.19</v>
      </c>
      <c r="V28" s="74"/>
      <c r="W28" s="34">
        <f t="shared" si="4"/>
        <v>87.19</v>
      </c>
      <c r="X28" s="34">
        <f t="shared" si="0"/>
        <v>2.3878037192001016</v>
      </c>
      <c r="Y28" s="35">
        <f t="shared" si="5"/>
        <v>87.19</v>
      </c>
      <c r="Z28" s="36">
        <f t="shared" si="6"/>
        <v>0.74015280135823425</v>
      </c>
      <c r="AA28" s="6"/>
      <c r="AB28" s="37">
        <v>12.01</v>
      </c>
      <c r="AC28" s="38">
        <v>10.24</v>
      </c>
      <c r="AD28" s="38"/>
      <c r="AE28" s="34">
        <f t="shared" si="7"/>
        <v>10.24</v>
      </c>
      <c r="AF28" s="34">
        <f t="shared" si="8"/>
        <v>0.5863967149102649</v>
      </c>
      <c r="AG28" s="35" t="str">
        <f t="shared" si="1"/>
        <v/>
      </c>
      <c r="AH28" s="36">
        <f t="shared" si="2"/>
        <v>0.85262281432139886</v>
      </c>
    </row>
    <row r="29" spans="1:34" ht="1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 t="s">
        <v>107</v>
      </c>
      <c r="O29" s="8"/>
      <c r="P29" s="29">
        <f t="shared" si="3"/>
        <v>16</v>
      </c>
      <c r="Q29" s="30" t="s">
        <v>106</v>
      </c>
      <c r="R29" s="31">
        <v>45681</v>
      </c>
      <c r="S29" s="68"/>
      <c r="T29" s="32">
        <v>117.8</v>
      </c>
      <c r="U29" s="38">
        <v>119.89700000000001</v>
      </c>
      <c r="V29" s="74"/>
      <c r="W29" s="34">
        <f t="shared" si="4"/>
        <v>119.89700000000001</v>
      </c>
      <c r="X29" s="34">
        <f t="shared" si="0"/>
        <v>0.50887154262469969</v>
      </c>
      <c r="Y29" s="35" t="str">
        <f t="shared" si="5"/>
        <v/>
      </c>
      <c r="Z29" s="36">
        <f t="shared" si="6"/>
        <v>1.0178013582342955</v>
      </c>
      <c r="AA29" s="6"/>
      <c r="AB29" s="37">
        <v>12.01</v>
      </c>
      <c r="AC29" s="38">
        <v>12.172000000000001</v>
      </c>
      <c r="AD29" s="38"/>
      <c r="AE29" s="34">
        <f t="shared" si="7"/>
        <v>12.172000000000001</v>
      </c>
      <c r="AF29" s="34">
        <f t="shared" si="8"/>
        <v>6.442709802533457E-2</v>
      </c>
      <c r="AG29" s="35" t="str">
        <f t="shared" si="1"/>
        <v/>
      </c>
      <c r="AH29" s="36">
        <f t="shared" si="2"/>
        <v>1.0134887593671942</v>
      </c>
    </row>
    <row r="30" spans="1:34" ht="1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29">
        <f t="shared" si="3"/>
        <v>17</v>
      </c>
      <c r="Q30" s="30" t="s">
        <v>106</v>
      </c>
      <c r="R30" s="31">
        <v>45681</v>
      </c>
      <c r="S30" s="68"/>
      <c r="T30" s="32">
        <v>117.8</v>
      </c>
      <c r="U30" s="38">
        <v>116.27</v>
      </c>
      <c r="V30" s="74"/>
      <c r="W30" s="34">
        <f t="shared" si="4"/>
        <v>116.27</v>
      </c>
      <c r="X30" s="34">
        <f t="shared" si="0"/>
        <v>0.18764852692045966</v>
      </c>
      <c r="Y30" s="35" t="str">
        <f t="shared" si="5"/>
        <v/>
      </c>
      <c r="Z30" s="36">
        <f t="shared" si="6"/>
        <v>0.98701188455008493</v>
      </c>
      <c r="AA30" s="6"/>
      <c r="AB30" s="37">
        <v>12.01</v>
      </c>
      <c r="AC30" s="38">
        <v>17.594000000000001</v>
      </c>
      <c r="AD30" s="38"/>
      <c r="AE30" s="34">
        <f t="shared" si="7"/>
        <v>17.594000000000001</v>
      </c>
      <c r="AF30" s="34">
        <f t="shared" si="8"/>
        <v>1.8909109043073327</v>
      </c>
      <c r="AG30" s="35" t="str">
        <f t="shared" si="1"/>
        <v/>
      </c>
      <c r="AH30" s="36">
        <f t="shared" si="2"/>
        <v>1.4649458784346379</v>
      </c>
    </row>
    <row r="31" spans="1:34" ht="1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29">
        <f t="shared" si="3"/>
        <v>18</v>
      </c>
      <c r="Q31" s="30" t="s">
        <v>106</v>
      </c>
      <c r="R31" s="31">
        <v>45681</v>
      </c>
      <c r="S31" s="68"/>
      <c r="T31" s="32">
        <v>117.8</v>
      </c>
      <c r="U31" s="38">
        <v>123.928</v>
      </c>
      <c r="V31" s="74"/>
      <c r="W31" s="34">
        <f t="shared" si="4"/>
        <v>123.928</v>
      </c>
      <c r="X31" s="34">
        <f t="shared" si="0"/>
        <v>0.86587456890090198</v>
      </c>
      <c r="Y31" s="35" t="str">
        <f t="shared" si="5"/>
        <v/>
      </c>
      <c r="Z31" s="36">
        <f t="shared" si="6"/>
        <v>1.0520203735144313</v>
      </c>
      <c r="AA31" s="6"/>
      <c r="AB31" s="37">
        <v>12.01</v>
      </c>
      <c r="AC31" s="38">
        <v>11.035</v>
      </c>
      <c r="AD31" s="38"/>
      <c r="AE31" s="34">
        <f t="shared" si="7"/>
        <v>11.035</v>
      </c>
      <c r="AF31" s="34">
        <f t="shared" si="8"/>
        <v>0.31858877946316272</v>
      </c>
      <c r="AG31" s="35" t="str">
        <f t="shared" si="1"/>
        <v/>
      </c>
      <c r="AH31" s="36">
        <f t="shared" si="2"/>
        <v>0.91881765195670273</v>
      </c>
    </row>
    <row r="32" spans="1:34" ht="1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29">
        <f t="shared" si="3"/>
        <v>19</v>
      </c>
      <c r="Q32" s="30" t="s">
        <v>106</v>
      </c>
      <c r="R32" s="31">
        <v>45681</v>
      </c>
      <c r="S32" s="68"/>
      <c r="T32" s="32">
        <v>117.8</v>
      </c>
      <c r="U32" s="38">
        <v>118.18600000000001</v>
      </c>
      <c r="V32" s="74"/>
      <c r="W32" s="34">
        <f t="shared" si="4"/>
        <v>118.18600000000001</v>
      </c>
      <c r="X32" s="34">
        <f t="shared" si="0"/>
        <v>0.35733788398947702</v>
      </c>
      <c r="Y32" s="35" t="str">
        <f t="shared" si="5"/>
        <v/>
      </c>
      <c r="Z32" s="36">
        <f t="shared" si="6"/>
        <v>1.003276740237691</v>
      </c>
      <c r="AA32" s="6"/>
      <c r="AB32" s="37">
        <v>12.01</v>
      </c>
      <c r="AC32" s="38">
        <v>14.281000000000001</v>
      </c>
      <c r="AD32" s="38"/>
      <c r="AE32" s="34">
        <f t="shared" si="7"/>
        <v>14.281000000000001</v>
      </c>
      <c r="AF32" s="34">
        <f t="shared" si="8"/>
        <v>0.77487607394726987</v>
      </c>
      <c r="AG32" s="35" t="str">
        <f t="shared" si="1"/>
        <v/>
      </c>
      <c r="AH32" s="36">
        <f t="shared" si="2"/>
        <v>1.1890924229808493</v>
      </c>
    </row>
    <row r="33" spans="1:34" ht="1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29">
        <f t="shared" si="3"/>
        <v>20</v>
      </c>
      <c r="Q33" s="30" t="s">
        <v>106</v>
      </c>
      <c r="R33" s="31">
        <v>45681</v>
      </c>
      <c r="S33" s="68"/>
      <c r="T33" s="32">
        <v>117.8</v>
      </c>
      <c r="U33" s="38">
        <v>127.877</v>
      </c>
      <c r="V33" s="74"/>
      <c r="W33" s="34">
        <f t="shared" si="4"/>
        <v>127.877</v>
      </c>
      <c r="X33" s="34">
        <f t="shared" si="0"/>
        <v>1.2156153158035874</v>
      </c>
      <c r="Y33" s="35" t="str">
        <f t="shared" si="5"/>
        <v/>
      </c>
      <c r="Z33" s="36">
        <f t="shared" si="6"/>
        <v>1.0855432937181664</v>
      </c>
      <c r="AA33" s="6"/>
      <c r="AB33" s="37">
        <v>12.01</v>
      </c>
      <c r="AC33" s="38">
        <v>10.58</v>
      </c>
      <c r="AD33" s="38"/>
      <c r="AE33" s="34">
        <f t="shared" si="7"/>
        <v>10.58</v>
      </c>
      <c r="AF33" s="34">
        <f t="shared" si="8"/>
        <v>0.47186250352408288</v>
      </c>
      <c r="AG33" s="35" t="str">
        <f t="shared" si="1"/>
        <v/>
      </c>
      <c r="AH33" s="36">
        <f t="shared" si="2"/>
        <v>0.88093255620316402</v>
      </c>
    </row>
    <row r="34" spans="1:34" ht="1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29">
        <f t="shared" si="3"/>
        <v>21</v>
      </c>
      <c r="Q34" s="30" t="s">
        <v>108</v>
      </c>
      <c r="R34" s="31">
        <v>45743</v>
      </c>
      <c r="S34" s="68"/>
      <c r="T34" s="39">
        <v>118.4</v>
      </c>
      <c r="U34" s="38">
        <v>110.07299999999999</v>
      </c>
      <c r="V34" s="74"/>
      <c r="W34" s="34">
        <f t="shared" si="4"/>
        <v>110.07299999999999</v>
      </c>
      <c r="X34" s="34">
        <f t="shared" si="0"/>
        <v>0.36118495207572765</v>
      </c>
      <c r="Y34" s="35" t="str">
        <f t="shared" si="5"/>
        <v/>
      </c>
      <c r="Z34" s="36">
        <f t="shared" si="6"/>
        <v>0.92967060810810798</v>
      </c>
      <c r="AA34" s="6"/>
      <c r="AB34" s="37">
        <v>11.5</v>
      </c>
      <c r="AC34" s="38">
        <v>14.087</v>
      </c>
      <c r="AD34" s="38"/>
      <c r="AE34" s="34">
        <f t="shared" si="7"/>
        <v>14.087</v>
      </c>
      <c r="AF34" s="34">
        <f t="shared" si="8"/>
        <v>0.70952420039162456</v>
      </c>
      <c r="AG34" s="35" t="str">
        <f t="shared" si="1"/>
        <v/>
      </c>
      <c r="AH34" s="36">
        <f t="shared" si="2"/>
        <v>1.2249565217391305</v>
      </c>
    </row>
    <row r="35" spans="1:34" ht="1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29">
        <f t="shared" si="3"/>
        <v>22</v>
      </c>
      <c r="Q35" s="30" t="s">
        <v>108</v>
      </c>
      <c r="R35" s="31">
        <v>45743</v>
      </c>
      <c r="S35" s="68"/>
      <c r="T35" s="39">
        <v>118.4</v>
      </c>
      <c r="U35" s="38">
        <v>132.23500000000001</v>
      </c>
      <c r="V35" s="74"/>
      <c r="W35" s="34">
        <f t="shared" si="4"/>
        <v>132.23500000000001</v>
      </c>
      <c r="X35" s="34">
        <f t="shared" si="0"/>
        <v>1.601578895191258</v>
      </c>
      <c r="Y35" s="35" t="str">
        <f t="shared" si="5"/>
        <v/>
      </c>
      <c r="Z35" s="36">
        <f t="shared" si="6"/>
        <v>1.1168496621621622</v>
      </c>
      <c r="AA35" s="6"/>
      <c r="AB35" s="37">
        <v>11.5</v>
      </c>
      <c r="AC35" s="38">
        <v>13.105</v>
      </c>
      <c r="AD35" s="38"/>
      <c r="AE35" s="34">
        <f t="shared" si="7"/>
        <v>13.105</v>
      </c>
      <c r="AF35" s="34">
        <f t="shared" si="8"/>
        <v>0.3787224486821224</v>
      </c>
      <c r="AG35" s="35" t="str">
        <f t="shared" si="1"/>
        <v/>
      </c>
      <c r="AH35" s="36">
        <f t="shared" si="2"/>
        <v>1.1395652173913045</v>
      </c>
    </row>
    <row r="36" spans="1:34" ht="1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29">
        <f t="shared" si="3"/>
        <v>23</v>
      </c>
      <c r="Q36" s="30" t="s">
        <v>108</v>
      </c>
      <c r="R36" s="31">
        <v>45772</v>
      </c>
      <c r="S36" s="68"/>
      <c r="T36" s="39">
        <v>118.4</v>
      </c>
      <c r="U36" s="38">
        <v>116.747</v>
      </c>
      <c r="V36" s="74"/>
      <c r="W36" s="34">
        <f t="shared" si="4"/>
        <v>116.747</v>
      </c>
      <c r="X36" s="34">
        <f t="shared" si="0"/>
        <v>0.22989373742250635</v>
      </c>
      <c r="Y36" s="35" t="str">
        <f t="shared" si="5"/>
        <v/>
      </c>
      <c r="Z36" s="36">
        <f t="shared" si="6"/>
        <v>0.98603885135135128</v>
      </c>
      <c r="AA36" s="6"/>
      <c r="AB36" s="37">
        <v>11.5</v>
      </c>
      <c r="AC36" s="38">
        <v>16.157</v>
      </c>
      <c r="AD36" s="38"/>
      <c r="AE36" s="34">
        <f t="shared" si="7"/>
        <v>16.157</v>
      </c>
      <c r="AF36" s="34">
        <f t="shared" si="8"/>
        <v>1.4068354285369096</v>
      </c>
      <c r="AG36" s="35" t="str">
        <f t="shared" si="1"/>
        <v/>
      </c>
      <c r="AH36" s="36">
        <f t="shared" si="2"/>
        <v>1.4049565217391304</v>
      </c>
    </row>
    <row r="37" spans="1:34" ht="1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29">
        <f t="shared" si="3"/>
        <v>24</v>
      </c>
      <c r="Q37" s="30" t="s">
        <v>108</v>
      </c>
      <c r="R37" s="31">
        <v>45772</v>
      </c>
      <c r="S37" s="68"/>
      <c r="T37" s="39">
        <v>118.4</v>
      </c>
      <c r="U37" s="38">
        <v>107.441</v>
      </c>
      <c r="V37" s="74"/>
      <c r="W37" s="34">
        <f t="shared" si="4"/>
        <v>107.441</v>
      </c>
      <c r="X37" s="34">
        <f t="shared" si="0"/>
        <v>0.59428640708911462</v>
      </c>
      <c r="Y37" s="35" t="str">
        <f t="shared" si="5"/>
        <v/>
      </c>
      <c r="Z37" s="36">
        <f t="shared" si="6"/>
        <v>0.90744087837837839</v>
      </c>
      <c r="AA37" s="6"/>
      <c r="AB37" s="37">
        <v>11.5</v>
      </c>
      <c r="AC37" s="38">
        <v>13.337</v>
      </c>
      <c r="AD37" s="38"/>
      <c r="AE37" s="34">
        <f t="shared" si="7"/>
        <v>13.337</v>
      </c>
      <c r="AF37" s="34">
        <f t="shared" si="8"/>
        <v>0.45687520468681114</v>
      </c>
      <c r="AG37" s="35" t="str">
        <f t="shared" si="1"/>
        <v/>
      </c>
      <c r="AH37" s="36">
        <f t="shared" si="2"/>
        <v>1.1597391304347826</v>
      </c>
    </row>
    <row r="38" spans="1:34" ht="1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29">
        <f t="shared" si="3"/>
        <v>25</v>
      </c>
      <c r="Q38" s="30" t="s">
        <v>108</v>
      </c>
      <c r="R38" s="31">
        <v>45785</v>
      </c>
      <c r="S38" s="68"/>
      <c r="T38" s="39">
        <v>118.4</v>
      </c>
      <c r="U38" s="38">
        <v>115.748</v>
      </c>
      <c r="V38" s="74"/>
      <c r="W38" s="34">
        <f t="shared" si="4"/>
        <v>115.748</v>
      </c>
      <c r="X38" s="34">
        <f t="shared" si="0"/>
        <v>0.14141791920123989</v>
      </c>
      <c r="Y38" s="35" t="str">
        <f t="shared" si="5"/>
        <v/>
      </c>
      <c r="Z38" s="36">
        <f t="shared" si="6"/>
        <v>0.97760135135135129</v>
      </c>
      <c r="AA38" s="6"/>
      <c r="AB38" s="37">
        <v>11.5</v>
      </c>
      <c r="AC38" s="38">
        <v>12.1365</v>
      </c>
      <c r="AD38" s="38"/>
      <c r="AE38" s="34">
        <f t="shared" si="7"/>
        <v>12.1365</v>
      </c>
      <c r="AF38" s="34">
        <f t="shared" si="8"/>
        <v>5.2468378895306485E-2</v>
      </c>
      <c r="AG38" s="35" t="str">
        <f t="shared" si="1"/>
        <v/>
      </c>
      <c r="AH38" s="36">
        <f t="shared" si="2"/>
        <v>1.0553478260869564</v>
      </c>
    </row>
    <row r="39" spans="1:34" ht="1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29">
        <f t="shared" si="3"/>
        <v>26</v>
      </c>
      <c r="Q39" s="30" t="s">
        <v>108</v>
      </c>
      <c r="R39" s="31">
        <v>45785</v>
      </c>
      <c r="S39" s="68"/>
      <c r="T39" s="39">
        <v>118.4</v>
      </c>
      <c r="U39" s="38">
        <v>103.7282</v>
      </c>
      <c r="V39" s="74"/>
      <c r="W39" s="34">
        <f t="shared" si="4"/>
        <v>103.7282</v>
      </c>
      <c r="X39" s="34">
        <f t="shared" si="0"/>
        <v>0.92310824682076609</v>
      </c>
      <c r="Y39" s="35" t="str">
        <f t="shared" si="5"/>
        <v/>
      </c>
      <c r="Z39" s="36">
        <f t="shared" si="6"/>
        <v>0.87608277027027026</v>
      </c>
      <c r="AA39" s="6"/>
      <c r="AB39" s="37">
        <v>11.5</v>
      </c>
      <c r="AC39" s="38">
        <v>13.969799999999999</v>
      </c>
      <c r="AD39" s="38"/>
      <c r="AE39" s="34">
        <f t="shared" si="7"/>
        <v>13.969799999999999</v>
      </c>
      <c r="AF39" s="34">
        <f t="shared" si="8"/>
        <v>0.67004358399615227</v>
      </c>
      <c r="AG39" s="35" t="str">
        <f t="shared" si="1"/>
        <v/>
      </c>
      <c r="AH39" s="36">
        <f t="shared" si="2"/>
        <v>1.2147652173913044</v>
      </c>
    </row>
    <row r="40" spans="1:34" ht="1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29">
        <f t="shared" si="3"/>
        <v>27</v>
      </c>
      <c r="Q40" s="30" t="s">
        <v>109</v>
      </c>
      <c r="R40" s="31">
        <v>45793</v>
      </c>
      <c r="S40" s="68"/>
      <c r="T40" s="39">
        <v>118.4</v>
      </c>
      <c r="U40" s="38">
        <v>114.545</v>
      </c>
      <c r="V40" s="74"/>
      <c r="W40" s="34">
        <f t="shared" si="4"/>
        <v>114.545</v>
      </c>
      <c r="X40" s="34">
        <f t="shared" si="0"/>
        <v>3.487496692878312E-2</v>
      </c>
      <c r="Y40" s="35" t="str">
        <f t="shared" si="5"/>
        <v/>
      </c>
      <c r="Z40" s="36">
        <f t="shared" si="6"/>
        <v>0.96744087837837833</v>
      </c>
      <c r="AA40" s="6"/>
      <c r="AB40" s="37">
        <v>11.5</v>
      </c>
      <c r="AC40" s="38">
        <v>8.2560000000000002</v>
      </c>
      <c r="AD40" s="38"/>
      <c r="AE40" s="34">
        <f t="shared" si="7"/>
        <v>8.2560000000000002</v>
      </c>
      <c r="AF40" s="34">
        <f t="shared" si="8"/>
        <v>1.2547375248813979</v>
      </c>
      <c r="AG40" s="35" t="str">
        <f t="shared" si="1"/>
        <v/>
      </c>
      <c r="AH40" s="36">
        <f t="shared" si="2"/>
        <v>0.7179130434782609</v>
      </c>
    </row>
    <row r="41" spans="1:34" ht="1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29">
        <f t="shared" si="3"/>
        <v>28</v>
      </c>
      <c r="Q41" s="30" t="s">
        <v>109</v>
      </c>
      <c r="R41" s="31">
        <v>45793</v>
      </c>
      <c r="S41" s="68"/>
      <c r="T41" s="39">
        <v>118.4</v>
      </c>
      <c r="U41" s="38">
        <v>121.027</v>
      </c>
      <c r="V41" s="74"/>
      <c r="W41" s="34">
        <f t="shared" si="4"/>
        <v>121.027</v>
      </c>
      <c r="X41" s="34">
        <f t="shared" si="0"/>
        <v>0.60894929496707328</v>
      </c>
      <c r="Y41" s="35" t="str">
        <f t="shared" si="5"/>
        <v/>
      </c>
      <c r="Z41" s="36">
        <f t="shared" si="6"/>
        <v>1.0221875</v>
      </c>
      <c r="AA41" s="6"/>
      <c r="AB41" s="37">
        <v>11.5</v>
      </c>
      <c r="AC41" s="38">
        <v>9.9700000000000006</v>
      </c>
      <c r="AD41" s="38"/>
      <c r="AE41" s="34">
        <f t="shared" si="7"/>
        <v>9.9700000000000006</v>
      </c>
      <c r="AF41" s="34">
        <f t="shared" si="8"/>
        <v>0.67735035336399763</v>
      </c>
      <c r="AG41" s="35" t="str">
        <f t="shared" si="1"/>
        <v/>
      </c>
      <c r="AH41" s="36">
        <f t="shared" si="2"/>
        <v>0.86695652173913051</v>
      </c>
    </row>
    <row r="42" spans="1:34" ht="1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29">
        <f t="shared" si="3"/>
        <v>29</v>
      </c>
      <c r="Q42" s="30" t="s">
        <v>108</v>
      </c>
      <c r="R42" s="31">
        <v>45804</v>
      </c>
      <c r="S42" s="68"/>
      <c r="T42" s="39">
        <v>118.4</v>
      </c>
      <c r="U42" s="38">
        <v>121.377</v>
      </c>
      <c r="V42" s="74"/>
      <c r="W42" s="34">
        <f t="shared" si="4"/>
        <v>121.377</v>
      </c>
      <c r="X42" s="34">
        <f t="shared" si="0"/>
        <v>0.63994682887842758</v>
      </c>
      <c r="Y42" s="35" t="str">
        <f t="shared" si="5"/>
        <v/>
      </c>
      <c r="Z42" s="36">
        <f t="shared" si="6"/>
        <v>1.0251435810810809</v>
      </c>
      <c r="AA42" s="6"/>
      <c r="AB42" s="37">
        <v>11.5</v>
      </c>
      <c r="AC42" s="38">
        <v>13.025</v>
      </c>
      <c r="AD42" s="38"/>
      <c r="AE42" s="34">
        <f t="shared" si="7"/>
        <v>13.025</v>
      </c>
      <c r="AF42" s="34">
        <f t="shared" si="8"/>
        <v>0.35177322247360893</v>
      </c>
      <c r="AG42" s="35" t="str">
        <f t="shared" si="1"/>
        <v/>
      </c>
      <c r="AH42" s="36">
        <f t="shared" si="2"/>
        <v>1.1326086956521739</v>
      </c>
    </row>
    <row r="43" spans="1:34" ht="1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29">
        <f t="shared" si="3"/>
        <v>30</v>
      </c>
      <c r="Q43" s="30" t="s">
        <v>108</v>
      </c>
      <c r="R43" s="31">
        <v>45804</v>
      </c>
      <c r="S43" s="68"/>
      <c r="T43" s="39">
        <v>118.4</v>
      </c>
      <c r="U43" s="38">
        <v>122.79900000000001</v>
      </c>
      <c r="V43" s="74"/>
      <c r="W43" s="34">
        <f t="shared" si="4"/>
        <v>122.79900000000001</v>
      </c>
      <c r="X43" s="34">
        <f t="shared" si="0"/>
        <v>0.76588538094113279</v>
      </c>
      <c r="Y43" s="35" t="str">
        <f t="shared" si="5"/>
        <v/>
      </c>
      <c r="Z43" s="36">
        <f t="shared" si="6"/>
        <v>1.0371537162162163</v>
      </c>
      <c r="AA43" s="6"/>
      <c r="AB43" s="37">
        <v>11.5</v>
      </c>
      <c r="AC43" s="38">
        <v>11.708</v>
      </c>
      <c r="AD43" s="38"/>
      <c r="AE43" s="34">
        <f t="shared" si="7"/>
        <v>11.708</v>
      </c>
      <c r="AF43" s="34">
        <f t="shared" si="8"/>
        <v>9.1878413984043464E-2</v>
      </c>
      <c r="AG43" s="35" t="str">
        <f t="shared" si="1"/>
        <v/>
      </c>
      <c r="AH43" s="36">
        <f t="shared" si="2"/>
        <v>1.0180869565217392</v>
      </c>
    </row>
    <row r="44" spans="1:34" ht="1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29">
        <f t="shared" si="3"/>
        <v>31</v>
      </c>
      <c r="Q44" s="30" t="s">
        <v>108</v>
      </c>
      <c r="R44" s="31">
        <v>45825</v>
      </c>
      <c r="S44" s="68"/>
      <c r="T44" s="39">
        <v>118.4</v>
      </c>
      <c r="U44" s="38">
        <v>99.32</v>
      </c>
      <c r="V44" s="74"/>
      <c r="W44" s="34">
        <f t="shared" si="4"/>
        <v>99.32</v>
      </c>
      <c r="X44" s="34">
        <f t="shared" si="0"/>
        <v>1.3135177582151498</v>
      </c>
      <c r="Y44" s="35" t="str">
        <f t="shared" si="5"/>
        <v/>
      </c>
      <c r="Z44" s="36">
        <f t="shared" si="6"/>
        <v>0.83885135135135125</v>
      </c>
      <c r="AA44" s="6"/>
      <c r="AB44" s="37">
        <v>11.5</v>
      </c>
      <c r="AC44" s="38">
        <v>8.3879999999999999</v>
      </c>
      <c r="AD44" s="38"/>
      <c r="AE44" s="34">
        <f t="shared" si="7"/>
        <v>8.3879999999999999</v>
      </c>
      <c r="AF44" s="34">
        <f t="shared" si="8"/>
        <v>1.210271301637351</v>
      </c>
      <c r="AG44" s="35" t="str">
        <f t="shared" si="1"/>
        <v/>
      </c>
      <c r="AH44" s="36">
        <f t="shared" si="2"/>
        <v>0.72939130434782606</v>
      </c>
    </row>
    <row r="45" spans="1:34" ht="1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29">
        <f t="shared" si="3"/>
        <v>32</v>
      </c>
      <c r="Q45" s="30" t="s">
        <v>108</v>
      </c>
      <c r="R45" s="31">
        <v>45825</v>
      </c>
      <c r="S45" s="68"/>
      <c r="T45" s="39">
        <v>118.4</v>
      </c>
      <c r="U45" s="38">
        <v>94.299000000000007</v>
      </c>
      <c r="V45" s="74"/>
      <c r="W45" s="34">
        <f t="shared" si="4"/>
        <v>94.299000000000007</v>
      </c>
      <c r="X45" s="34">
        <f t="shared" si="0"/>
        <v>1.7581995232691838</v>
      </c>
      <c r="Y45" s="35">
        <f t="shared" si="5"/>
        <v>94.299000000000007</v>
      </c>
      <c r="Z45" s="36">
        <f t="shared" si="6"/>
        <v>0.79644425675675679</v>
      </c>
      <c r="AA45" s="6"/>
      <c r="AB45" s="37">
        <v>11.5</v>
      </c>
      <c r="AC45" s="38">
        <v>9.8420000000000005</v>
      </c>
      <c r="AD45" s="38"/>
      <c r="AE45" s="34">
        <f t="shared" si="7"/>
        <v>9.8420000000000005</v>
      </c>
      <c r="AF45" s="34">
        <f t="shared" si="8"/>
        <v>0.72046911529761914</v>
      </c>
      <c r="AG45" s="35" t="str">
        <f t="shared" si="1"/>
        <v/>
      </c>
      <c r="AH45" s="36">
        <f t="shared" si="2"/>
        <v>0.85582608695652174</v>
      </c>
    </row>
    <row r="46" spans="1:34" ht="1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29">
        <f t="shared" si="3"/>
        <v>33</v>
      </c>
      <c r="Q46" s="30" t="s">
        <v>108</v>
      </c>
      <c r="R46" s="31">
        <v>45825</v>
      </c>
      <c r="S46" s="68"/>
      <c r="T46" s="39">
        <v>118.4</v>
      </c>
      <c r="U46" s="38">
        <v>111.753</v>
      </c>
      <c r="V46" s="74"/>
      <c r="W46" s="34">
        <f t="shared" si="4"/>
        <v>111.753</v>
      </c>
      <c r="X46" s="34">
        <f t="shared" si="0"/>
        <v>0.21239678930122419</v>
      </c>
      <c r="Y46" s="35" t="str">
        <f t="shared" si="5"/>
        <v/>
      </c>
      <c r="Z46" s="36">
        <f t="shared" si="6"/>
        <v>0.9438597972972973</v>
      </c>
      <c r="AA46" s="6"/>
      <c r="AB46" s="37">
        <v>11.5</v>
      </c>
      <c r="AC46" s="38">
        <v>9.9619999999999997</v>
      </c>
      <c r="AD46" s="38"/>
      <c r="AE46" s="34">
        <f t="shared" si="7"/>
        <v>9.9619999999999997</v>
      </c>
      <c r="AF46" s="34">
        <f t="shared" si="8"/>
        <v>0.68004527598484921</v>
      </c>
      <c r="AG46" s="35" t="str">
        <f t="shared" si="1"/>
        <v/>
      </c>
      <c r="AH46" s="36">
        <f t="shared" si="2"/>
        <v>0.86626086956521742</v>
      </c>
    </row>
    <row r="47" spans="1:34" ht="1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29">
        <f t="shared" si="3"/>
        <v>34</v>
      </c>
      <c r="Q47" s="30" t="s">
        <v>108</v>
      </c>
      <c r="R47" s="31">
        <v>45825</v>
      </c>
      <c r="S47" s="68"/>
      <c r="T47" s="39">
        <v>118.4</v>
      </c>
      <c r="U47" s="38">
        <v>115.899</v>
      </c>
      <c r="V47" s="74"/>
      <c r="W47" s="34">
        <f t="shared" si="4"/>
        <v>115.899</v>
      </c>
      <c r="X47" s="34">
        <f t="shared" si="0"/>
        <v>0.15479114097442406</v>
      </c>
      <c r="Y47" s="35" t="str">
        <f t="shared" si="5"/>
        <v/>
      </c>
      <c r="Z47" s="36">
        <f t="shared" si="6"/>
        <v>0.97887668918918913</v>
      </c>
      <c r="AA47" s="6"/>
      <c r="AB47" s="37">
        <v>11.5</v>
      </c>
      <c r="AC47" s="38">
        <v>8.7789999999999999</v>
      </c>
      <c r="AD47" s="38"/>
      <c r="AE47" s="34">
        <f t="shared" si="7"/>
        <v>8.7789999999999999</v>
      </c>
      <c r="AF47" s="34">
        <f t="shared" si="8"/>
        <v>1.0785569585432415</v>
      </c>
      <c r="AG47" s="35" t="str">
        <f t="shared" si="1"/>
        <v/>
      </c>
      <c r="AH47" s="36">
        <f t="shared" si="2"/>
        <v>0.76339130434782609</v>
      </c>
    </row>
    <row r="48" spans="1:34" ht="1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29">
        <f t="shared" si="3"/>
        <v>35</v>
      </c>
      <c r="Q48" s="30" t="s">
        <v>106</v>
      </c>
      <c r="R48" s="31">
        <v>45860</v>
      </c>
      <c r="S48" s="68"/>
      <c r="T48" s="39">
        <v>118.4</v>
      </c>
      <c r="U48" s="38">
        <v>135.42599999999999</v>
      </c>
      <c r="V48" s="74"/>
      <c r="W48" s="34">
        <f t="shared" si="4"/>
        <v>135.42599999999999</v>
      </c>
      <c r="X48" s="34">
        <f t="shared" si="0"/>
        <v>1.8841878400802072</v>
      </c>
      <c r="Y48" s="35">
        <f t="shared" si="5"/>
        <v>135.42599999999999</v>
      </c>
      <c r="Z48" s="36">
        <f t="shared" si="6"/>
        <v>1.1438006756756756</v>
      </c>
      <c r="AA48" s="6"/>
      <c r="AB48" s="37">
        <v>11.5</v>
      </c>
      <c r="AC48" s="38">
        <v>8.67</v>
      </c>
      <c r="AD48" s="38"/>
      <c r="AE48" s="34">
        <f t="shared" si="7"/>
        <v>8.67</v>
      </c>
      <c r="AF48" s="34">
        <f t="shared" si="8"/>
        <v>1.115275279252341</v>
      </c>
      <c r="AG48" s="35" t="str">
        <f t="shared" si="1"/>
        <v/>
      </c>
      <c r="AH48" s="36">
        <f t="shared" si="2"/>
        <v>0.75391304347826082</v>
      </c>
    </row>
    <row r="49" spans="1:34" ht="1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29">
        <f t="shared" si="3"/>
        <v>36</v>
      </c>
      <c r="Q49" s="30" t="s">
        <v>106</v>
      </c>
      <c r="R49" s="31">
        <v>45860</v>
      </c>
      <c r="S49" s="68"/>
      <c r="T49" s="39">
        <v>118.4</v>
      </c>
      <c r="U49" s="38">
        <v>137.578</v>
      </c>
      <c r="V49" s="74"/>
      <c r="W49" s="34">
        <f t="shared" si="4"/>
        <v>137.578</v>
      </c>
      <c r="X49" s="34">
        <f t="shared" si="0"/>
        <v>2.0747783914437385</v>
      </c>
      <c r="Y49" s="35">
        <f t="shared" si="5"/>
        <v>137.578</v>
      </c>
      <c r="Z49" s="36">
        <f t="shared" si="6"/>
        <v>1.1619763513513512</v>
      </c>
      <c r="AA49" s="6"/>
      <c r="AB49" s="37">
        <v>11.5</v>
      </c>
      <c r="AC49" s="38">
        <v>9.8989999999999991</v>
      </c>
      <c r="AD49" s="38"/>
      <c r="AE49" s="34">
        <f t="shared" si="7"/>
        <v>9.8989999999999991</v>
      </c>
      <c r="AF49" s="34">
        <f t="shared" si="8"/>
        <v>0.70126779162405373</v>
      </c>
      <c r="AG49" s="35" t="str">
        <f t="shared" si="1"/>
        <v/>
      </c>
      <c r="AH49" s="36">
        <f t="shared" si="2"/>
        <v>0.86078260869565215</v>
      </c>
    </row>
    <row r="50" spans="1:34" ht="1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29">
        <f t="shared" si="3"/>
        <v>37</v>
      </c>
      <c r="Q50" s="30" t="s">
        <v>106</v>
      </c>
      <c r="R50" s="31">
        <v>45912</v>
      </c>
      <c r="S50" s="68"/>
      <c r="T50" s="39">
        <v>118.4</v>
      </c>
      <c r="U50" s="38">
        <v>115.129</v>
      </c>
      <c r="V50" s="74"/>
      <c r="W50" s="34">
        <f t="shared" si="4"/>
        <v>115.129</v>
      </c>
      <c r="X50" s="34">
        <f t="shared" si="0"/>
        <v>8.659656636944392E-2</v>
      </c>
      <c r="Y50" s="35" t="str">
        <f t="shared" si="5"/>
        <v/>
      </c>
      <c r="Z50" s="36">
        <f t="shared" si="6"/>
        <v>0.9723733108108108</v>
      </c>
      <c r="AA50" s="6"/>
      <c r="AB50" s="37">
        <v>11.5</v>
      </c>
      <c r="AC50" s="38">
        <v>9.6110000000000007</v>
      </c>
      <c r="AD50" s="38"/>
      <c r="AE50" s="34">
        <f t="shared" si="7"/>
        <v>9.6110000000000007</v>
      </c>
      <c r="AF50" s="34">
        <f t="shared" si="8"/>
        <v>0.79828500597470164</v>
      </c>
      <c r="AG50" s="35" t="str">
        <f t="shared" si="1"/>
        <v/>
      </c>
      <c r="AH50" s="36">
        <f t="shared" si="2"/>
        <v>0.83573913043478265</v>
      </c>
    </row>
    <row r="51" spans="1:34" ht="1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29">
        <f t="shared" si="3"/>
        <v>38</v>
      </c>
      <c r="Q51" s="30" t="s">
        <v>106</v>
      </c>
      <c r="R51" s="31">
        <v>46044</v>
      </c>
      <c r="S51" s="68"/>
      <c r="T51" s="39">
        <v>118.4</v>
      </c>
      <c r="U51" s="38">
        <v>110.587</v>
      </c>
      <c r="V51" s="74"/>
      <c r="W51" s="34">
        <f t="shared" si="4"/>
        <v>110.587</v>
      </c>
      <c r="X51" s="34">
        <f t="shared" si="0"/>
        <v>0.31566285941733718</v>
      </c>
      <c r="Y51" s="35" t="str">
        <f t="shared" si="5"/>
        <v/>
      </c>
      <c r="Z51" s="36">
        <f t="shared" si="6"/>
        <v>0.93401182432432428</v>
      </c>
      <c r="AA51" s="6"/>
      <c r="AB51" s="37">
        <v>11.5</v>
      </c>
      <c r="AC51" s="38">
        <v>8.5549999999999997</v>
      </c>
      <c r="AD51" s="38"/>
      <c r="AE51" s="34">
        <f t="shared" si="7"/>
        <v>8.5549999999999997</v>
      </c>
      <c r="AF51" s="34">
        <f t="shared" si="8"/>
        <v>1.1540147919270791</v>
      </c>
      <c r="AG51" s="35" t="str">
        <f t="shared" si="1"/>
        <v/>
      </c>
      <c r="AH51" s="36">
        <f t="shared" si="2"/>
        <v>0.74391304347826082</v>
      </c>
    </row>
    <row r="52" spans="1:34" ht="1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29">
        <f t="shared" si="3"/>
        <v>39</v>
      </c>
      <c r="Q52" s="30" t="s">
        <v>106</v>
      </c>
      <c r="R52" s="31">
        <v>46044</v>
      </c>
      <c r="S52" s="68"/>
      <c r="T52" s="39">
        <v>118.4</v>
      </c>
      <c r="U52" s="38">
        <v>116.794</v>
      </c>
      <c r="V52" s="74"/>
      <c r="W52" s="34">
        <f t="shared" si="4"/>
        <v>116.794</v>
      </c>
      <c r="X52" s="34">
        <f t="shared" si="0"/>
        <v>0.23405626340488803</v>
      </c>
      <c r="Y52" s="35" t="str">
        <f t="shared" si="5"/>
        <v/>
      </c>
      <c r="Z52" s="36">
        <f t="shared" si="6"/>
        <v>0.98643581081081078</v>
      </c>
      <c r="AA52" s="6"/>
      <c r="AB52" s="37">
        <v>11.5</v>
      </c>
      <c r="AC52" s="38">
        <v>10.548999999999999</v>
      </c>
      <c r="AD52" s="38"/>
      <c r="AE52" s="34">
        <f t="shared" si="7"/>
        <v>10.548999999999999</v>
      </c>
      <c r="AF52" s="34">
        <f t="shared" si="8"/>
        <v>0.48230532867988202</v>
      </c>
      <c r="AG52" s="35" t="str">
        <f t="shared" si="1"/>
        <v/>
      </c>
      <c r="AH52" s="36">
        <f t="shared" si="2"/>
        <v>0.91730434782608694</v>
      </c>
    </row>
    <row r="53" spans="1:34" ht="1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29">
        <f t="shared" si="3"/>
        <v>40</v>
      </c>
      <c r="Q53" s="30" t="s">
        <v>106</v>
      </c>
      <c r="R53" s="31">
        <v>46048</v>
      </c>
      <c r="S53" s="68"/>
      <c r="T53" s="39">
        <v>118.4</v>
      </c>
      <c r="U53" s="38">
        <v>114.67</v>
      </c>
      <c r="V53" s="74"/>
      <c r="W53" s="34">
        <f t="shared" si="4"/>
        <v>114.67</v>
      </c>
      <c r="X53" s="34">
        <f t="shared" si="0"/>
        <v>4.5945514754266961E-2</v>
      </c>
      <c r="Y53" s="35" t="str">
        <f t="shared" si="5"/>
        <v/>
      </c>
      <c r="Z53" s="36">
        <f t="shared" si="6"/>
        <v>0.96849662162162153</v>
      </c>
      <c r="AA53" s="6"/>
      <c r="AB53" s="37">
        <v>11.5</v>
      </c>
      <c r="AC53" s="38">
        <v>7.9969999999999999</v>
      </c>
      <c r="AD53" s="38"/>
      <c r="AE53" s="34">
        <f t="shared" si="7"/>
        <v>7.9969999999999999</v>
      </c>
      <c r="AF53" s="34">
        <f t="shared" si="8"/>
        <v>1.3419856447314604</v>
      </c>
      <c r="AG53" s="35" t="str">
        <f t="shared" si="1"/>
        <v/>
      </c>
      <c r="AH53" s="36">
        <f t="shared" si="2"/>
        <v>0.69539130434782603</v>
      </c>
    </row>
    <row r="54" spans="1:34" ht="1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29">
        <f t="shared" si="3"/>
        <v>41</v>
      </c>
      <c r="Q54" s="30" t="s">
        <v>106</v>
      </c>
      <c r="R54" s="31">
        <v>46048</v>
      </c>
      <c r="S54" s="68"/>
      <c r="T54" s="39">
        <v>118.4</v>
      </c>
      <c r="U54" s="38">
        <v>113.999</v>
      </c>
      <c r="V54" s="74"/>
      <c r="W54" s="34">
        <f t="shared" si="4"/>
        <v>113.999</v>
      </c>
      <c r="X54" s="34">
        <f t="shared" si="0"/>
        <v>1.348118597293089E-2</v>
      </c>
      <c r="Y54" s="35" t="str">
        <f t="shared" si="5"/>
        <v/>
      </c>
      <c r="Z54" s="36">
        <f t="shared" si="6"/>
        <v>0.96282939189189176</v>
      </c>
      <c r="AA54" s="6"/>
      <c r="AB54" s="37">
        <v>11.5</v>
      </c>
      <c r="AC54" s="38">
        <v>8.9250000000000007</v>
      </c>
      <c r="AD54" s="38"/>
      <c r="AE54" s="34">
        <f t="shared" si="7"/>
        <v>8.9250000000000007</v>
      </c>
      <c r="AF54" s="34">
        <f t="shared" si="8"/>
        <v>1.0293746207127044</v>
      </c>
      <c r="AG54" s="35" t="str">
        <f t="shared" si="1"/>
        <v/>
      </c>
      <c r="AH54" s="36">
        <f t="shared" si="2"/>
        <v>0.7760869565217392</v>
      </c>
    </row>
    <row r="55" spans="1:34" ht="1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29">
        <f t="shared" si="3"/>
        <v>42</v>
      </c>
      <c r="Q55" s="30" t="s">
        <v>106</v>
      </c>
      <c r="R55" s="31">
        <v>46065</v>
      </c>
      <c r="S55" s="68"/>
      <c r="T55" s="39">
        <v>118.4</v>
      </c>
      <c r="U55" s="38">
        <v>116.316</v>
      </c>
      <c r="V55" s="74"/>
      <c r="W55" s="34">
        <f t="shared" si="4"/>
        <v>116.316</v>
      </c>
      <c r="X55" s="34">
        <f t="shared" si="0"/>
        <v>0.19172248852023829</v>
      </c>
      <c r="Y55" s="35" t="str">
        <f t="shared" si="5"/>
        <v/>
      </c>
      <c r="Z55" s="36">
        <f t="shared" si="6"/>
        <v>0.98239864864864868</v>
      </c>
      <c r="AA55" s="6"/>
      <c r="AB55" s="37">
        <v>11.5</v>
      </c>
      <c r="AC55" s="38">
        <v>7.9939999999999998</v>
      </c>
      <c r="AD55" s="38"/>
      <c r="AE55" s="34">
        <f t="shared" si="7"/>
        <v>7.9939999999999998</v>
      </c>
      <c r="AF55" s="34">
        <f t="shared" si="8"/>
        <v>1.3429962407142797</v>
      </c>
      <c r="AG55" s="35" t="str">
        <f t="shared" si="1"/>
        <v/>
      </c>
      <c r="AH55" s="36">
        <f t="shared" si="2"/>
        <v>0.69513043478260872</v>
      </c>
    </row>
    <row r="56" spans="1:34" ht="1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29" t="str">
        <f t="shared" si="3"/>
        <v/>
      </c>
      <c r="Q56" s="30"/>
      <c r="R56" s="31"/>
      <c r="S56" s="68"/>
      <c r="T56" s="39">
        <v>118.4</v>
      </c>
      <c r="U56" s="38"/>
      <c r="V56" s="74"/>
      <c r="W56" s="34" t="str">
        <f t="shared" si="4"/>
        <v>FALSE</v>
      </c>
      <c r="X56" s="34" t="str">
        <f t="shared" si="0"/>
        <v>FALSE</v>
      </c>
      <c r="Y56" s="35">
        <f t="shared" si="5"/>
        <v>0</v>
      </c>
      <c r="Z56" s="36" t="str">
        <f t="shared" si="6"/>
        <v/>
      </c>
      <c r="AA56" s="6"/>
      <c r="AB56" s="37">
        <v>11.5</v>
      </c>
      <c r="AC56" s="38"/>
      <c r="AD56" s="38"/>
      <c r="AE56" s="34" t="str">
        <f t="shared" si="7"/>
        <v>FALSE</v>
      </c>
      <c r="AF56" s="34" t="str">
        <f t="shared" si="8"/>
        <v>FALSE</v>
      </c>
      <c r="AG56" s="35">
        <f t="shared" si="1"/>
        <v>0</v>
      </c>
      <c r="AH56" s="36" t="str">
        <f t="shared" si="2"/>
        <v/>
      </c>
    </row>
    <row r="57" spans="1:34" ht="14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29" t="str">
        <f t="shared" si="3"/>
        <v/>
      </c>
      <c r="Q57" s="30"/>
      <c r="R57" s="31"/>
      <c r="S57" s="68"/>
      <c r="T57" s="39">
        <v>118.4</v>
      </c>
      <c r="U57" s="38"/>
      <c r="V57" s="74"/>
      <c r="W57" s="34" t="str">
        <f t="shared" si="4"/>
        <v>FALSE</v>
      </c>
      <c r="X57" s="34" t="str">
        <f t="shared" si="0"/>
        <v>FALSE</v>
      </c>
      <c r="Y57" s="35">
        <f t="shared" si="5"/>
        <v>0</v>
      </c>
      <c r="Z57" s="36" t="str">
        <f t="shared" si="6"/>
        <v/>
      </c>
      <c r="AA57" s="42"/>
      <c r="AB57" s="37">
        <v>11.5</v>
      </c>
      <c r="AC57" s="38"/>
      <c r="AD57" s="38"/>
      <c r="AE57" s="34" t="str">
        <f t="shared" si="7"/>
        <v>FALSE</v>
      </c>
      <c r="AF57" s="34" t="str">
        <f t="shared" si="8"/>
        <v>FALSE</v>
      </c>
      <c r="AG57" s="35">
        <f t="shared" si="1"/>
        <v>0</v>
      </c>
      <c r="AH57" s="36" t="str">
        <f t="shared" si="2"/>
        <v/>
      </c>
    </row>
    <row r="58" spans="1:34" ht="1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29" t="str">
        <f t="shared" si="3"/>
        <v/>
      </c>
      <c r="Q58" s="30"/>
      <c r="R58" s="31"/>
      <c r="S58" s="68"/>
      <c r="T58" s="39">
        <v>118.4</v>
      </c>
      <c r="U58" s="38"/>
      <c r="V58" s="74"/>
      <c r="W58" s="34" t="str">
        <f t="shared" si="4"/>
        <v>FALSE</v>
      </c>
      <c r="X58" s="34" t="str">
        <f t="shared" si="0"/>
        <v>FALSE</v>
      </c>
      <c r="Y58" s="35">
        <f t="shared" si="5"/>
        <v>0</v>
      </c>
      <c r="Z58" s="36" t="str">
        <f t="shared" si="6"/>
        <v/>
      </c>
      <c r="AA58" s="6"/>
      <c r="AB58" s="41"/>
      <c r="AC58" s="38"/>
      <c r="AD58" s="38"/>
      <c r="AE58" s="34" t="str">
        <f t="shared" si="7"/>
        <v>FALSE</v>
      </c>
      <c r="AF58" s="34" t="str">
        <f t="shared" si="8"/>
        <v>FALSE</v>
      </c>
      <c r="AG58" s="35">
        <f t="shared" si="1"/>
        <v>0</v>
      </c>
      <c r="AH58" s="36" t="str">
        <f t="shared" si="2"/>
        <v/>
      </c>
    </row>
    <row r="59" spans="1:34" ht="1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29" t="str">
        <f t="shared" si="3"/>
        <v/>
      </c>
      <c r="Q59" s="30"/>
      <c r="R59" s="31"/>
      <c r="S59" s="68"/>
      <c r="T59" s="40"/>
      <c r="U59" s="38"/>
      <c r="V59" s="74"/>
      <c r="W59" s="34" t="str">
        <f t="shared" si="4"/>
        <v>FALSE</v>
      </c>
      <c r="X59" s="34" t="str">
        <f t="shared" si="0"/>
        <v>FALSE</v>
      </c>
      <c r="Y59" s="35">
        <f t="shared" si="5"/>
        <v>0</v>
      </c>
      <c r="Z59" s="36" t="str">
        <f t="shared" si="6"/>
        <v/>
      </c>
      <c r="AA59" s="6"/>
      <c r="AB59" s="41"/>
      <c r="AC59" s="38"/>
      <c r="AD59" s="38"/>
      <c r="AE59" s="34" t="str">
        <f t="shared" si="7"/>
        <v>FALSE</v>
      </c>
      <c r="AF59" s="34" t="str">
        <f t="shared" si="8"/>
        <v>FALSE</v>
      </c>
      <c r="AG59" s="35">
        <f t="shared" si="1"/>
        <v>0</v>
      </c>
      <c r="AH59" s="36" t="str">
        <f t="shared" si="2"/>
        <v/>
      </c>
    </row>
    <row r="60" spans="1:34" ht="1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29" t="str">
        <f t="shared" si="3"/>
        <v/>
      </c>
      <c r="Q60" s="30"/>
      <c r="R60" s="31"/>
      <c r="S60" s="68"/>
      <c r="T60" s="40"/>
      <c r="U60" s="38"/>
      <c r="V60" s="74"/>
      <c r="W60" s="34" t="str">
        <f t="shared" si="4"/>
        <v>FALSE</v>
      </c>
      <c r="X60" s="34" t="str">
        <f t="shared" si="0"/>
        <v>FALSE</v>
      </c>
      <c r="Y60" s="35">
        <f t="shared" si="5"/>
        <v>0</v>
      </c>
      <c r="Z60" s="36" t="str">
        <f t="shared" si="6"/>
        <v/>
      </c>
      <c r="AA60" s="6"/>
      <c r="AB60" s="41"/>
      <c r="AC60" s="38"/>
      <c r="AD60" s="38"/>
      <c r="AE60" s="34" t="str">
        <f t="shared" si="7"/>
        <v>FALSE</v>
      </c>
      <c r="AF60" s="34" t="str">
        <f t="shared" si="8"/>
        <v>FALSE</v>
      </c>
      <c r="AG60" s="35">
        <f t="shared" si="1"/>
        <v>0</v>
      </c>
      <c r="AH60" s="36" t="str">
        <f t="shared" si="2"/>
        <v/>
      </c>
    </row>
    <row r="61" spans="1:34" ht="1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29" t="str">
        <f t="shared" si="3"/>
        <v/>
      </c>
      <c r="Q61" s="30"/>
      <c r="R61" s="31"/>
      <c r="S61" s="68"/>
      <c r="T61" s="40"/>
      <c r="U61" s="38"/>
      <c r="V61" s="74"/>
      <c r="W61" s="34" t="str">
        <f t="shared" si="4"/>
        <v>FALSE</v>
      </c>
      <c r="X61" s="34" t="str">
        <f t="shared" si="0"/>
        <v>FALSE</v>
      </c>
      <c r="Y61" s="35">
        <f t="shared" si="5"/>
        <v>0</v>
      </c>
      <c r="Z61" s="36" t="str">
        <f t="shared" si="6"/>
        <v/>
      </c>
      <c r="AA61" s="6"/>
      <c r="AB61" s="41"/>
      <c r="AC61" s="38"/>
      <c r="AD61" s="38"/>
      <c r="AE61" s="34"/>
      <c r="AF61" s="34" t="str">
        <f t="shared" si="8"/>
        <v>FALSE</v>
      </c>
      <c r="AG61" s="35">
        <f t="shared" si="1"/>
        <v>0</v>
      </c>
      <c r="AH61" s="36" t="str">
        <f t="shared" si="2"/>
        <v/>
      </c>
    </row>
    <row r="62" spans="1:34" ht="1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29" t="str">
        <f t="shared" si="3"/>
        <v/>
      </c>
      <c r="Q62" s="30"/>
      <c r="R62" s="31"/>
      <c r="S62" s="68"/>
      <c r="T62" s="40"/>
      <c r="U62" s="38"/>
      <c r="V62" s="74"/>
      <c r="W62" s="34" t="str">
        <f t="shared" si="4"/>
        <v>FALSE</v>
      </c>
      <c r="X62" s="34" t="str">
        <f t="shared" si="0"/>
        <v>FALSE</v>
      </c>
      <c r="Y62" s="35">
        <f t="shared" si="5"/>
        <v>0</v>
      </c>
      <c r="Z62" s="36" t="str">
        <f t="shared" si="6"/>
        <v/>
      </c>
      <c r="AA62" s="6"/>
      <c r="AB62" s="41"/>
      <c r="AC62" s="38"/>
      <c r="AD62" s="38"/>
      <c r="AE62" s="34"/>
      <c r="AF62" s="34" t="str">
        <f t="shared" si="8"/>
        <v>FALSE</v>
      </c>
      <c r="AG62" s="35">
        <f t="shared" si="1"/>
        <v>0</v>
      </c>
      <c r="AH62" s="36" t="str">
        <f t="shared" si="2"/>
        <v/>
      </c>
    </row>
    <row r="63" spans="1:34" ht="1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29" t="str">
        <f t="shared" si="3"/>
        <v/>
      </c>
      <c r="Q63" s="30"/>
      <c r="R63" s="31"/>
      <c r="S63" s="68"/>
      <c r="T63" s="40"/>
      <c r="U63" s="38"/>
      <c r="V63" s="74"/>
      <c r="W63" s="34" t="str">
        <f t="shared" si="4"/>
        <v>FALSE</v>
      </c>
      <c r="X63" s="34" t="str">
        <f t="shared" si="0"/>
        <v>FALSE</v>
      </c>
      <c r="Y63" s="35">
        <f t="shared" si="5"/>
        <v>0</v>
      </c>
      <c r="Z63" s="36" t="str">
        <f t="shared" si="6"/>
        <v/>
      </c>
      <c r="AA63" s="6"/>
      <c r="AB63" s="41"/>
      <c r="AC63" s="38"/>
      <c r="AD63" s="38"/>
      <c r="AE63" s="34"/>
      <c r="AF63" s="34" t="str">
        <f t="shared" si="8"/>
        <v>FALSE</v>
      </c>
      <c r="AG63" s="35">
        <f t="shared" si="1"/>
        <v>0</v>
      </c>
      <c r="AH63" s="36" t="str">
        <f t="shared" si="2"/>
        <v/>
      </c>
    </row>
    <row r="64" spans="1:34" ht="1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29" t="str">
        <f t="shared" si="3"/>
        <v/>
      </c>
      <c r="Q64" s="30"/>
      <c r="R64" s="31"/>
      <c r="S64" s="68"/>
      <c r="T64" s="40"/>
      <c r="U64" s="38"/>
      <c r="V64" s="74"/>
      <c r="W64" s="34" t="str">
        <f t="shared" si="4"/>
        <v>FALSE</v>
      </c>
      <c r="X64" s="34" t="str">
        <f t="shared" si="0"/>
        <v>FALSE</v>
      </c>
      <c r="Y64" s="35">
        <f t="shared" si="5"/>
        <v>0</v>
      </c>
      <c r="Z64" s="36" t="str">
        <f t="shared" si="6"/>
        <v/>
      </c>
      <c r="AA64" s="6"/>
      <c r="AB64" s="41"/>
      <c r="AC64" s="38"/>
      <c r="AD64" s="38"/>
      <c r="AE64" s="34"/>
      <c r="AF64" s="34" t="str">
        <f t="shared" si="8"/>
        <v>FALSE</v>
      </c>
      <c r="AG64" s="35">
        <f t="shared" si="1"/>
        <v>0</v>
      </c>
      <c r="AH64" s="36" t="str">
        <f t="shared" si="2"/>
        <v/>
      </c>
    </row>
    <row r="65" spans="1:34" ht="1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29" t="str">
        <f t="shared" si="3"/>
        <v/>
      </c>
      <c r="Q65" s="30"/>
      <c r="R65" s="31"/>
      <c r="S65" s="68"/>
      <c r="T65" s="40"/>
      <c r="U65" s="38"/>
      <c r="V65" s="74"/>
      <c r="W65" s="34" t="str">
        <f t="shared" si="4"/>
        <v>FALSE</v>
      </c>
      <c r="X65" s="34" t="str">
        <f t="shared" si="0"/>
        <v>FALSE</v>
      </c>
      <c r="Y65" s="35">
        <f t="shared" si="5"/>
        <v>0</v>
      </c>
      <c r="Z65" s="36" t="str">
        <f t="shared" si="6"/>
        <v/>
      </c>
      <c r="AA65" s="6"/>
      <c r="AB65" s="41"/>
      <c r="AC65" s="38"/>
      <c r="AD65" s="38"/>
      <c r="AE65" s="34"/>
      <c r="AF65" s="34" t="str">
        <f t="shared" si="8"/>
        <v>FALSE</v>
      </c>
      <c r="AG65" s="35">
        <f t="shared" si="1"/>
        <v>0</v>
      </c>
      <c r="AH65" s="36" t="str">
        <f t="shared" si="2"/>
        <v/>
      </c>
    </row>
    <row r="66" spans="1:34" ht="1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29" t="str">
        <f t="shared" si="3"/>
        <v/>
      </c>
      <c r="Q66" s="30"/>
      <c r="R66" s="31"/>
      <c r="S66" s="68"/>
      <c r="T66" s="40"/>
      <c r="U66" s="38"/>
      <c r="V66" s="74"/>
      <c r="W66" s="34" t="str">
        <f t="shared" si="4"/>
        <v>FALSE</v>
      </c>
      <c r="X66" s="34" t="str">
        <f t="shared" si="0"/>
        <v>FALSE</v>
      </c>
      <c r="Y66" s="35">
        <f t="shared" si="5"/>
        <v>0</v>
      </c>
      <c r="Z66" s="36" t="str">
        <f t="shared" si="6"/>
        <v/>
      </c>
      <c r="AA66" s="6"/>
      <c r="AB66" s="41"/>
      <c r="AC66" s="38"/>
      <c r="AD66" s="38"/>
      <c r="AE66" s="34"/>
      <c r="AF66" s="34" t="str">
        <f t="shared" si="8"/>
        <v>FALSE</v>
      </c>
      <c r="AG66" s="35">
        <f t="shared" si="1"/>
        <v>0</v>
      </c>
      <c r="AH66" s="36" t="str">
        <f t="shared" si="2"/>
        <v/>
      </c>
    </row>
    <row r="67" spans="1:34" ht="1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29" t="str">
        <f t="shared" si="3"/>
        <v/>
      </c>
      <c r="Q67" s="30"/>
      <c r="R67" s="31"/>
      <c r="S67" s="68"/>
      <c r="T67" s="40"/>
      <c r="U67" s="38"/>
      <c r="V67" s="74"/>
      <c r="W67" s="34" t="str">
        <f t="shared" si="4"/>
        <v>FALSE</v>
      </c>
      <c r="X67" s="34" t="str">
        <f t="shared" si="0"/>
        <v>FALSE</v>
      </c>
      <c r="Y67" s="35">
        <f t="shared" si="5"/>
        <v>0</v>
      </c>
      <c r="Z67" s="36" t="str">
        <f t="shared" si="6"/>
        <v/>
      </c>
      <c r="AA67" s="6"/>
      <c r="AB67" s="41"/>
      <c r="AC67" s="38"/>
      <c r="AD67" s="38"/>
      <c r="AE67" s="34"/>
      <c r="AF67" s="34" t="str">
        <f t="shared" si="8"/>
        <v>FALSE</v>
      </c>
      <c r="AG67" s="35">
        <f t="shared" si="1"/>
        <v>0</v>
      </c>
      <c r="AH67" s="36" t="str">
        <f t="shared" si="2"/>
        <v/>
      </c>
    </row>
    <row r="68" spans="1:34" ht="1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29" t="str">
        <f t="shared" si="3"/>
        <v/>
      </c>
      <c r="Q68" s="30"/>
      <c r="R68" s="31"/>
      <c r="S68" s="68"/>
      <c r="T68" s="40"/>
      <c r="U68" s="38"/>
      <c r="V68" s="74"/>
      <c r="W68" s="34" t="str">
        <f t="shared" si="4"/>
        <v>FALSE</v>
      </c>
      <c r="X68" s="34" t="str">
        <f t="shared" si="0"/>
        <v>FALSE</v>
      </c>
      <c r="Y68" s="35">
        <f t="shared" si="5"/>
        <v>0</v>
      </c>
      <c r="Z68" s="36" t="str">
        <f t="shared" si="6"/>
        <v/>
      </c>
      <c r="AA68" s="6"/>
      <c r="AB68" s="41"/>
      <c r="AC68" s="38"/>
      <c r="AD68" s="38"/>
      <c r="AE68" s="34"/>
      <c r="AF68" s="34" t="str">
        <f t="shared" si="8"/>
        <v>FALSE</v>
      </c>
      <c r="AG68" s="35">
        <f t="shared" si="1"/>
        <v>0</v>
      </c>
      <c r="AH68" s="36" t="str">
        <f t="shared" si="2"/>
        <v/>
      </c>
    </row>
    <row r="69" spans="1:34" ht="1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29" t="str">
        <f t="shared" si="3"/>
        <v/>
      </c>
      <c r="Q69" s="30"/>
      <c r="R69" s="31"/>
      <c r="S69" s="68"/>
      <c r="T69" s="40"/>
      <c r="U69" s="38"/>
      <c r="V69" s="74"/>
      <c r="W69" s="34" t="str">
        <f t="shared" si="4"/>
        <v>FALSE</v>
      </c>
      <c r="X69" s="34" t="str">
        <f t="shared" si="0"/>
        <v>FALSE</v>
      </c>
      <c r="Y69" s="35">
        <f t="shared" si="5"/>
        <v>0</v>
      </c>
      <c r="Z69" s="36" t="str">
        <f t="shared" si="6"/>
        <v/>
      </c>
      <c r="AA69" s="6"/>
      <c r="AB69" s="41"/>
      <c r="AC69" s="38"/>
      <c r="AD69" s="38"/>
      <c r="AE69" s="34"/>
      <c r="AF69" s="34" t="str">
        <f t="shared" si="8"/>
        <v>FALSE</v>
      </c>
      <c r="AG69" s="35">
        <f t="shared" si="1"/>
        <v>0</v>
      </c>
      <c r="AH69" s="36" t="str">
        <f t="shared" si="2"/>
        <v/>
      </c>
    </row>
    <row r="70" spans="1:34" ht="1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29" t="str">
        <f t="shared" si="3"/>
        <v/>
      </c>
      <c r="Q70" s="30"/>
      <c r="R70" s="31"/>
      <c r="S70" s="68"/>
      <c r="T70" s="40"/>
      <c r="U70" s="38"/>
      <c r="V70" s="74"/>
      <c r="W70" s="34" t="str">
        <f t="shared" si="4"/>
        <v>FALSE</v>
      </c>
      <c r="X70" s="34" t="str">
        <f t="shared" si="0"/>
        <v>FALSE</v>
      </c>
      <c r="Y70" s="35">
        <f t="shared" si="5"/>
        <v>0</v>
      </c>
      <c r="Z70" s="36" t="str">
        <f t="shared" si="6"/>
        <v/>
      </c>
      <c r="AA70" s="6"/>
      <c r="AB70" s="41"/>
      <c r="AC70" s="38"/>
      <c r="AD70" s="38"/>
      <c r="AE70" s="34"/>
      <c r="AF70" s="34" t="str">
        <f t="shared" si="8"/>
        <v>FALSE</v>
      </c>
      <c r="AG70" s="35">
        <f t="shared" si="1"/>
        <v>0</v>
      </c>
      <c r="AH70" s="36" t="str">
        <f t="shared" si="2"/>
        <v/>
      </c>
    </row>
    <row r="71" spans="1:34" ht="1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29" t="str">
        <f t="shared" si="3"/>
        <v/>
      </c>
      <c r="Q71" s="30"/>
      <c r="R71" s="31"/>
      <c r="S71" s="68"/>
      <c r="T71" s="40"/>
      <c r="U71" s="38"/>
      <c r="V71" s="74"/>
      <c r="W71" s="34" t="str">
        <f t="shared" si="4"/>
        <v>FALSE</v>
      </c>
      <c r="X71" s="34" t="str">
        <f t="shared" si="0"/>
        <v>FALSE</v>
      </c>
      <c r="Y71" s="35">
        <f t="shared" si="5"/>
        <v>0</v>
      </c>
      <c r="Z71" s="36" t="str">
        <f t="shared" si="6"/>
        <v/>
      </c>
      <c r="AA71" s="6"/>
      <c r="AB71" s="41"/>
      <c r="AC71" s="38"/>
      <c r="AD71" s="38"/>
      <c r="AE71" s="34"/>
      <c r="AF71" s="34" t="str">
        <f t="shared" si="8"/>
        <v>FALSE</v>
      </c>
      <c r="AG71" s="35">
        <f t="shared" si="1"/>
        <v>0</v>
      </c>
      <c r="AH71" s="36" t="str">
        <f t="shared" si="2"/>
        <v/>
      </c>
    </row>
    <row r="72" spans="1:34" ht="1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29" t="str">
        <f t="shared" si="3"/>
        <v/>
      </c>
      <c r="Q72" s="30"/>
      <c r="R72" s="31"/>
      <c r="S72" s="68"/>
      <c r="T72" s="40"/>
      <c r="U72" s="38"/>
      <c r="V72" s="74"/>
      <c r="W72" s="34" t="str">
        <f t="shared" si="4"/>
        <v>FALSE</v>
      </c>
      <c r="X72" s="34" t="str">
        <f t="shared" si="0"/>
        <v>FALSE</v>
      </c>
      <c r="Y72" s="35">
        <f t="shared" si="5"/>
        <v>0</v>
      </c>
      <c r="Z72" s="36" t="str">
        <f t="shared" si="6"/>
        <v/>
      </c>
      <c r="AA72" s="6"/>
      <c r="AB72" s="41"/>
      <c r="AC72" s="38"/>
      <c r="AD72" s="38"/>
      <c r="AE72" s="34"/>
      <c r="AF72" s="34" t="str">
        <f t="shared" si="8"/>
        <v>FALSE</v>
      </c>
      <c r="AG72" s="35">
        <f t="shared" si="1"/>
        <v>0</v>
      </c>
      <c r="AH72" s="36" t="str">
        <f t="shared" si="2"/>
        <v/>
      </c>
    </row>
    <row r="73" spans="1:34" ht="1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29" t="str">
        <f t="shared" si="3"/>
        <v/>
      </c>
      <c r="Q73" s="30"/>
      <c r="R73" s="31"/>
      <c r="S73" s="68"/>
      <c r="T73" s="40"/>
      <c r="U73" s="38"/>
      <c r="V73" s="74"/>
      <c r="W73" s="34" t="str">
        <f t="shared" si="4"/>
        <v>FALSE</v>
      </c>
      <c r="X73" s="34" t="str">
        <f t="shared" si="0"/>
        <v>FALSE</v>
      </c>
      <c r="Y73" s="35">
        <f t="shared" si="5"/>
        <v>0</v>
      </c>
      <c r="Z73" s="36" t="str">
        <f t="shared" si="6"/>
        <v/>
      </c>
      <c r="AA73" s="6"/>
      <c r="AB73" s="41"/>
      <c r="AC73" s="38"/>
      <c r="AD73" s="38"/>
      <c r="AE73" s="34"/>
      <c r="AF73" s="34" t="str">
        <f t="shared" si="8"/>
        <v>FALSE</v>
      </c>
      <c r="AG73" s="35">
        <f t="shared" si="1"/>
        <v>0</v>
      </c>
      <c r="AH73" s="36" t="str">
        <f t="shared" si="2"/>
        <v/>
      </c>
    </row>
    <row r="74" spans="1:34" ht="1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29" t="str">
        <f t="shared" si="3"/>
        <v/>
      </c>
      <c r="Q74" s="30"/>
      <c r="R74" s="31"/>
      <c r="S74" s="68"/>
      <c r="T74" s="40"/>
      <c r="U74" s="38"/>
      <c r="V74" s="74"/>
      <c r="W74" s="34" t="str">
        <f t="shared" si="4"/>
        <v>FALSE</v>
      </c>
      <c r="X74" s="34" t="str">
        <f t="shared" si="0"/>
        <v>FALSE</v>
      </c>
      <c r="Y74" s="35">
        <f t="shared" si="5"/>
        <v>0</v>
      </c>
      <c r="Z74" s="36" t="str">
        <f t="shared" si="6"/>
        <v/>
      </c>
      <c r="AA74" s="6"/>
      <c r="AB74" s="41"/>
      <c r="AC74" s="38"/>
      <c r="AD74" s="38"/>
      <c r="AE74" s="34"/>
      <c r="AF74" s="34" t="str">
        <f t="shared" si="8"/>
        <v>FALSE</v>
      </c>
      <c r="AG74" s="35">
        <f t="shared" si="1"/>
        <v>0</v>
      </c>
      <c r="AH74" s="36" t="str">
        <f t="shared" si="2"/>
        <v/>
      </c>
    </row>
    <row r="75" spans="1:34" ht="1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29" t="str">
        <f t="shared" si="3"/>
        <v/>
      </c>
      <c r="Q75" s="30"/>
      <c r="R75" s="31"/>
      <c r="S75" s="68"/>
      <c r="T75" s="40"/>
      <c r="U75" s="38"/>
      <c r="V75" s="74"/>
      <c r="W75" s="34" t="str">
        <f t="shared" si="4"/>
        <v>FALSE</v>
      </c>
      <c r="X75" s="34" t="str">
        <f t="shared" si="0"/>
        <v>FALSE</v>
      </c>
      <c r="Y75" s="35">
        <f t="shared" si="5"/>
        <v>0</v>
      </c>
      <c r="Z75" s="36" t="str">
        <f t="shared" si="6"/>
        <v/>
      </c>
      <c r="AA75" s="6"/>
      <c r="AB75" s="41"/>
      <c r="AC75" s="38"/>
      <c r="AD75" s="38"/>
      <c r="AE75" s="34"/>
      <c r="AF75" s="34" t="str">
        <f t="shared" si="8"/>
        <v>FALSE</v>
      </c>
      <c r="AG75" s="35">
        <f t="shared" si="1"/>
        <v>0</v>
      </c>
      <c r="AH75" s="36" t="str">
        <f t="shared" si="2"/>
        <v/>
      </c>
    </row>
    <row r="76" spans="1:34" ht="1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29" t="str">
        <f t="shared" si="3"/>
        <v/>
      </c>
      <c r="Q76" s="30"/>
      <c r="R76" s="31"/>
      <c r="S76" s="68"/>
      <c r="T76" s="40"/>
      <c r="U76" s="38"/>
      <c r="V76" s="74"/>
      <c r="W76" s="34" t="str">
        <f t="shared" si="4"/>
        <v>FALSE</v>
      </c>
      <c r="X76" s="34" t="str">
        <f t="shared" si="0"/>
        <v>FALSE</v>
      </c>
      <c r="Y76" s="35">
        <f t="shared" si="5"/>
        <v>0</v>
      </c>
      <c r="Z76" s="36" t="str">
        <f t="shared" si="6"/>
        <v/>
      </c>
      <c r="AA76" s="6"/>
      <c r="AB76" s="41"/>
      <c r="AC76" s="38"/>
      <c r="AD76" s="38"/>
      <c r="AE76" s="34"/>
      <c r="AF76" s="34" t="str">
        <f t="shared" si="8"/>
        <v>FALSE</v>
      </c>
      <c r="AG76" s="35">
        <f t="shared" si="1"/>
        <v>0</v>
      </c>
      <c r="AH76" s="36" t="str">
        <f t="shared" si="2"/>
        <v/>
      </c>
    </row>
    <row r="77" spans="1:34" ht="1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29" t="str">
        <f t="shared" si="3"/>
        <v/>
      </c>
      <c r="Q77" s="30"/>
      <c r="R77" s="31"/>
      <c r="S77" s="68"/>
      <c r="T77" s="40"/>
      <c r="U77" s="38"/>
      <c r="V77" s="74"/>
      <c r="W77" s="34" t="str">
        <f t="shared" si="4"/>
        <v>FALSE</v>
      </c>
      <c r="X77" s="34" t="str">
        <f t="shared" si="0"/>
        <v>FALSE</v>
      </c>
      <c r="Y77" s="35">
        <f t="shared" si="5"/>
        <v>0</v>
      </c>
      <c r="Z77" s="36" t="str">
        <f t="shared" si="6"/>
        <v/>
      </c>
      <c r="AA77" s="6"/>
      <c r="AB77" s="41"/>
      <c r="AC77" s="38"/>
      <c r="AD77" s="38"/>
      <c r="AE77" s="34"/>
      <c r="AF77" s="34" t="str">
        <f t="shared" si="8"/>
        <v>FALSE</v>
      </c>
      <c r="AG77" s="35">
        <f t="shared" si="1"/>
        <v>0</v>
      </c>
      <c r="AH77" s="36" t="str">
        <f t="shared" si="2"/>
        <v/>
      </c>
    </row>
    <row r="78" spans="1:34" ht="1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29" t="str">
        <f t="shared" si="3"/>
        <v/>
      </c>
      <c r="Q78" s="30"/>
      <c r="R78" s="31"/>
      <c r="S78" s="68"/>
      <c r="T78" s="40"/>
      <c r="U78" s="38"/>
      <c r="V78" s="74"/>
      <c r="W78" s="34" t="str">
        <f t="shared" si="4"/>
        <v>FALSE</v>
      </c>
      <c r="X78" s="34" t="str">
        <f t="shared" ref="X78:X120" si="9">IF(U78="","FALSE",ABS((U78-AVERAGE($U$14:$U$120))/_xlfn.STDEV.S($U$14:$U$104)))</f>
        <v>FALSE</v>
      </c>
      <c r="Y78" s="35">
        <f t="shared" si="5"/>
        <v>0</v>
      </c>
      <c r="Z78" s="36" t="str">
        <f t="shared" si="6"/>
        <v/>
      </c>
      <c r="AA78" s="6"/>
      <c r="AB78" s="41"/>
      <c r="AC78" s="38"/>
      <c r="AD78" s="38"/>
      <c r="AE78" s="34"/>
      <c r="AF78" s="34" t="str">
        <f t="shared" si="8"/>
        <v>FALSE</v>
      </c>
      <c r="AG78" s="35">
        <f t="shared" ref="AG78:AG120" si="10">IF(OR(AC78&gt;$AG$11,AC78&lt;$AF$11),AC78,"")</f>
        <v>0</v>
      </c>
      <c r="AH78" s="36" t="str">
        <f t="shared" ref="AH78:AH120" si="11">IF(AC78="","",AC78/AB78)</f>
        <v/>
      </c>
    </row>
    <row r="79" spans="1:34" ht="1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29" t="str">
        <f t="shared" ref="P79:P120" si="12">IF(R79&lt;&gt;"",P78+1,"")</f>
        <v/>
      </c>
      <c r="Q79" s="30"/>
      <c r="R79" s="31"/>
      <c r="S79" s="68"/>
      <c r="T79" s="40"/>
      <c r="U79" s="38"/>
      <c r="V79" s="74"/>
      <c r="W79" s="34" t="str">
        <f t="shared" ref="W79:W120" si="13">IF(X79&gt;3,"FALSE",U79)</f>
        <v>FALSE</v>
      </c>
      <c r="X79" s="34" t="str">
        <f t="shared" si="9"/>
        <v>FALSE</v>
      </c>
      <c r="Y79" s="35">
        <f t="shared" ref="Y79:Y120" si="14">IF(OR(U79&gt;$Y$11,U79&lt;$X$11),U79,"")</f>
        <v>0</v>
      </c>
      <c r="Z79" s="36" t="str">
        <f t="shared" ref="Z79:Z120" si="15">IF(U79="","",U79/T79)</f>
        <v/>
      </c>
      <c r="AA79" s="6"/>
      <c r="AB79" s="41"/>
      <c r="AC79" s="38"/>
      <c r="AD79" s="38"/>
      <c r="AE79" s="34"/>
      <c r="AF79" s="34" t="str">
        <f t="shared" ref="AF79:AF120" si="16">IF(AC79="","FALSE",ABS((AC79-AVERAGE($AC$14:$AC$120))/_xlfn.STDEV.S($AC$14:$AC$104)))</f>
        <v>FALSE</v>
      </c>
      <c r="AG79" s="35">
        <f t="shared" si="10"/>
        <v>0</v>
      </c>
      <c r="AH79" s="36" t="str">
        <f t="shared" si="11"/>
        <v/>
      </c>
    </row>
    <row r="80" spans="1:34" ht="1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29" t="str">
        <f t="shared" si="12"/>
        <v/>
      </c>
      <c r="Q80" s="30"/>
      <c r="R80" s="31"/>
      <c r="S80" s="68"/>
      <c r="T80" s="40"/>
      <c r="U80" s="38"/>
      <c r="V80" s="74"/>
      <c r="W80" s="34" t="str">
        <f t="shared" si="13"/>
        <v>FALSE</v>
      </c>
      <c r="X80" s="34" t="str">
        <f t="shared" si="9"/>
        <v>FALSE</v>
      </c>
      <c r="Y80" s="35">
        <f t="shared" si="14"/>
        <v>0</v>
      </c>
      <c r="Z80" s="36" t="str">
        <f t="shared" si="15"/>
        <v/>
      </c>
      <c r="AA80" s="6"/>
      <c r="AB80" s="41"/>
      <c r="AC80" s="38"/>
      <c r="AD80" s="38"/>
      <c r="AE80" s="34"/>
      <c r="AF80" s="34" t="str">
        <f t="shared" si="16"/>
        <v>FALSE</v>
      </c>
      <c r="AG80" s="35">
        <f t="shared" si="10"/>
        <v>0</v>
      </c>
      <c r="AH80" s="36" t="str">
        <f t="shared" si="11"/>
        <v/>
      </c>
    </row>
    <row r="81" spans="1:34" ht="1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29" t="str">
        <f t="shared" si="12"/>
        <v/>
      </c>
      <c r="Q81" s="30"/>
      <c r="R81" s="31"/>
      <c r="S81" s="68"/>
      <c r="T81" s="40"/>
      <c r="U81" s="38"/>
      <c r="V81" s="74"/>
      <c r="W81" s="34" t="str">
        <f t="shared" si="13"/>
        <v>FALSE</v>
      </c>
      <c r="X81" s="34" t="str">
        <f t="shared" si="9"/>
        <v>FALSE</v>
      </c>
      <c r="Y81" s="35">
        <f t="shared" si="14"/>
        <v>0</v>
      </c>
      <c r="Z81" s="36" t="str">
        <f t="shared" si="15"/>
        <v/>
      </c>
      <c r="AA81" s="6"/>
      <c r="AB81" s="41"/>
      <c r="AC81" s="38"/>
      <c r="AD81" s="38"/>
      <c r="AE81" s="34"/>
      <c r="AF81" s="34" t="str">
        <f t="shared" si="16"/>
        <v>FALSE</v>
      </c>
      <c r="AG81" s="35">
        <f t="shared" si="10"/>
        <v>0</v>
      </c>
      <c r="AH81" s="36" t="str">
        <f t="shared" si="11"/>
        <v/>
      </c>
    </row>
    <row r="82" spans="1:34" ht="1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29" t="str">
        <f t="shared" si="12"/>
        <v/>
      </c>
      <c r="Q82" s="30"/>
      <c r="R82" s="31"/>
      <c r="S82" s="68"/>
      <c r="T82" s="40"/>
      <c r="U82" s="38"/>
      <c r="V82" s="74"/>
      <c r="W82" s="34" t="str">
        <f t="shared" si="13"/>
        <v>FALSE</v>
      </c>
      <c r="X82" s="34" t="str">
        <f t="shared" si="9"/>
        <v>FALSE</v>
      </c>
      <c r="Y82" s="35">
        <f t="shared" si="14"/>
        <v>0</v>
      </c>
      <c r="Z82" s="36" t="str">
        <f t="shared" si="15"/>
        <v/>
      </c>
      <c r="AA82" s="6"/>
      <c r="AB82" s="41"/>
      <c r="AC82" s="38"/>
      <c r="AD82" s="38"/>
      <c r="AE82" s="34"/>
      <c r="AF82" s="34" t="str">
        <f t="shared" si="16"/>
        <v>FALSE</v>
      </c>
      <c r="AG82" s="35">
        <f t="shared" si="10"/>
        <v>0</v>
      </c>
      <c r="AH82" s="36" t="str">
        <f t="shared" si="11"/>
        <v/>
      </c>
    </row>
    <row r="83" spans="1:34" ht="1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29" t="str">
        <f t="shared" si="12"/>
        <v/>
      </c>
      <c r="Q83" s="30"/>
      <c r="R83" s="31"/>
      <c r="S83" s="68"/>
      <c r="T83" s="40"/>
      <c r="U83" s="38"/>
      <c r="V83" s="74"/>
      <c r="W83" s="34" t="str">
        <f t="shared" si="13"/>
        <v>FALSE</v>
      </c>
      <c r="X83" s="34" t="str">
        <f t="shared" si="9"/>
        <v>FALSE</v>
      </c>
      <c r="Y83" s="35">
        <f t="shared" si="14"/>
        <v>0</v>
      </c>
      <c r="Z83" s="36" t="str">
        <f t="shared" si="15"/>
        <v/>
      </c>
      <c r="AA83" s="6"/>
      <c r="AB83" s="41"/>
      <c r="AC83" s="38"/>
      <c r="AD83" s="38"/>
      <c r="AE83" s="34"/>
      <c r="AF83" s="34" t="str">
        <f t="shared" si="16"/>
        <v>FALSE</v>
      </c>
      <c r="AG83" s="35">
        <f t="shared" si="10"/>
        <v>0</v>
      </c>
      <c r="AH83" s="36" t="str">
        <f t="shared" si="11"/>
        <v/>
      </c>
    </row>
    <row r="84" spans="1:34" ht="1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29" t="str">
        <f t="shared" si="12"/>
        <v/>
      </c>
      <c r="Q84" s="30"/>
      <c r="R84" s="31"/>
      <c r="S84" s="68"/>
      <c r="T84" s="40"/>
      <c r="U84" s="38"/>
      <c r="V84" s="74"/>
      <c r="W84" s="34" t="str">
        <f t="shared" si="13"/>
        <v>FALSE</v>
      </c>
      <c r="X84" s="34" t="str">
        <f t="shared" si="9"/>
        <v>FALSE</v>
      </c>
      <c r="Y84" s="35">
        <f t="shared" si="14"/>
        <v>0</v>
      </c>
      <c r="Z84" s="36" t="str">
        <f t="shared" si="15"/>
        <v/>
      </c>
      <c r="AA84" s="6"/>
      <c r="AB84" s="41"/>
      <c r="AC84" s="38"/>
      <c r="AD84" s="38"/>
      <c r="AE84" s="34"/>
      <c r="AF84" s="34" t="str">
        <f t="shared" si="16"/>
        <v>FALSE</v>
      </c>
      <c r="AG84" s="35">
        <f t="shared" si="10"/>
        <v>0</v>
      </c>
      <c r="AH84" s="36" t="str">
        <f t="shared" si="11"/>
        <v/>
      </c>
    </row>
    <row r="85" spans="1:34" ht="1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29" t="str">
        <f t="shared" si="12"/>
        <v/>
      </c>
      <c r="Q85" s="30"/>
      <c r="R85" s="31"/>
      <c r="S85" s="68"/>
      <c r="T85" s="40"/>
      <c r="U85" s="38"/>
      <c r="V85" s="74"/>
      <c r="W85" s="34" t="str">
        <f t="shared" si="13"/>
        <v>FALSE</v>
      </c>
      <c r="X85" s="34" t="str">
        <f t="shared" si="9"/>
        <v>FALSE</v>
      </c>
      <c r="Y85" s="35">
        <f t="shared" si="14"/>
        <v>0</v>
      </c>
      <c r="Z85" s="36" t="str">
        <f t="shared" si="15"/>
        <v/>
      </c>
      <c r="AA85" s="6"/>
      <c r="AB85" s="41"/>
      <c r="AC85" s="38"/>
      <c r="AD85" s="38"/>
      <c r="AE85" s="34"/>
      <c r="AF85" s="34" t="str">
        <f t="shared" si="16"/>
        <v>FALSE</v>
      </c>
      <c r="AG85" s="35">
        <f t="shared" si="10"/>
        <v>0</v>
      </c>
      <c r="AH85" s="36" t="str">
        <f t="shared" si="11"/>
        <v/>
      </c>
    </row>
    <row r="86" spans="1:34" ht="1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29" t="str">
        <f t="shared" si="12"/>
        <v/>
      </c>
      <c r="Q86" s="30"/>
      <c r="R86" s="31"/>
      <c r="S86" s="68"/>
      <c r="T86" s="40"/>
      <c r="U86" s="38"/>
      <c r="V86" s="74"/>
      <c r="W86" s="34" t="str">
        <f t="shared" si="13"/>
        <v>FALSE</v>
      </c>
      <c r="X86" s="34" t="str">
        <f t="shared" si="9"/>
        <v>FALSE</v>
      </c>
      <c r="Y86" s="35">
        <f t="shared" si="14"/>
        <v>0</v>
      </c>
      <c r="Z86" s="36" t="str">
        <f t="shared" si="15"/>
        <v/>
      </c>
      <c r="AA86" s="6"/>
      <c r="AB86" s="41"/>
      <c r="AC86" s="38"/>
      <c r="AD86" s="38"/>
      <c r="AE86" s="34"/>
      <c r="AF86" s="34" t="str">
        <f t="shared" si="16"/>
        <v>FALSE</v>
      </c>
      <c r="AG86" s="35">
        <f t="shared" si="10"/>
        <v>0</v>
      </c>
      <c r="AH86" s="36" t="str">
        <f t="shared" si="11"/>
        <v/>
      </c>
    </row>
    <row r="87" spans="1:34" ht="1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29" t="str">
        <f t="shared" si="12"/>
        <v/>
      </c>
      <c r="Q87" s="30"/>
      <c r="R87" s="31"/>
      <c r="S87" s="68"/>
      <c r="T87" s="40"/>
      <c r="U87" s="38"/>
      <c r="V87" s="74"/>
      <c r="W87" s="34" t="str">
        <f t="shared" si="13"/>
        <v>FALSE</v>
      </c>
      <c r="X87" s="34" t="str">
        <f t="shared" si="9"/>
        <v>FALSE</v>
      </c>
      <c r="Y87" s="35">
        <f t="shared" si="14"/>
        <v>0</v>
      </c>
      <c r="Z87" s="36" t="str">
        <f t="shared" si="15"/>
        <v/>
      </c>
      <c r="AA87" s="6"/>
      <c r="AB87" s="41"/>
      <c r="AC87" s="38"/>
      <c r="AD87" s="38"/>
      <c r="AE87" s="34"/>
      <c r="AF87" s="34" t="str">
        <f t="shared" si="16"/>
        <v>FALSE</v>
      </c>
      <c r="AG87" s="35">
        <f t="shared" si="10"/>
        <v>0</v>
      </c>
      <c r="AH87" s="36" t="str">
        <f t="shared" si="11"/>
        <v/>
      </c>
    </row>
    <row r="88" spans="1:34" ht="1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29" t="str">
        <f t="shared" si="12"/>
        <v/>
      </c>
      <c r="Q88" s="30"/>
      <c r="R88" s="31"/>
      <c r="S88" s="68"/>
      <c r="T88" s="40"/>
      <c r="U88" s="38"/>
      <c r="V88" s="74"/>
      <c r="W88" s="34" t="str">
        <f t="shared" si="13"/>
        <v>FALSE</v>
      </c>
      <c r="X88" s="34" t="str">
        <f t="shared" si="9"/>
        <v>FALSE</v>
      </c>
      <c r="Y88" s="35">
        <f t="shared" si="14"/>
        <v>0</v>
      </c>
      <c r="Z88" s="36" t="str">
        <f t="shared" si="15"/>
        <v/>
      </c>
      <c r="AA88" s="6"/>
      <c r="AB88" s="41"/>
      <c r="AC88" s="38"/>
      <c r="AD88" s="38"/>
      <c r="AE88" s="34"/>
      <c r="AF88" s="34" t="str">
        <f t="shared" si="16"/>
        <v>FALSE</v>
      </c>
      <c r="AG88" s="35">
        <f t="shared" si="10"/>
        <v>0</v>
      </c>
      <c r="AH88" s="36" t="str">
        <f t="shared" si="11"/>
        <v/>
      </c>
    </row>
    <row r="89" spans="1:34" ht="1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29" t="str">
        <f t="shared" si="12"/>
        <v/>
      </c>
      <c r="Q89" s="30"/>
      <c r="R89" s="31"/>
      <c r="S89" s="68"/>
      <c r="T89" s="40"/>
      <c r="U89" s="38"/>
      <c r="V89" s="74"/>
      <c r="W89" s="34" t="str">
        <f t="shared" si="13"/>
        <v>FALSE</v>
      </c>
      <c r="X89" s="34" t="str">
        <f t="shared" si="9"/>
        <v>FALSE</v>
      </c>
      <c r="Y89" s="35">
        <f t="shared" si="14"/>
        <v>0</v>
      </c>
      <c r="Z89" s="36" t="str">
        <f t="shared" si="15"/>
        <v/>
      </c>
      <c r="AA89" s="6"/>
      <c r="AB89" s="41"/>
      <c r="AC89" s="38"/>
      <c r="AD89" s="38"/>
      <c r="AE89" s="34"/>
      <c r="AF89" s="34" t="str">
        <f t="shared" si="16"/>
        <v>FALSE</v>
      </c>
      <c r="AG89" s="35">
        <f t="shared" si="10"/>
        <v>0</v>
      </c>
      <c r="AH89" s="36" t="str">
        <f t="shared" si="11"/>
        <v/>
      </c>
    </row>
    <row r="90" spans="1:34" ht="1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29" t="str">
        <f t="shared" si="12"/>
        <v/>
      </c>
      <c r="Q90" s="30"/>
      <c r="R90" s="31"/>
      <c r="S90" s="68"/>
      <c r="T90" s="40"/>
      <c r="U90" s="38"/>
      <c r="V90" s="74"/>
      <c r="W90" s="34" t="str">
        <f t="shared" si="13"/>
        <v>FALSE</v>
      </c>
      <c r="X90" s="34" t="str">
        <f t="shared" si="9"/>
        <v>FALSE</v>
      </c>
      <c r="Y90" s="35">
        <f t="shared" si="14"/>
        <v>0</v>
      </c>
      <c r="Z90" s="36" t="str">
        <f t="shared" si="15"/>
        <v/>
      </c>
      <c r="AA90" s="6"/>
      <c r="AB90" s="41"/>
      <c r="AC90" s="38"/>
      <c r="AD90" s="38"/>
      <c r="AE90" s="34"/>
      <c r="AF90" s="34" t="str">
        <f t="shared" si="16"/>
        <v>FALSE</v>
      </c>
      <c r="AG90" s="35">
        <f t="shared" si="10"/>
        <v>0</v>
      </c>
      <c r="AH90" s="36" t="str">
        <f t="shared" si="11"/>
        <v/>
      </c>
    </row>
    <row r="91" spans="1:34" ht="1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29" t="str">
        <f t="shared" si="12"/>
        <v/>
      </c>
      <c r="Q91" s="30"/>
      <c r="R91" s="31"/>
      <c r="S91" s="68"/>
      <c r="T91" s="40"/>
      <c r="U91" s="38"/>
      <c r="V91" s="74"/>
      <c r="W91" s="34" t="str">
        <f t="shared" si="13"/>
        <v>FALSE</v>
      </c>
      <c r="X91" s="34" t="str">
        <f t="shared" si="9"/>
        <v>FALSE</v>
      </c>
      <c r="Y91" s="35">
        <f t="shared" si="14"/>
        <v>0</v>
      </c>
      <c r="Z91" s="36" t="str">
        <f t="shared" si="15"/>
        <v/>
      </c>
      <c r="AA91" s="6"/>
      <c r="AB91" s="41"/>
      <c r="AC91" s="38"/>
      <c r="AD91" s="38"/>
      <c r="AE91" s="34"/>
      <c r="AF91" s="34" t="str">
        <f t="shared" si="16"/>
        <v>FALSE</v>
      </c>
      <c r="AG91" s="35">
        <f t="shared" si="10"/>
        <v>0</v>
      </c>
      <c r="AH91" s="36" t="str">
        <f t="shared" si="11"/>
        <v/>
      </c>
    </row>
    <row r="92" spans="1:34" ht="1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29" t="str">
        <f t="shared" si="12"/>
        <v/>
      </c>
      <c r="Q92" s="30"/>
      <c r="R92" s="31"/>
      <c r="S92" s="68"/>
      <c r="T92" s="40"/>
      <c r="U92" s="38"/>
      <c r="V92" s="74"/>
      <c r="W92" s="34" t="str">
        <f t="shared" si="13"/>
        <v>FALSE</v>
      </c>
      <c r="X92" s="34" t="str">
        <f t="shared" si="9"/>
        <v>FALSE</v>
      </c>
      <c r="Y92" s="35">
        <f t="shared" si="14"/>
        <v>0</v>
      </c>
      <c r="Z92" s="36" t="str">
        <f t="shared" si="15"/>
        <v/>
      </c>
      <c r="AA92" s="6"/>
      <c r="AB92" s="41"/>
      <c r="AC92" s="38"/>
      <c r="AD92" s="38"/>
      <c r="AE92" s="34"/>
      <c r="AF92" s="34" t="str">
        <f t="shared" si="16"/>
        <v>FALSE</v>
      </c>
      <c r="AG92" s="35">
        <f t="shared" si="10"/>
        <v>0</v>
      </c>
      <c r="AH92" s="36" t="str">
        <f t="shared" si="11"/>
        <v/>
      </c>
    </row>
    <row r="93" spans="1:34" ht="1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29" t="str">
        <f t="shared" si="12"/>
        <v/>
      </c>
      <c r="Q93" s="30"/>
      <c r="R93" s="31"/>
      <c r="S93" s="68"/>
      <c r="T93" s="40"/>
      <c r="U93" s="38"/>
      <c r="V93" s="74"/>
      <c r="W93" s="34" t="str">
        <f t="shared" si="13"/>
        <v>FALSE</v>
      </c>
      <c r="X93" s="34" t="str">
        <f t="shared" si="9"/>
        <v>FALSE</v>
      </c>
      <c r="Y93" s="35">
        <f t="shared" si="14"/>
        <v>0</v>
      </c>
      <c r="Z93" s="36" t="str">
        <f t="shared" si="15"/>
        <v/>
      </c>
      <c r="AA93" s="6"/>
      <c r="AB93" s="41"/>
      <c r="AC93" s="38"/>
      <c r="AD93" s="38"/>
      <c r="AE93" s="34"/>
      <c r="AF93" s="34" t="str">
        <f t="shared" si="16"/>
        <v>FALSE</v>
      </c>
      <c r="AG93" s="35">
        <f t="shared" si="10"/>
        <v>0</v>
      </c>
      <c r="AH93" s="36" t="str">
        <f t="shared" si="11"/>
        <v/>
      </c>
    </row>
    <row r="94" spans="1:34" ht="1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29" t="str">
        <f t="shared" si="12"/>
        <v/>
      </c>
      <c r="Q94" s="30"/>
      <c r="R94" s="31"/>
      <c r="S94" s="68"/>
      <c r="T94" s="40"/>
      <c r="U94" s="38"/>
      <c r="V94" s="74"/>
      <c r="W94" s="34" t="str">
        <f t="shared" si="13"/>
        <v>FALSE</v>
      </c>
      <c r="X94" s="34" t="str">
        <f t="shared" si="9"/>
        <v>FALSE</v>
      </c>
      <c r="Y94" s="35">
        <f t="shared" si="14"/>
        <v>0</v>
      </c>
      <c r="Z94" s="36" t="str">
        <f t="shared" si="15"/>
        <v/>
      </c>
      <c r="AA94" s="6"/>
      <c r="AB94" s="41"/>
      <c r="AC94" s="38"/>
      <c r="AD94" s="38"/>
      <c r="AE94" s="34"/>
      <c r="AF94" s="34" t="str">
        <f t="shared" si="16"/>
        <v>FALSE</v>
      </c>
      <c r="AG94" s="35">
        <f t="shared" si="10"/>
        <v>0</v>
      </c>
      <c r="AH94" s="36" t="str">
        <f t="shared" si="11"/>
        <v/>
      </c>
    </row>
    <row r="95" spans="1:34" ht="1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29" t="str">
        <f t="shared" si="12"/>
        <v/>
      </c>
      <c r="Q95" s="30"/>
      <c r="R95" s="31"/>
      <c r="S95" s="68"/>
      <c r="T95" s="40"/>
      <c r="U95" s="38"/>
      <c r="V95" s="74"/>
      <c r="W95" s="34" t="str">
        <f t="shared" si="13"/>
        <v>FALSE</v>
      </c>
      <c r="X95" s="34" t="str">
        <f t="shared" si="9"/>
        <v>FALSE</v>
      </c>
      <c r="Y95" s="35">
        <f t="shared" si="14"/>
        <v>0</v>
      </c>
      <c r="Z95" s="36" t="str">
        <f t="shared" si="15"/>
        <v/>
      </c>
      <c r="AA95" s="6"/>
      <c r="AB95" s="41"/>
      <c r="AC95" s="38"/>
      <c r="AD95" s="38"/>
      <c r="AE95" s="34"/>
      <c r="AF95" s="34" t="str">
        <f t="shared" si="16"/>
        <v>FALSE</v>
      </c>
      <c r="AG95" s="35">
        <f t="shared" si="10"/>
        <v>0</v>
      </c>
      <c r="AH95" s="36" t="str">
        <f t="shared" si="11"/>
        <v/>
      </c>
    </row>
    <row r="96" spans="1:34" ht="1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29" t="str">
        <f t="shared" si="12"/>
        <v/>
      </c>
      <c r="Q96" s="30"/>
      <c r="R96" s="31"/>
      <c r="S96" s="68"/>
      <c r="T96" s="40"/>
      <c r="U96" s="38"/>
      <c r="V96" s="74"/>
      <c r="W96" s="34" t="str">
        <f t="shared" si="13"/>
        <v>FALSE</v>
      </c>
      <c r="X96" s="34" t="str">
        <f t="shared" si="9"/>
        <v>FALSE</v>
      </c>
      <c r="Y96" s="35">
        <f t="shared" si="14"/>
        <v>0</v>
      </c>
      <c r="Z96" s="36" t="str">
        <f t="shared" si="15"/>
        <v/>
      </c>
      <c r="AA96" s="6"/>
      <c r="AB96" s="41"/>
      <c r="AC96" s="38"/>
      <c r="AD96" s="38"/>
      <c r="AE96" s="34"/>
      <c r="AF96" s="34" t="str">
        <f t="shared" si="16"/>
        <v>FALSE</v>
      </c>
      <c r="AG96" s="35">
        <f t="shared" si="10"/>
        <v>0</v>
      </c>
      <c r="AH96" s="36" t="str">
        <f t="shared" si="11"/>
        <v/>
      </c>
    </row>
    <row r="97" spans="1:34" ht="1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29" t="str">
        <f t="shared" si="12"/>
        <v/>
      </c>
      <c r="Q97" s="30"/>
      <c r="R97" s="31"/>
      <c r="S97" s="68"/>
      <c r="T97" s="40"/>
      <c r="U97" s="38"/>
      <c r="V97" s="74"/>
      <c r="W97" s="34" t="str">
        <f t="shared" si="13"/>
        <v>FALSE</v>
      </c>
      <c r="X97" s="34" t="str">
        <f t="shared" si="9"/>
        <v>FALSE</v>
      </c>
      <c r="Y97" s="35">
        <f t="shared" si="14"/>
        <v>0</v>
      </c>
      <c r="Z97" s="36" t="str">
        <f t="shared" si="15"/>
        <v/>
      </c>
      <c r="AA97" s="6"/>
      <c r="AB97" s="41"/>
      <c r="AC97" s="38"/>
      <c r="AD97" s="38"/>
      <c r="AE97" s="34"/>
      <c r="AF97" s="34" t="str">
        <f t="shared" si="16"/>
        <v>FALSE</v>
      </c>
      <c r="AG97" s="35">
        <f t="shared" si="10"/>
        <v>0</v>
      </c>
      <c r="AH97" s="36" t="str">
        <f t="shared" si="11"/>
        <v/>
      </c>
    </row>
    <row r="98" spans="1:34" ht="1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29" t="str">
        <f t="shared" si="12"/>
        <v/>
      </c>
      <c r="Q98" s="30"/>
      <c r="R98" s="31"/>
      <c r="S98" s="68"/>
      <c r="T98" s="40"/>
      <c r="U98" s="38"/>
      <c r="V98" s="74"/>
      <c r="W98" s="34" t="str">
        <f t="shared" si="13"/>
        <v>FALSE</v>
      </c>
      <c r="X98" s="34" t="str">
        <f t="shared" si="9"/>
        <v>FALSE</v>
      </c>
      <c r="Y98" s="35">
        <f t="shared" si="14"/>
        <v>0</v>
      </c>
      <c r="Z98" s="36" t="str">
        <f t="shared" si="15"/>
        <v/>
      </c>
      <c r="AA98" s="6"/>
      <c r="AB98" s="41"/>
      <c r="AC98" s="38"/>
      <c r="AD98" s="38"/>
      <c r="AE98" s="34"/>
      <c r="AF98" s="34" t="str">
        <f t="shared" si="16"/>
        <v>FALSE</v>
      </c>
      <c r="AG98" s="35">
        <f t="shared" si="10"/>
        <v>0</v>
      </c>
      <c r="AH98" s="36" t="str">
        <f t="shared" si="11"/>
        <v/>
      </c>
    </row>
    <row r="99" spans="1:34" ht="1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29" t="str">
        <f t="shared" si="12"/>
        <v/>
      </c>
      <c r="Q99" s="30"/>
      <c r="R99" s="31"/>
      <c r="S99" s="68"/>
      <c r="T99" s="40"/>
      <c r="U99" s="38"/>
      <c r="V99" s="74"/>
      <c r="W99" s="34" t="str">
        <f t="shared" si="13"/>
        <v>FALSE</v>
      </c>
      <c r="X99" s="34" t="str">
        <f t="shared" si="9"/>
        <v>FALSE</v>
      </c>
      <c r="Y99" s="35">
        <f t="shared" si="14"/>
        <v>0</v>
      </c>
      <c r="Z99" s="36" t="str">
        <f t="shared" si="15"/>
        <v/>
      </c>
      <c r="AA99" s="6"/>
      <c r="AB99" s="41"/>
      <c r="AC99" s="38"/>
      <c r="AD99" s="38"/>
      <c r="AE99" s="34"/>
      <c r="AF99" s="34" t="str">
        <f t="shared" si="16"/>
        <v>FALSE</v>
      </c>
      <c r="AG99" s="35">
        <f t="shared" si="10"/>
        <v>0</v>
      </c>
      <c r="AH99" s="36" t="str">
        <f t="shared" si="11"/>
        <v/>
      </c>
    </row>
    <row r="100" spans="1:34" ht="1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29" t="str">
        <f t="shared" si="12"/>
        <v/>
      </c>
      <c r="Q100" s="30"/>
      <c r="R100" s="31"/>
      <c r="S100" s="68"/>
      <c r="T100" s="40"/>
      <c r="U100" s="38"/>
      <c r="V100" s="74"/>
      <c r="W100" s="34" t="str">
        <f t="shared" si="13"/>
        <v>FALSE</v>
      </c>
      <c r="X100" s="34" t="str">
        <f t="shared" si="9"/>
        <v>FALSE</v>
      </c>
      <c r="Y100" s="35">
        <f t="shared" si="14"/>
        <v>0</v>
      </c>
      <c r="Z100" s="36" t="str">
        <f t="shared" si="15"/>
        <v/>
      </c>
      <c r="AA100" s="6"/>
      <c r="AB100" s="41"/>
      <c r="AC100" s="38"/>
      <c r="AD100" s="38"/>
      <c r="AE100" s="34"/>
      <c r="AF100" s="34" t="str">
        <f t="shared" si="16"/>
        <v>FALSE</v>
      </c>
      <c r="AG100" s="35">
        <f t="shared" si="10"/>
        <v>0</v>
      </c>
      <c r="AH100" s="36" t="str">
        <f t="shared" si="11"/>
        <v/>
      </c>
    </row>
    <row r="101" spans="1:34" ht="1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29" t="str">
        <f t="shared" si="12"/>
        <v/>
      </c>
      <c r="Q101" s="30"/>
      <c r="R101" s="31"/>
      <c r="S101" s="68"/>
      <c r="T101" s="40"/>
      <c r="U101" s="38"/>
      <c r="V101" s="74"/>
      <c r="W101" s="34" t="str">
        <f t="shared" si="13"/>
        <v>FALSE</v>
      </c>
      <c r="X101" s="34" t="str">
        <f t="shared" si="9"/>
        <v>FALSE</v>
      </c>
      <c r="Y101" s="35">
        <f t="shared" si="14"/>
        <v>0</v>
      </c>
      <c r="Z101" s="36" t="str">
        <f t="shared" si="15"/>
        <v/>
      </c>
      <c r="AA101" s="6"/>
      <c r="AB101" s="41"/>
      <c r="AC101" s="38"/>
      <c r="AD101" s="38"/>
      <c r="AE101" s="34"/>
      <c r="AF101" s="34" t="str">
        <f t="shared" si="16"/>
        <v>FALSE</v>
      </c>
      <c r="AG101" s="35">
        <f t="shared" si="10"/>
        <v>0</v>
      </c>
      <c r="AH101" s="36" t="str">
        <f t="shared" si="11"/>
        <v/>
      </c>
    </row>
    <row r="102" spans="1:34" ht="1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29" t="str">
        <f t="shared" si="12"/>
        <v/>
      </c>
      <c r="Q102" s="30"/>
      <c r="R102" s="31"/>
      <c r="S102" s="68"/>
      <c r="T102" s="40"/>
      <c r="U102" s="38"/>
      <c r="V102" s="74"/>
      <c r="W102" s="34" t="str">
        <f t="shared" si="13"/>
        <v>FALSE</v>
      </c>
      <c r="X102" s="34" t="str">
        <f t="shared" si="9"/>
        <v>FALSE</v>
      </c>
      <c r="Y102" s="35">
        <f t="shared" si="14"/>
        <v>0</v>
      </c>
      <c r="Z102" s="36" t="str">
        <f t="shared" si="15"/>
        <v/>
      </c>
      <c r="AA102" s="6"/>
      <c r="AB102" s="41"/>
      <c r="AC102" s="38"/>
      <c r="AD102" s="38"/>
      <c r="AE102" s="34"/>
      <c r="AF102" s="34" t="str">
        <f t="shared" si="16"/>
        <v>FALSE</v>
      </c>
      <c r="AG102" s="35">
        <f t="shared" si="10"/>
        <v>0</v>
      </c>
      <c r="AH102" s="36" t="str">
        <f t="shared" si="11"/>
        <v/>
      </c>
    </row>
    <row r="103" spans="1:34" ht="1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29" t="str">
        <f t="shared" si="12"/>
        <v/>
      </c>
      <c r="Q103" s="30"/>
      <c r="R103" s="31"/>
      <c r="S103" s="68"/>
      <c r="T103" s="40"/>
      <c r="U103" s="38"/>
      <c r="V103" s="74"/>
      <c r="W103" s="34" t="str">
        <f t="shared" si="13"/>
        <v>FALSE</v>
      </c>
      <c r="X103" s="34" t="str">
        <f t="shared" si="9"/>
        <v>FALSE</v>
      </c>
      <c r="Y103" s="35">
        <f t="shared" si="14"/>
        <v>0</v>
      </c>
      <c r="Z103" s="36" t="str">
        <f t="shared" si="15"/>
        <v/>
      </c>
      <c r="AA103" s="6"/>
      <c r="AB103" s="41"/>
      <c r="AC103" s="38"/>
      <c r="AD103" s="38"/>
      <c r="AE103" s="34"/>
      <c r="AF103" s="34" t="str">
        <f t="shared" si="16"/>
        <v>FALSE</v>
      </c>
      <c r="AG103" s="35">
        <f t="shared" si="10"/>
        <v>0</v>
      </c>
      <c r="AH103" s="36" t="str">
        <f t="shared" si="11"/>
        <v/>
      </c>
    </row>
    <row r="104" spans="1:34" ht="1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29" t="str">
        <f t="shared" si="12"/>
        <v/>
      </c>
      <c r="Q104" s="30"/>
      <c r="R104" s="31"/>
      <c r="S104" s="68"/>
      <c r="T104" s="40"/>
      <c r="U104" s="38"/>
      <c r="V104" s="74"/>
      <c r="W104" s="34" t="str">
        <f t="shared" si="13"/>
        <v>FALSE</v>
      </c>
      <c r="X104" s="34" t="str">
        <f t="shared" si="9"/>
        <v>FALSE</v>
      </c>
      <c r="Y104" s="35">
        <f t="shared" si="14"/>
        <v>0</v>
      </c>
      <c r="Z104" s="36" t="str">
        <f t="shared" si="15"/>
        <v/>
      </c>
      <c r="AA104" s="6"/>
      <c r="AB104" s="41"/>
      <c r="AC104" s="38"/>
      <c r="AD104" s="38"/>
      <c r="AE104" s="34"/>
      <c r="AF104" s="34" t="str">
        <f t="shared" si="16"/>
        <v>FALSE</v>
      </c>
      <c r="AG104" s="35">
        <f t="shared" si="10"/>
        <v>0</v>
      </c>
      <c r="AH104" s="36" t="str">
        <f t="shared" si="11"/>
        <v/>
      </c>
    </row>
    <row r="105" spans="1:34" ht="1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29" t="str">
        <f t="shared" si="12"/>
        <v/>
      </c>
      <c r="Q105" s="30"/>
      <c r="R105" s="31"/>
      <c r="S105" s="68"/>
      <c r="T105" s="40"/>
      <c r="U105" s="38"/>
      <c r="V105" s="74"/>
      <c r="W105" s="34" t="str">
        <f t="shared" si="13"/>
        <v>FALSE</v>
      </c>
      <c r="X105" s="34" t="str">
        <f t="shared" si="9"/>
        <v>FALSE</v>
      </c>
      <c r="Y105" s="35">
        <f t="shared" si="14"/>
        <v>0</v>
      </c>
      <c r="Z105" s="36" t="str">
        <f t="shared" si="15"/>
        <v/>
      </c>
      <c r="AA105" s="6"/>
      <c r="AB105" s="41"/>
      <c r="AC105" s="38"/>
      <c r="AD105" s="38"/>
      <c r="AE105" s="34"/>
      <c r="AF105" s="34" t="str">
        <f t="shared" si="16"/>
        <v>FALSE</v>
      </c>
      <c r="AG105" s="35">
        <f t="shared" si="10"/>
        <v>0</v>
      </c>
      <c r="AH105" s="36" t="str">
        <f t="shared" si="11"/>
        <v/>
      </c>
    </row>
    <row r="106" spans="1:34" ht="1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29" t="str">
        <f t="shared" si="12"/>
        <v/>
      </c>
      <c r="Q106" s="30"/>
      <c r="R106" s="31"/>
      <c r="S106" s="68"/>
      <c r="T106" s="40"/>
      <c r="U106" s="38"/>
      <c r="V106" s="74"/>
      <c r="W106" s="34" t="str">
        <f t="shared" si="13"/>
        <v>FALSE</v>
      </c>
      <c r="X106" s="34" t="str">
        <f t="shared" si="9"/>
        <v>FALSE</v>
      </c>
      <c r="Y106" s="35">
        <f t="shared" si="14"/>
        <v>0</v>
      </c>
      <c r="Z106" s="36" t="str">
        <f t="shared" si="15"/>
        <v/>
      </c>
      <c r="AA106" s="6"/>
      <c r="AB106" s="41"/>
      <c r="AC106" s="38"/>
      <c r="AD106" s="38"/>
      <c r="AE106" s="34"/>
      <c r="AF106" s="34" t="str">
        <f t="shared" si="16"/>
        <v>FALSE</v>
      </c>
      <c r="AG106" s="35">
        <f t="shared" si="10"/>
        <v>0</v>
      </c>
      <c r="AH106" s="36" t="str">
        <f t="shared" si="11"/>
        <v/>
      </c>
    </row>
    <row r="107" spans="1:34" ht="1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29" t="str">
        <f t="shared" si="12"/>
        <v/>
      </c>
      <c r="Q107" s="30"/>
      <c r="R107" s="31"/>
      <c r="S107" s="68"/>
      <c r="T107" s="40"/>
      <c r="U107" s="38"/>
      <c r="V107" s="74"/>
      <c r="W107" s="34" t="str">
        <f t="shared" si="13"/>
        <v>FALSE</v>
      </c>
      <c r="X107" s="34" t="str">
        <f t="shared" si="9"/>
        <v>FALSE</v>
      </c>
      <c r="Y107" s="35">
        <f t="shared" si="14"/>
        <v>0</v>
      </c>
      <c r="Z107" s="36" t="str">
        <f t="shared" si="15"/>
        <v/>
      </c>
      <c r="AA107" s="6"/>
      <c r="AB107" s="41"/>
      <c r="AC107" s="38"/>
      <c r="AD107" s="38"/>
      <c r="AE107" s="34"/>
      <c r="AF107" s="34" t="str">
        <f t="shared" si="16"/>
        <v>FALSE</v>
      </c>
      <c r="AG107" s="35">
        <f t="shared" si="10"/>
        <v>0</v>
      </c>
      <c r="AH107" s="36" t="str">
        <f t="shared" si="11"/>
        <v/>
      </c>
    </row>
    <row r="108" spans="1:34" ht="1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29" t="str">
        <f t="shared" si="12"/>
        <v/>
      </c>
      <c r="Q108" s="30"/>
      <c r="R108" s="31"/>
      <c r="S108" s="68"/>
      <c r="T108" s="40"/>
      <c r="U108" s="38"/>
      <c r="V108" s="74"/>
      <c r="W108" s="34" t="str">
        <f t="shared" si="13"/>
        <v>FALSE</v>
      </c>
      <c r="X108" s="34" t="str">
        <f t="shared" si="9"/>
        <v>FALSE</v>
      </c>
      <c r="Y108" s="35">
        <f t="shared" si="14"/>
        <v>0</v>
      </c>
      <c r="Z108" s="36" t="str">
        <f t="shared" si="15"/>
        <v/>
      </c>
      <c r="AA108" s="6"/>
      <c r="AB108" s="41"/>
      <c r="AC108" s="38"/>
      <c r="AD108" s="38"/>
      <c r="AE108" s="34"/>
      <c r="AF108" s="34" t="str">
        <f t="shared" si="16"/>
        <v>FALSE</v>
      </c>
      <c r="AG108" s="35">
        <f t="shared" si="10"/>
        <v>0</v>
      </c>
      <c r="AH108" s="36" t="str">
        <f t="shared" si="11"/>
        <v/>
      </c>
    </row>
    <row r="109" spans="1:34" ht="1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29" t="str">
        <f t="shared" si="12"/>
        <v/>
      </c>
      <c r="Q109" s="30"/>
      <c r="R109" s="31"/>
      <c r="S109" s="68"/>
      <c r="T109" s="40"/>
      <c r="U109" s="38"/>
      <c r="V109" s="74"/>
      <c r="W109" s="34" t="str">
        <f t="shared" si="13"/>
        <v>FALSE</v>
      </c>
      <c r="X109" s="34" t="str">
        <f t="shared" si="9"/>
        <v>FALSE</v>
      </c>
      <c r="Y109" s="35">
        <f t="shared" si="14"/>
        <v>0</v>
      </c>
      <c r="Z109" s="36" t="str">
        <f t="shared" si="15"/>
        <v/>
      </c>
      <c r="AA109" s="6"/>
      <c r="AB109" s="41"/>
      <c r="AC109" s="38"/>
      <c r="AD109" s="38"/>
      <c r="AE109" s="34"/>
      <c r="AF109" s="34" t="str">
        <f t="shared" si="16"/>
        <v>FALSE</v>
      </c>
      <c r="AG109" s="35">
        <f t="shared" si="10"/>
        <v>0</v>
      </c>
      <c r="AH109" s="36" t="str">
        <f t="shared" si="11"/>
        <v/>
      </c>
    </row>
    <row r="110" spans="1:34" ht="1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29" t="str">
        <f t="shared" si="12"/>
        <v/>
      </c>
      <c r="Q110" s="30"/>
      <c r="R110" s="31"/>
      <c r="S110" s="68"/>
      <c r="T110" s="40"/>
      <c r="U110" s="38"/>
      <c r="V110" s="74"/>
      <c r="W110" s="34" t="str">
        <f t="shared" si="13"/>
        <v>FALSE</v>
      </c>
      <c r="X110" s="34" t="str">
        <f t="shared" si="9"/>
        <v>FALSE</v>
      </c>
      <c r="Y110" s="35">
        <f t="shared" si="14"/>
        <v>0</v>
      </c>
      <c r="Z110" s="36" t="str">
        <f t="shared" si="15"/>
        <v/>
      </c>
      <c r="AA110" s="6"/>
      <c r="AB110" s="41"/>
      <c r="AC110" s="38"/>
      <c r="AD110" s="38"/>
      <c r="AE110" s="34"/>
      <c r="AF110" s="34" t="str">
        <f t="shared" si="16"/>
        <v>FALSE</v>
      </c>
      <c r="AG110" s="35">
        <f t="shared" si="10"/>
        <v>0</v>
      </c>
      <c r="AH110" s="36" t="str">
        <f t="shared" si="11"/>
        <v/>
      </c>
    </row>
    <row r="111" spans="1:34" ht="1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29" t="str">
        <f t="shared" si="12"/>
        <v/>
      </c>
      <c r="Q111" s="30"/>
      <c r="R111" s="31"/>
      <c r="S111" s="68"/>
      <c r="T111" s="40"/>
      <c r="U111" s="38"/>
      <c r="V111" s="74"/>
      <c r="W111" s="34" t="str">
        <f t="shared" si="13"/>
        <v>FALSE</v>
      </c>
      <c r="X111" s="34" t="str">
        <f t="shared" si="9"/>
        <v>FALSE</v>
      </c>
      <c r="Y111" s="35">
        <f t="shared" si="14"/>
        <v>0</v>
      </c>
      <c r="Z111" s="36" t="str">
        <f t="shared" si="15"/>
        <v/>
      </c>
      <c r="AA111" s="6"/>
      <c r="AB111" s="41"/>
      <c r="AC111" s="38"/>
      <c r="AD111" s="38"/>
      <c r="AE111" s="34"/>
      <c r="AF111" s="34" t="str">
        <f t="shared" si="16"/>
        <v>FALSE</v>
      </c>
      <c r="AG111" s="35">
        <f t="shared" si="10"/>
        <v>0</v>
      </c>
      <c r="AH111" s="36" t="str">
        <f t="shared" si="11"/>
        <v/>
      </c>
    </row>
    <row r="112" spans="1:34" ht="1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29" t="str">
        <f t="shared" si="12"/>
        <v/>
      </c>
      <c r="Q112" s="30"/>
      <c r="R112" s="31"/>
      <c r="S112" s="68"/>
      <c r="T112" s="40"/>
      <c r="U112" s="38"/>
      <c r="V112" s="74"/>
      <c r="W112" s="34" t="str">
        <f t="shared" si="13"/>
        <v>FALSE</v>
      </c>
      <c r="X112" s="34" t="str">
        <f t="shared" si="9"/>
        <v>FALSE</v>
      </c>
      <c r="Y112" s="35">
        <f t="shared" si="14"/>
        <v>0</v>
      </c>
      <c r="Z112" s="36" t="str">
        <f t="shared" si="15"/>
        <v/>
      </c>
      <c r="AA112" s="6"/>
      <c r="AB112" s="41"/>
      <c r="AC112" s="38"/>
      <c r="AD112" s="38"/>
      <c r="AE112" s="34"/>
      <c r="AF112" s="34" t="str">
        <f t="shared" si="16"/>
        <v>FALSE</v>
      </c>
      <c r="AG112" s="35">
        <f t="shared" si="10"/>
        <v>0</v>
      </c>
      <c r="AH112" s="36" t="str">
        <f t="shared" si="11"/>
        <v/>
      </c>
    </row>
    <row r="113" spans="1:34" ht="1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29" t="str">
        <f t="shared" si="12"/>
        <v/>
      </c>
      <c r="Q113" s="30"/>
      <c r="R113" s="31"/>
      <c r="S113" s="68"/>
      <c r="T113" s="40"/>
      <c r="U113" s="38"/>
      <c r="V113" s="74"/>
      <c r="W113" s="34" t="str">
        <f t="shared" si="13"/>
        <v>FALSE</v>
      </c>
      <c r="X113" s="34" t="str">
        <f t="shared" si="9"/>
        <v>FALSE</v>
      </c>
      <c r="Y113" s="35">
        <f t="shared" si="14"/>
        <v>0</v>
      </c>
      <c r="Z113" s="36" t="str">
        <f t="shared" si="15"/>
        <v/>
      </c>
      <c r="AA113" s="6"/>
      <c r="AB113" s="41"/>
      <c r="AC113" s="38"/>
      <c r="AD113" s="38"/>
      <c r="AE113" s="34"/>
      <c r="AF113" s="34" t="str">
        <f t="shared" si="16"/>
        <v>FALSE</v>
      </c>
      <c r="AG113" s="35">
        <f t="shared" si="10"/>
        <v>0</v>
      </c>
      <c r="AH113" s="36" t="str">
        <f t="shared" si="11"/>
        <v/>
      </c>
    </row>
    <row r="114" spans="1:34" ht="1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29" t="str">
        <f t="shared" si="12"/>
        <v/>
      </c>
      <c r="Q114" s="30"/>
      <c r="R114" s="31"/>
      <c r="S114" s="68"/>
      <c r="T114" s="40"/>
      <c r="U114" s="38"/>
      <c r="V114" s="74"/>
      <c r="W114" s="34" t="str">
        <f t="shared" si="13"/>
        <v>FALSE</v>
      </c>
      <c r="X114" s="34" t="str">
        <f t="shared" si="9"/>
        <v>FALSE</v>
      </c>
      <c r="Y114" s="35">
        <f t="shared" si="14"/>
        <v>0</v>
      </c>
      <c r="Z114" s="36" t="str">
        <f t="shared" si="15"/>
        <v/>
      </c>
      <c r="AA114" s="6"/>
      <c r="AB114" s="41"/>
      <c r="AC114" s="38"/>
      <c r="AD114" s="38"/>
      <c r="AE114" s="34"/>
      <c r="AF114" s="34" t="str">
        <f t="shared" si="16"/>
        <v>FALSE</v>
      </c>
      <c r="AG114" s="35">
        <f t="shared" si="10"/>
        <v>0</v>
      </c>
      <c r="AH114" s="36" t="str">
        <f t="shared" si="11"/>
        <v/>
      </c>
    </row>
    <row r="115" spans="1:34" ht="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29" t="str">
        <f t="shared" si="12"/>
        <v/>
      </c>
      <c r="Q115" s="30"/>
      <c r="R115" s="31"/>
      <c r="S115" s="68"/>
      <c r="T115" s="40"/>
      <c r="U115" s="38"/>
      <c r="V115" s="74"/>
      <c r="W115" s="34" t="str">
        <f t="shared" si="13"/>
        <v>FALSE</v>
      </c>
      <c r="X115" s="34" t="str">
        <f t="shared" si="9"/>
        <v>FALSE</v>
      </c>
      <c r="Y115" s="35">
        <f t="shared" si="14"/>
        <v>0</v>
      </c>
      <c r="Z115" s="36" t="str">
        <f t="shared" si="15"/>
        <v/>
      </c>
      <c r="AA115" s="6"/>
      <c r="AB115" s="41"/>
      <c r="AC115" s="38"/>
      <c r="AD115" s="38"/>
      <c r="AE115" s="34"/>
      <c r="AF115" s="34" t="str">
        <f t="shared" si="16"/>
        <v>FALSE</v>
      </c>
      <c r="AG115" s="35">
        <f t="shared" si="10"/>
        <v>0</v>
      </c>
      <c r="AH115" s="36" t="str">
        <f t="shared" si="11"/>
        <v/>
      </c>
    </row>
    <row r="116" spans="1:34" ht="1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29" t="str">
        <f t="shared" si="12"/>
        <v/>
      </c>
      <c r="Q116" s="30"/>
      <c r="R116" s="31"/>
      <c r="S116" s="68"/>
      <c r="T116" s="40"/>
      <c r="U116" s="38"/>
      <c r="V116" s="74"/>
      <c r="W116" s="34" t="str">
        <f t="shared" si="13"/>
        <v>FALSE</v>
      </c>
      <c r="X116" s="34" t="str">
        <f t="shared" si="9"/>
        <v>FALSE</v>
      </c>
      <c r="Y116" s="35">
        <f t="shared" si="14"/>
        <v>0</v>
      </c>
      <c r="Z116" s="36" t="str">
        <f t="shared" si="15"/>
        <v/>
      </c>
      <c r="AA116" s="6"/>
      <c r="AB116" s="41"/>
      <c r="AC116" s="38"/>
      <c r="AD116" s="38"/>
      <c r="AE116" s="34"/>
      <c r="AF116" s="34" t="str">
        <f t="shared" si="16"/>
        <v>FALSE</v>
      </c>
      <c r="AG116" s="35">
        <f t="shared" si="10"/>
        <v>0</v>
      </c>
      <c r="AH116" s="36" t="str">
        <f t="shared" si="11"/>
        <v/>
      </c>
    </row>
    <row r="117" spans="1:34" ht="1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29" t="str">
        <f t="shared" si="12"/>
        <v/>
      </c>
      <c r="Q117" s="30"/>
      <c r="R117" s="31"/>
      <c r="S117" s="68"/>
      <c r="T117" s="40"/>
      <c r="U117" s="38"/>
      <c r="V117" s="74"/>
      <c r="W117" s="34" t="str">
        <f t="shared" si="13"/>
        <v>FALSE</v>
      </c>
      <c r="X117" s="34" t="str">
        <f t="shared" si="9"/>
        <v>FALSE</v>
      </c>
      <c r="Y117" s="35">
        <f t="shared" si="14"/>
        <v>0</v>
      </c>
      <c r="Z117" s="36" t="str">
        <f t="shared" si="15"/>
        <v/>
      </c>
      <c r="AA117" s="6"/>
      <c r="AB117" s="41"/>
      <c r="AC117" s="38"/>
      <c r="AD117" s="38"/>
      <c r="AE117" s="34"/>
      <c r="AF117" s="34" t="str">
        <f t="shared" si="16"/>
        <v>FALSE</v>
      </c>
      <c r="AG117" s="35">
        <f t="shared" si="10"/>
        <v>0</v>
      </c>
      <c r="AH117" s="36" t="str">
        <f t="shared" si="11"/>
        <v/>
      </c>
    </row>
    <row r="118" spans="1:34" ht="1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29" t="str">
        <f t="shared" si="12"/>
        <v/>
      </c>
      <c r="Q118" s="30"/>
      <c r="R118" s="31"/>
      <c r="S118" s="68"/>
      <c r="T118" s="40"/>
      <c r="U118" s="38"/>
      <c r="V118" s="74"/>
      <c r="W118" s="34" t="str">
        <f t="shared" si="13"/>
        <v>FALSE</v>
      </c>
      <c r="X118" s="34" t="str">
        <f t="shared" si="9"/>
        <v>FALSE</v>
      </c>
      <c r="Y118" s="35">
        <f t="shared" si="14"/>
        <v>0</v>
      </c>
      <c r="Z118" s="36" t="str">
        <f t="shared" si="15"/>
        <v/>
      </c>
      <c r="AA118" s="6"/>
      <c r="AB118" s="41"/>
      <c r="AC118" s="38"/>
      <c r="AD118" s="38"/>
      <c r="AE118" s="34"/>
      <c r="AF118" s="34" t="str">
        <f t="shared" si="16"/>
        <v>FALSE</v>
      </c>
      <c r="AG118" s="35">
        <f t="shared" si="10"/>
        <v>0</v>
      </c>
      <c r="AH118" s="36" t="str">
        <f t="shared" si="11"/>
        <v/>
      </c>
    </row>
    <row r="119" spans="1:34" ht="1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29" t="str">
        <f t="shared" si="12"/>
        <v/>
      </c>
      <c r="Q119" s="30"/>
      <c r="R119" s="31"/>
      <c r="S119" s="68"/>
      <c r="T119" s="40"/>
      <c r="U119" s="38"/>
      <c r="V119" s="74"/>
      <c r="W119" s="34" t="str">
        <f t="shared" si="13"/>
        <v>FALSE</v>
      </c>
      <c r="X119" s="34" t="str">
        <f t="shared" si="9"/>
        <v>FALSE</v>
      </c>
      <c r="Y119" s="35">
        <f t="shared" si="14"/>
        <v>0</v>
      </c>
      <c r="Z119" s="36" t="str">
        <f t="shared" si="15"/>
        <v/>
      </c>
      <c r="AA119" s="6"/>
      <c r="AB119" s="41"/>
      <c r="AC119" s="38"/>
      <c r="AD119" s="38"/>
      <c r="AE119" s="34"/>
      <c r="AF119" s="34" t="str">
        <f t="shared" si="16"/>
        <v>FALSE</v>
      </c>
      <c r="AG119" s="35">
        <f t="shared" si="10"/>
        <v>0</v>
      </c>
      <c r="AH119" s="36" t="str">
        <f t="shared" si="11"/>
        <v/>
      </c>
    </row>
    <row r="120" spans="1:34" ht="1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29" t="str">
        <f t="shared" si="12"/>
        <v/>
      </c>
      <c r="Q120" s="30"/>
      <c r="R120" s="31"/>
      <c r="S120" s="68"/>
      <c r="T120" s="40"/>
      <c r="U120" s="38"/>
      <c r="V120" s="74"/>
      <c r="W120" s="34" t="str">
        <f t="shared" si="13"/>
        <v>FALSE</v>
      </c>
      <c r="X120" s="34" t="str">
        <f t="shared" si="9"/>
        <v>FALSE</v>
      </c>
      <c r="Y120" s="35">
        <f t="shared" si="14"/>
        <v>0</v>
      </c>
      <c r="Z120" s="36" t="str">
        <f t="shared" si="15"/>
        <v/>
      </c>
      <c r="AA120" s="6"/>
      <c r="AB120" s="41"/>
      <c r="AC120" s="38"/>
      <c r="AD120" s="38"/>
      <c r="AE120" s="34"/>
      <c r="AF120" s="34" t="str">
        <f t="shared" si="16"/>
        <v>FALSE</v>
      </c>
      <c r="AG120" s="35">
        <f t="shared" si="10"/>
        <v>0</v>
      </c>
      <c r="AH120" s="36" t="str">
        <f t="shared" si="11"/>
        <v/>
      </c>
    </row>
  </sheetData>
  <mergeCells count="11">
    <mergeCell ref="P6:U6"/>
    <mergeCell ref="X6:AA6"/>
    <mergeCell ref="Q8:Z8"/>
    <mergeCell ref="AB8:AH8"/>
    <mergeCell ref="D1:L2"/>
    <mergeCell ref="X2:AA2"/>
    <mergeCell ref="AC2:AG2"/>
    <mergeCell ref="P3:R3"/>
    <mergeCell ref="T3:U3"/>
    <mergeCell ref="X3:AA3"/>
    <mergeCell ref="AC3:AG3"/>
  </mergeCells>
  <conditionalFormatting sqref="U14:U120">
    <cfRule type="containsBlanks" dxfId="159" priority="1">
      <formula>LEN(TRIM(U14))=0</formula>
    </cfRule>
    <cfRule type="expression" dxfId="158" priority="2">
      <formula>AND(X14&gt;=2,X14&lt;3)</formula>
    </cfRule>
    <cfRule type="expression" dxfId="157" priority="3">
      <formula>X14&gt;3</formula>
    </cfRule>
  </conditionalFormatting>
  <conditionalFormatting sqref="W14:W120">
    <cfRule type="expression" dxfId="156" priority="15">
      <formula>X14="FALSE"</formula>
    </cfRule>
  </conditionalFormatting>
  <conditionalFormatting sqref="X14:X120">
    <cfRule type="expression" dxfId="155" priority="14">
      <formula>X14="FALSE"</formula>
    </cfRule>
    <cfRule type="expression" dxfId="154" priority="16">
      <formula>AND(X14&gt;2,X14&lt;3)</formula>
    </cfRule>
  </conditionalFormatting>
  <conditionalFormatting sqref="X14:Y50 X51:X120">
    <cfRule type="expression" dxfId="153" priority="20">
      <formula>X14&gt;=3</formula>
    </cfRule>
  </conditionalFormatting>
  <conditionalFormatting sqref="Y14:Y50">
    <cfRule type="expression" dxfId="152" priority="19">
      <formula>AND(X14&gt;=2,X14&lt;3)</formula>
    </cfRule>
  </conditionalFormatting>
  <conditionalFormatting sqref="Z14:Z120">
    <cfRule type="cellIs" dxfId="151" priority="17" operator="notBetween">
      <formula>0.8</formula>
      <formula>1.15</formula>
    </cfRule>
  </conditionalFormatting>
  <conditionalFormatting sqref="AC14:AC120">
    <cfRule type="containsBlanks" dxfId="150" priority="4">
      <formula>LEN(TRIM(AC14))=0</formula>
    </cfRule>
    <cfRule type="expression" dxfId="149" priority="5">
      <formula>AND(AF14&gt;=2,AF14&lt;3)</formula>
    </cfRule>
    <cfRule type="expression" dxfId="148" priority="6">
      <formula>AF14&gt;3</formula>
    </cfRule>
  </conditionalFormatting>
  <conditionalFormatting sqref="AE14:AE120">
    <cfRule type="expression" dxfId="147" priority="13">
      <formula>AF14="FALSE"</formula>
    </cfRule>
  </conditionalFormatting>
  <conditionalFormatting sqref="AF14:AF120">
    <cfRule type="expression" dxfId="146" priority="10">
      <formula>AF14="FALSE"</formula>
    </cfRule>
    <cfRule type="expression" dxfId="145" priority="11">
      <formula>AND(AF14&gt;2,AF14&lt;3)</formula>
    </cfRule>
    <cfRule type="expression" dxfId="144" priority="12">
      <formula>AF14&gt;=3</formula>
    </cfRule>
  </conditionalFormatting>
  <conditionalFormatting sqref="AG14:AG120">
    <cfRule type="expression" dxfId="143" priority="7">
      <formula>AF14=0</formula>
    </cfRule>
    <cfRule type="expression" dxfId="142" priority="8">
      <formula>AND(AF14&gt;=2,AF14&lt;3)</formula>
    </cfRule>
    <cfRule type="expression" dxfId="141" priority="9">
      <formula>AG14&gt;=3</formula>
    </cfRule>
  </conditionalFormatting>
  <conditionalFormatting sqref="AH14:AH120">
    <cfRule type="cellIs" dxfId="140" priority="18" operator="notBetween">
      <formula>0.8</formula>
      <formula>1.15</formula>
    </cfRule>
  </conditionalFormatting>
  <pageMargins left="0.4" right="0.4" top="0.4" bottom="0.4" header="0" footer="0"/>
  <pageSetup scale="10" fitToHeight="0" orientation="landscape" horizontalDpi="4294967292" verticalDpi="4294967292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130A5-5BC9-4A98-ABA3-9F3E0C935FBB}">
  <sheetPr>
    <tabColor rgb="FFFFFFFF"/>
    <pageSetUpPr fitToPage="1"/>
  </sheetPr>
  <dimension ref="A1:AH120"/>
  <sheetViews>
    <sheetView showGridLines="0" topLeftCell="A30" zoomScale="70" zoomScaleNormal="70" workbookViewId="0">
      <selection activeCell="Q55" sqref="Q55:R55"/>
    </sheetView>
  </sheetViews>
  <sheetFormatPr defaultColWidth="11" defaultRowHeight="13.5" customHeight="1"/>
  <cols>
    <col min="1" max="2" width="3.125" style="12" customWidth="1"/>
    <col min="3" max="8" width="11" style="12"/>
    <col min="9" max="9" width="9" style="12" customWidth="1"/>
    <col min="10" max="13" width="11" style="12"/>
    <col min="14" max="15" width="4" style="12" customWidth="1"/>
    <col min="16" max="16" width="6.125" style="43" customWidth="1"/>
    <col min="17" max="17" width="13" style="12" customWidth="1"/>
    <col min="18" max="18" width="12.875" style="44" customWidth="1"/>
    <col min="19" max="19" width="3" style="44" customWidth="1"/>
    <col min="20" max="20" width="12" style="45" customWidth="1"/>
    <col min="21" max="21" width="14.875" style="8" customWidth="1"/>
    <col min="22" max="22" width="2.375" style="12" customWidth="1"/>
    <col min="23" max="23" width="12.875" style="6" customWidth="1"/>
    <col min="24" max="24" width="11.5" style="6" customWidth="1"/>
    <col min="25" max="25" width="13" style="12" customWidth="1"/>
    <col min="26" max="26" width="11.625" style="12" customWidth="1"/>
    <col min="27" max="27" width="9.125" style="12" customWidth="1"/>
    <col min="28" max="28" width="13.375" style="8" customWidth="1"/>
    <col min="29" max="29" width="13.75" style="12" customWidth="1"/>
    <col min="30" max="30" width="2" style="12" customWidth="1"/>
    <col min="31" max="31" width="12.75" style="12" customWidth="1"/>
    <col min="32" max="32" width="12.375" style="12" customWidth="1"/>
    <col min="33" max="33" width="13.125" style="12" customWidth="1"/>
    <col min="34" max="34" width="15.25" style="12" customWidth="1"/>
    <col min="35" max="16384" width="11" style="12"/>
  </cols>
  <sheetData>
    <row r="1" spans="1:34" s="7" customFormat="1" ht="31.5" customHeight="1">
      <c r="A1" s="1"/>
      <c r="B1" s="1"/>
      <c r="C1" s="1"/>
      <c r="D1" s="162" t="s">
        <v>112</v>
      </c>
      <c r="E1" s="162"/>
      <c r="F1" s="162"/>
      <c r="G1" s="162"/>
      <c r="H1" s="162"/>
      <c r="I1" s="162"/>
      <c r="J1" s="162"/>
      <c r="K1" s="162"/>
      <c r="L1" s="162"/>
      <c r="M1" s="1"/>
      <c r="N1" s="1"/>
      <c r="O1" s="1"/>
      <c r="P1" s="2"/>
      <c r="Q1" s="3" t="s">
        <v>74</v>
      </c>
      <c r="R1" s="4"/>
      <c r="S1" s="4"/>
      <c r="T1" s="4"/>
      <c r="U1" s="5"/>
      <c r="V1" s="6"/>
      <c r="W1" s="6"/>
      <c r="X1" s="6"/>
      <c r="Y1" s="5"/>
      <c r="Z1" s="5"/>
      <c r="AA1" s="5"/>
      <c r="AB1" s="5"/>
      <c r="AC1" s="5"/>
      <c r="AD1" s="5"/>
      <c r="AE1" s="5"/>
      <c r="AF1" s="5"/>
      <c r="AG1" s="5"/>
      <c r="AH1"/>
    </row>
    <row r="2" spans="1:34" ht="15.75" customHeight="1">
      <c r="A2" s="8"/>
      <c r="B2" s="8"/>
      <c r="C2" s="8"/>
      <c r="D2" s="162"/>
      <c r="E2" s="162"/>
      <c r="F2" s="162"/>
      <c r="G2" s="162"/>
      <c r="H2" s="162"/>
      <c r="I2" s="162"/>
      <c r="J2" s="162"/>
      <c r="K2" s="162"/>
      <c r="L2" s="162"/>
      <c r="M2" s="8"/>
      <c r="N2" s="8"/>
      <c r="O2" s="8"/>
      <c r="P2" s="9"/>
      <c r="Q2" s="10" t="s">
        <v>75</v>
      </c>
      <c r="R2" s="11"/>
      <c r="S2" s="11"/>
      <c r="T2" s="10" t="s">
        <v>76</v>
      </c>
      <c r="X2" s="163" t="s">
        <v>77</v>
      </c>
      <c r="Y2" s="163"/>
      <c r="Z2" s="163"/>
      <c r="AA2" s="163"/>
      <c r="AC2" s="163" t="s">
        <v>78</v>
      </c>
      <c r="AD2" s="163"/>
      <c r="AE2" s="163"/>
      <c r="AF2" s="163"/>
      <c r="AG2" s="163"/>
      <c r="AH2"/>
    </row>
    <row r="3" spans="1:34" ht="26.2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164">
        <f>MIN(R14:R16)</f>
        <v>45677</v>
      </c>
      <c r="Q3" s="165"/>
      <c r="R3" s="166"/>
      <c r="S3" s="65"/>
      <c r="T3" s="167">
        <f>MAX(R14:R116)</f>
        <v>46065</v>
      </c>
      <c r="U3" s="168"/>
      <c r="X3" s="164" t="s">
        <v>79</v>
      </c>
      <c r="Y3" s="165"/>
      <c r="Z3" s="165"/>
      <c r="AA3" s="168"/>
      <c r="AC3" s="169" t="s">
        <v>80</v>
      </c>
      <c r="AD3" s="170"/>
      <c r="AE3" s="170"/>
      <c r="AF3" s="170"/>
      <c r="AG3" s="171"/>
      <c r="AH3"/>
    </row>
    <row r="4" spans="1:34" ht="15.7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13"/>
      <c r="Q4" s="14"/>
      <c r="R4" s="15">
        <f>MIN(P14:P120)</f>
        <v>1</v>
      </c>
      <c r="S4" s="15"/>
      <c r="T4" s="16">
        <f>MAX(P14:P120)</f>
        <v>42</v>
      </c>
      <c r="U4" s="14"/>
      <c r="V4" s="6"/>
      <c r="X4" s="14"/>
      <c r="Y4" s="14"/>
      <c r="Z4" s="14"/>
      <c r="AA4" s="14"/>
      <c r="AB4"/>
      <c r="AC4" s="14"/>
      <c r="AD4" s="14"/>
      <c r="AE4" s="14"/>
      <c r="AF4" s="14"/>
      <c r="AH4" s="8"/>
    </row>
    <row r="5" spans="1:34" ht="20.2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17"/>
      <c r="Q5" s="17" t="s">
        <v>81</v>
      </c>
      <c r="R5" s="11"/>
      <c r="S5" s="11"/>
      <c r="T5" s="18"/>
      <c r="U5" s="17"/>
      <c r="V5" s="6"/>
      <c r="X5" s="17" t="s">
        <v>82</v>
      </c>
      <c r="Y5" s="17"/>
      <c r="Z5" s="17"/>
      <c r="AA5" s="14"/>
      <c r="AB5"/>
      <c r="AC5" s="10"/>
      <c r="AD5" s="10"/>
    </row>
    <row r="6" spans="1:34" ht="25.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158" t="s">
        <v>83</v>
      </c>
      <c r="Q6" s="158"/>
      <c r="R6" s="158"/>
      <c r="S6" s="158"/>
      <c r="T6" s="158"/>
      <c r="U6" s="158"/>
      <c r="V6" s="6"/>
      <c r="X6" s="159"/>
      <c r="Y6" s="159"/>
      <c r="Z6" s="159"/>
      <c r="AA6" s="159"/>
      <c r="AB6"/>
      <c r="AC6" s="6"/>
      <c r="AD6" s="6"/>
    </row>
    <row r="7" spans="1:34" ht="23.2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19"/>
      <c r="Q7" s="20" t="s">
        <v>84</v>
      </c>
      <c r="R7" s="21"/>
      <c r="S7" s="21"/>
      <c r="T7" s="22"/>
      <c r="V7" s="8"/>
      <c r="Y7" s="8"/>
      <c r="Z7" s="8"/>
      <c r="AA7" s="8"/>
      <c r="AC7" s="8"/>
      <c r="AD7" s="8"/>
      <c r="AE7" s="8"/>
      <c r="AF7" s="8"/>
      <c r="AG7" s="8"/>
      <c r="AH7" s="8"/>
    </row>
    <row r="8" spans="1:34" ht="31.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19"/>
      <c r="Q8" s="160" t="s">
        <v>85</v>
      </c>
      <c r="R8" s="160"/>
      <c r="S8" s="160"/>
      <c r="T8" s="160"/>
      <c r="U8" s="160"/>
      <c r="V8" s="160"/>
      <c r="W8" s="160"/>
      <c r="X8" s="160"/>
      <c r="Y8" s="160"/>
      <c r="Z8" s="160"/>
      <c r="AA8" s="6"/>
      <c r="AB8" s="161" t="s">
        <v>86</v>
      </c>
      <c r="AC8" s="161"/>
      <c r="AD8" s="161"/>
      <c r="AE8" s="161"/>
      <c r="AF8" s="161"/>
      <c r="AG8" s="161"/>
      <c r="AH8" s="161"/>
    </row>
    <row r="9" spans="1:34" customFormat="1" ht="11.25" customHeight="1"/>
    <row r="10" spans="1:34" s="52" customFormat="1" ht="27.75" customHeight="1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Q10" s="73" t="s">
        <v>87</v>
      </c>
      <c r="R10" s="73" t="s">
        <v>88</v>
      </c>
      <c r="S10" s="66"/>
      <c r="T10" s="49" t="s">
        <v>89</v>
      </c>
      <c r="U10" s="46" t="s">
        <v>90</v>
      </c>
      <c r="V10" s="50"/>
      <c r="W10" s="47" t="s">
        <v>91</v>
      </c>
      <c r="X10" s="61" t="s">
        <v>92</v>
      </c>
      <c r="Y10" s="61" t="s">
        <v>93</v>
      </c>
      <c r="Z10" s="48" t="s">
        <v>94</v>
      </c>
      <c r="AA10" s="53"/>
      <c r="AB10" s="49" t="s">
        <v>95</v>
      </c>
      <c r="AC10" s="46" t="s">
        <v>90</v>
      </c>
      <c r="AE10" s="47" t="s">
        <v>91</v>
      </c>
      <c r="AF10" s="61" t="s">
        <v>92</v>
      </c>
      <c r="AG10" s="61" t="s">
        <v>93</v>
      </c>
      <c r="AH10" s="48" t="s">
        <v>94</v>
      </c>
    </row>
    <row r="11" spans="1:34" s="55" customFormat="1" ht="27.75" customHeight="1" thickBot="1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Q11" s="64">
        <f>IF(U11="","",1.15)</f>
        <v>1.1499999999999999</v>
      </c>
      <c r="R11" s="64">
        <f>IF(U11="","",0.8)</f>
        <v>0.8</v>
      </c>
      <c r="S11" s="67"/>
      <c r="T11" s="62">
        <f>_xlfn.STDEV.P($U$14:$U$120)/$U$11</f>
        <v>0.19538453559070107</v>
      </c>
      <c r="U11" s="63">
        <f>AVERAGE($W$14:$W$120)</f>
        <v>11671.107590476187</v>
      </c>
      <c r="V11" s="56"/>
      <c r="W11" s="60">
        <f>$U$11-(3*_xlfn.STDEV.S($W$14:$W$120))</f>
        <v>4747.1207922955873</v>
      </c>
      <c r="X11" s="59">
        <f>$U$11-(2*_xlfn.STDEV.S($W$14:$W$120))</f>
        <v>7055.116391689121</v>
      </c>
      <c r="Y11" s="59">
        <f>$U$11+(2*_xlfn.STDEV.S($W$14:$W$120))</f>
        <v>16287.098789263255</v>
      </c>
      <c r="Z11" s="58">
        <f>$U$11+(3*_xlfn.STDEV.S($W$14:$W$120))</f>
        <v>18595.094388656787</v>
      </c>
      <c r="AA11" s="57"/>
      <c r="AB11" s="62">
        <f>_xlfn.STDEV.P($AC$14:$AC$120)/$AC$11</f>
        <v>0.18132449574546375</v>
      </c>
      <c r="AC11" s="63">
        <f>AVERAGE($AC$14:$AC$120)</f>
        <v>675.20075238095239</v>
      </c>
      <c r="AE11" s="60">
        <f>$AC$11-(3*_xlfn.STDEV.S($AE$14:$AE$120))</f>
        <v>303.45726611734801</v>
      </c>
      <c r="AF11" s="59">
        <f>$AC$11-(2*_xlfn.STDEV.S($AE$14:$AE$120))</f>
        <v>427.37176153854944</v>
      </c>
      <c r="AG11" s="59">
        <f>$AC$11+(2*_xlfn.STDEV.S($AE$14:$AE$120))</f>
        <v>923.02974322335535</v>
      </c>
      <c r="AH11" s="58">
        <f>$AC$11+(3*_xlfn.STDEV.S($AE$14:$AE$120))</f>
        <v>1046.9442386445567</v>
      </c>
    </row>
    <row r="12" spans="1:34" ht="11.2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19"/>
      <c r="Q12" s="20"/>
      <c r="R12" s="21"/>
      <c r="S12" s="21"/>
      <c r="T12" s="22"/>
      <c r="V12" s="8"/>
      <c r="Y12" s="8"/>
      <c r="Z12" s="8"/>
      <c r="AA12" s="6"/>
      <c r="AC12" s="8"/>
      <c r="AD12" s="8"/>
      <c r="AE12" s="8"/>
      <c r="AF12" s="8"/>
      <c r="AG12" s="8"/>
      <c r="AH12" s="8"/>
    </row>
    <row r="13" spans="1:34" ht="4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70" t="s">
        <v>96</v>
      </c>
      <c r="Q13" s="71" t="s">
        <v>97</v>
      </c>
      <c r="R13" s="71" t="s">
        <v>98</v>
      </c>
      <c r="S13" s="69"/>
      <c r="T13" s="72" t="s">
        <v>99</v>
      </c>
      <c r="U13" s="71" t="s">
        <v>100</v>
      </c>
      <c r="V13" s="69"/>
      <c r="W13" s="75" t="s">
        <v>101</v>
      </c>
      <c r="X13" s="75" t="s">
        <v>102</v>
      </c>
      <c r="Y13" s="76" t="s">
        <v>103</v>
      </c>
      <c r="Z13" s="77" t="s">
        <v>104</v>
      </c>
      <c r="AA13" s="6"/>
      <c r="AB13" s="26" t="s">
        <v>99</v>
      </c>
      <c r="AC13" s="27" t="s">
        <v>100</v>
      </c>
      <c r="AD13" s="28"/>
      <c r="AE13" s="23" t="s">
        <v>101</v>
      </c>
      <c r="AF13" s="23" t="s">
        <v>102</v>
      </c>
      <c r="AG13" s="24" t="s">
        <v>105</v>
      </c>
      <c r="AH13" s="25" t="s">
        <v>104</v>
      </c>
    </row>
    <row r="14" spans="1:34" ht="1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29">
        <v>1</v>
      </c>
      <c r="Q14" s="30" t="s">
        <v>106</v>
      </c>
      <c r="R14" s="31">
        <v>45677</v>
      </c>
      <c r="S14" s="68"/>
      <c r="T14" s="152">
        <v>11673</v>
      </c>
      <c r="U14" s="157">
        <v>12243.971</v>
      </c>
      <c r="V14" s="74"/>
      <c r="W14" s="34">
        <f>IF(X14&gt;3,"FALSE",U14)</f>
        <v>12243.971</v>
      </c>
      <c r="X14" s="34">
        <f t="shared" ref="X14:X77" si="0">IF(U14="","FALSE",ABS((U14-AVERAGE($U$14:$U$120))/_xlfn.STDEV.S($U$14:$U$104)))</f>
        <v>0.24820818968387209</v>
      </c>
      <c r="Y14" s="35" t="str">
        <f>IF(OR(U14&gt;$Y$11,U14&lt;$X$11),U14,"")</f>
        <v/>
      </c>
      <c r="Z14" s="36">
        <f>IF(U14="","",U14/T14)</f>
        <v>1.04891381821297</v>
      </c>
      <c r="AA14" s="6"/>
      <c r="AB14" s="155">
        <v>622</v>
      </c>
      <c r="AC14" s="156">
        <v>882.57799999999997</v>
      </c>
      <c r="AD14" s="38"/>
      <c r="AE14" s="34">
        <f>IF(AF14&gt;3,"FALSE",AC14)</f>
        <v>882.57799999999997</v>
      </c>
      <c r="AF14" s="34">
        <f>IF(AC14="","FALSE",ABS((AC14-AVERAGE($AC$14:$AC$120))/_xlfn.STDEV.S($AC$14:$AC$104)))</f>
        <v>1.6735511605332805</v>
      </c>
      <c r="AG14" s="35" t="str">
        <f t="shared" ref="AG14:AG77" si="1">IF(OR(AC14&gt;$AG$11,AC14&lt;$AF$11),AC14,"")</f>
        <v/>
      </c>
      <c r="AH14" s="36">
        <f t="shared" ref="AH14:AH77" si="2">IF(AC14="","",AC14/AB14)</f>
        <v>1.418935691318328</v>
      </c>
    </row>
    <row r="15" spans="1:34" ht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29">
        <f t="shared" ref="P15:P78" si="3">IF(R15&lt;&gt;"",P14+1,"")</f>
        <v>2</v>
      </c>
      <c r="Q15" s="30" t="s">
        <v>106</v>
      </c>
      <c r="R15" s="31">
        <v>45677</v>
      </c>
      <c r="S15" s="68"/>
      <c r="T15" s="152">
        <v>11673</v>
      </c>
      <c r="U15" s="157">
        <v>8732.3119999999999</v>
      </c>
      <c r="V15" s="74"/>
      <c r="W15" s="34">
        <f t="shared" ref="W15:W78" si="4">IF(X15&gt;3,"FALSE",U15)</f>
        <v>8732.3119999999999</v>
      </c>
      <c r="X15" s="34">
        <f t="shared" si="0"/>
        <v>1.2733107425544521</v>
      </c>
      <c r="Y15" s="35" t="str">
        <f t="shared" ref="Y15:Y78" si="5">IF(OR(U15&gt;$Y$11,U15&lt;$X$11),U15,"")</f>
        <v/>
      </c>
      <c r="Z15" s="36">
        <f t="shared" ref="Z15:Z78" si="6">IF(U15="","",U15/T15)</f>
        <v>0.7480777863445558</v>
      </c>
      <c r="AA15" s="6"/>
      <c r="AB15" s="155">
        <v>622</v>
      </c>
      <c r="AC15" s="156">
        <v>695.07500000000005</v>
      </c>
      <c r="AD15" s="38"/>
      <c r="AE15" s="34">
        <f t="shared" ref="AE15:AE64" si="7">IF(AF15&gt;3,"FALSE",AC15)</f>
        <v>695.07500000000005</v>
      </c>
      <c r="AF15" s="34">
        <f t="shared" ref="AF15:AF78" si="8">IF(AC15="","FALSE",ABS((AC15-AVERAGE($AC$14:$AC$120))/_xlfn.STDEV.S($AC$14:$AC$104)))</f>
        <v>0.16038678567420625</v>
      </c>
      <c r="AG15" s="35" t="str">
        <f t="shared" si="1"/>
        <v/>
      </c>
      <c r="AH15" s="36">
        <f t="shared" si="2"/>
        <v>1.1174839228295821</v>
      </c>
    </row>
    <row r="16" spans="1:34" ht="1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29">
        <f t="shared" si="3"/>
        <v>3</v>
      </c>
      <c r="Q16" s="30" t="s">
        <v>106</v>
      </c>
      <c r="R16" s="31">
        <v>45677</v>
      </c>
      <c r="S16" s="68"/>
      <c r="T16" s="152">
        <v>11673</v>
      </c>
      <c r="U16" s="157">
        <v>10454.759</v>
      </c>
      <c r="V16" s="74"/>
      <c r="W16" s="34">
        <f t="shared" si="4"/>
        <v>10454.759</v>
      </c>
      <c r="X16" s="34">
        <f t="shared" si="0"/>
        <v>0.52701512550362073</v>
      </c>
      <c r="Y16" s="35" t="str">
        <f t="shared" si="5"/>
        <v/>
      </c>
      <c r="Z16" s="36">
        <f t="shared" si="6"/>
        <v>0.89563599760130219</v>
      </c>
      <c r="AA16" s="6"/>
      <c r="AB16" s="155">
        <v>622</v>
      </c>
      <c r="AC16" s="156">
        <v>698.93200000000002</v>
      </c>
      <c r="AD16" s="38"/>
      <c r="AE16" s="34">
        <f t="shared" si="7"/>
        <v>698.93200000000002</v>
      </c>
      <c r="AF16" s="34">
        <f t="shared" si="8"/>
        <v>0.19151308762047595</v>
      </c>
      <c r="AG16" s="35" t="str">
        <f t="shared" si="1"/>
        <v/>
      </c>
      <c r="AH16" s="36">
        <f t="shared" si="2"/>
        <v>1.1236848874598071</v>
      </c>
    </row>
    <row r="17" spans="1:34" ht="1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29">
        <f t="shared" si="3"/>
        <v>4</v>
      </c>
      <c r="Q17" s="30" t="s">
        <v>106</v>
      </c>
      <c r="R17" s="31">
        <v>45677</v>
      </c>
      <c r="S17" s="68"/>
      <c r="T17" s="152">
        <v>11673</v>
      </c>
      <c r="U17" s="157">
        <v>8163.53</v>
      </c>
      <c r="V17" s="74"/>
      <c r="W17" s="34">
        <f t="shared" si="4"/>
        <v>8163.53</v>
      </c>
      <c r="X17" s="34">
        <f t="shared" si="0"/>
        <v>1.5197505538562837</v>
      </c>
      <c r="Y17" s="35" t="str">
        <f t="shared" si="5"/>
        <v/>
      </c>
      <c r="Z17" s="36">
        <f t="shared" si="6"/>
        <v>0.69935149490276705</v>
      </c>
      <c r="AA17" s="6"/>
      <c r="AB17" s="155">
        <v>622</v>
      </c>
      <c r="AC17" s="156">
        <v>1010.775</v>
      </c>
      <c r="AD17" s="38"/>
      <c r="AE17" s="34">
        <f t="shared" si="7"/>
        <v>1010.775</v>
      </c>
      <c r="AF17" s="34">
        <f t="shared" si="8"/>
        <v>2.7081113188443946</v>
      </c>
      <c r="AG17" s="35">
        <f t="shared" si="1"/>
        <v>1010.775</v>
      </c>
      <c r="AH17" s="36">
        <f t="shared" si="2"/>
        <v>1.625040192926045</v>
      </c>
    </row>
    <row r="18" spans="1:34" ht="1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29">
        <f t="shared" si="3"/>
        <v>5</v>
      </c>
      <c r="Q18" s="30" t="s">
        <v>106</v>
      </c>
      <c r="R18" s="31">
        <v>45677</v>
      </c>
      <c r="S18" s="68"/>
      <c r="T18" s="152">
        <v>11673</v>
      </c>
      <c r="U18" s="157">
        <v>7917.1639999999998</v>
      </c>
      <c r="V18" s="74"/>
      <c r="W18" s="34">
        <f t="shared" si="4"/>
        <v>7917.1639999999998</v>
      </c>
      <c r="X18" s="34">
        <f t="shared" si="0"/>
        <v>1.6264951248011923</v>
      </c>
      <c r="Y18" s="35" t="str">
        <f t="shared" si="5"/>
        <v/>
      </c>
      <c r="Z18" s="36">
        <f t="shared" si="6"/>
        <v>0.67824586652959817</v>
      </c>
      <c r="AA18" s="6"/>
      <c r="AB18" s="155">
        <v>622</v>
      </c>
      <c r="AC18" s="156">
        <v>557.79700000000003</v>
      </c>
      <c r="AD18" s="38"/>
      <c r="AE18" s="34">
        <f t="shared" si="7"/>
        <v>557.79700000000003</v>
      </c>
      <c r="AF18" s="34">
        <f t="shared" si="8"/>
        <v>0.94745777708961143</v>
      </c>
      <c r="AG18" s="35" t="str">
        <f t="shared" si="1"/>
        <v/>
      </c>
      <c r="AH18" s="36">
        <f t="shared" si="2"/>
        <v>0.89677974276527339</v>
      </c>
    </row>
    <row r="19" spans="1:34" ht="1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29">
        <f t="shared" si="3"/>
        <v>6</v>
      </c>
      <c r="Q19" s="30" t="s">
        <v>106</v>
      </c>
      <c r="R19" s="31">
        <v>45678</v>
      </c>
      <c r="S19" s="68"/>
      <c r="T19" s="152">
        <v>11673</v>
      </c>
      <c r="U19" s="157">
        <v>11007.623</v>
      </c>
      <c r="V19" s="74"/>
      <c r="W19" s="34">
        <f t="shared" si="4"/>
        <v>11007.623</v>
      </c>
      <c r="X19" s="34">
        <f t="shared" si="0"/>
        <v>0.28747220776787014</v>
      </c>
      <c r="Y19" s="35" t="str">
        <f t="shared" si="5"/>
        <v/>
      </c>
      <c r="Z19" s="36">
        <f t="shared" si="6"/>
        <v>0.94299862931551437</v>
      </c>
      <c r="AA19" s="6"/>
      <c r="AB19" s="155">
        <v>622</v>
      </c>
      <c r="AC19" s="156">
        <v>566.49400000000003</v>
      </c>
      <c r="AD19" s="38"/>
      <c r="AE19" s="34">
        <f t="shared" si="7"/>
        <v>566.49400000000003</v>
      </c>
      <c r="AF19" s="34">
        <f t="shared" si="8"/>
        <v>0.87727228369404242</v>
      </c>
      <c r="AG19" s="35" t="str">
        <f t="shared" si="1"/>
        <v/>
      </c>
      <c r="AH19" s="36">
        <f t="shared" si="2"/>
        <v>0.9107620578778135</v>
      </c>
    </row>
    <row r="20" spans="1:34" ht="1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29">
        <f t="shared" si="3"/>
        <v>7</v>
      </c>
      <c r="Q20" s="30" t="s">
        <v>106</v>
      </c>
      <c r="R20" s="31">
        <v>45678</v>
      </c>
      <c r="S20" s="68"/>
      <c r="T20" s="152">
        <v>11673</v>
      </c>
      <c r="U20" s="157">
        <v>11210.486000000001</v>
      </c>
      <c r="V20" s="74"/>
      <c r="W20" s="34">
        <f t="shared" si="4"/>
        <v>11210.486000000001</v>
      </c>
      <c r="X20" s="34">
        <f t="shared" si="0"/>
        <v>0.19957645958996764</v>
      </c>
      <c r="Y20" s="35" t="str">
        <f t="shared" si="5"/>
        <v/>
      </c>
      <c r="Z20" s="36">
        <f t="shared" si="6"/>
        <v>0.96037745224021254</v>
      </c>
      <c r="AA20" s="6"/>
      <c r="AB20" s="155">
        <v>622</v>
      </c>
      <c r="AC20" s="156">
        <v>765.68700000000001</v>
      </c>
      <c r="AD20" s="38"/>
      <c r="AE20" s="34">
        <f t="shared" si="7"/>
        <v>765.68700000000001</v>
      </c>
      <c r="AF20" s="34">
        <f t="shared" si="8"/>
        <v>0.73023133662831863</v>
      </c>
      <c r="AG20" s="35" t="str">
        <f t="shared" si="1"/>
        <v/>
      </c>
      <c r="AH20" s="36">
        <f t="shared" si="2"/>
        <v>1.2310080385852091</v>
      </c>
    </row>
    <row r="21" spans="1:34" ht="1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29">
        <f t="shared" si="3"/>
        <v>8</v>
      </c>
      <c r="Q21" s="30" t="s">
        <v>106</v>
      </c>
      <c r="R21" s="31">
        <v>45678</v>
      </c>
      <c r="S21" s="68"/>
      <c r="T21" s="152">
        <v>11673</v>
      </c>
      <c r="U21" s="157">
        <v>11339.481</v>
      </c>
      <c r="V21" s="74"/>
      <c r="W21" s="34">
        <f t="shared" si="4"/>
        <v>11339.481</v>
      </c>
      <c r="X21" s="34">
        <f t="shared" si="0"/>
        <v>0.14368597174246275</v>
      </c>
      <c r="Y21" s="35" t="str">
        <f t="shared" si="5"/>
        <v/>
      </c>
      <c r="Z21" s="36">
        <f t="shared" si="6"/>
        <v>0.97142816756617834</v>
      </c>
      <c r="AA21" s="6"/>
      <c r="AB21" s="155">
        <v>622</v>
      </c>
      <c r="AC21" s="156">
        <v>590.19500000000005</v>
      </c>
      <c r="AD21" s="38"/>
      <c r="AE21" s="34">
        <f t="shared" si="7"/>
        <v>590.19500000000005</v>
      </c>
      <c r="AF21" s="34">
        <f t="shared" si="8"/>
        <v>0.68600329680564609</v>
      </c>
      <c r="AG21" s="35" t="str">
        <f t="shared" si="1"/>
        <v/>
      </c>
      <c r="AH21" s="36">
        <f t="shared" si="2"/>
        <v>0.94886655948553067</v>
      </c>
    </row>
    <row r="22" spans="1:34" ht="1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29">
        <f t="shared" si="3"/>
        <v>9</v>
      </c>
      <c r="Q22" s="30" t="s">
        <v>106</v>
      </c>
      <c r="R22" s="31">
        <v>45678</v>
      </c>
      <c r="S22" s="68"/>
      <c r="T22" s="152">
        <v>11673</v>
      </c>
      <c r="U22" s="157">
        <v>9078.43</v>
      </c>
      <c r="V22" s="74"/>
      <c r="W22" s="34">
        <f t="shared" si="4"/>
        <v>9078.43</v>
      </c>
      <c r="X22" s="34">
        <f t="shared" si="0"/>
        <v>1.1233459852165486</v>
      </c>
      <c r="Y22" s="35" t="str">
        <f t="shared" si="5"/>
        <v/>
      </c>
      <c r="Z22" s="36">
        <f t="shared" si="6"/>
        <v>0.77772894714297958</v>
      </c>
      <c r="AA22" s="6"/>
      <c r="AB22" s="155">
        <v>622</v>
      </c>
      <c r="AC22" s="156">
        <v>748.68499999999995</v>
      </c>
      <c r="AD22" s="38"/>
      <c r="AE22" s="34">
        <f t="shared" si="7"/>
        <v>748.68499999999995</v>
      </c>
      <c r="AF22" s="34">
        <f t="shared" si="8"/>
        <v>0.59302382154133826</v>
      </c>
      <c r="AG22" s="35" t="str">
        <f t="shared" si="1"/>
        <v/>
      </c>
      <c r="AH22" s="36">
        <f t="shared" si="2"/>
        <v>1.2036736334405145</v>
      </c>
    </row>
    <row r="23" spans="1:34" ht="1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29">
        <f t="shared" si="3"/>
        <v>10</v>
      </c>
      <c r="Q23" s="30" t="s">
        <v>106</v>
      </c>
      <c r="R23" s="31">
        <v>45678</v>
      </c>
      <c r="S23" s="68"/>
      <c r="T23" s="152">
        <v>11673</v>
      </c>
      <c r="U23" s="157">
        <v>10682.736000000001</v>
      </c>
      <c r="V23" s="74"/>
      <c r="W23" s="34">
        <f t="shared" si="4"/>
        <v>10682.736000000001</v>
      </c>
      <c r="X23" s="34">
        <f t="shared" si="0"/>
        <v>0.42823807408293968</v>
      </c>
      <c r="Y23" s="35" t="str">
        <f t="shared" si="5"/>
        <v/>
      </c>
      <c r="Z23" s="36">
        <f t="shared" si="6"/>
        <v>0.91516628116165522</v>
      </c>
      <c r="AA23" s="6"/>
      <c r="AB23" s="155">
        <v>622</v>
      </c>
      <c r="AC23" s="156">
        <v>547.16899999999998</v>
      </c>
      <c r="AD23" s="38"/>
      <c r="AE23" s="34">
        <f t="shared" si="7"/>
        <v>547.16899999999998</v>
      </c>
      <c r="AF23" s="34">
        <f t="shared" si="8"/>
        <v>1.0332265966605105</v>
      </c>
      <c r="AG23" s="35" t="str">
        <f t="shared" si="1"/>
        <v/>
      </c>
      <c r="AH23" s="36">
        <f t="shared" si="2"/>
        <v>0.87969292604501603</v>
      </c>
    </row>
    <row r="24" spans="1:34" ht="1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29">
        <f t="shared" si="3"/>
        <v>11</v>
      </c>
      <c r="Q24" s="30" t="s">
        <v>106</v>
      </c>
      <c r="R24" s="31">
        <v>45679</v>
      </c>
      <c r="S24" s="68"/>
      <c r="T24" s="152">
        <v>11673</v>
      </c>
      <c r="U24" s="157">
        <v>16303.007</v>
      </c>
      <c r="V24" s="74"/>
      <c r="W24" s="34">
        <f t="shared" si="4"/>
        <v>16303.007</v>
      </c>
      <c r="X24" s="34">
        <f t="shared" si="0"/>
        <v>2.0068926521094435</v>
      </c>
      <c r="Y24" s="35">
        <f t="shared" si="5"/>
        <v>16303.007</v>
      </c>
      <c r="Z24" s="36">
        <f t="shared" si="6"/>
        <v>1.3966424226848282</v>
      </c>
      <c r="AA24" s="6"/>
      <c r="AB24" s="155">
        <v>622</v>
      </c>
      <c r="AC24" s="156">
        <v>760.45899999999995</v>
      </c>
      <c r="AD24" s="38"/>
      <c r="AE24" s="34">
        <f t="shared" si="7"/>
        <v>760.45899999999995</v>
      </c>
      <c r="AF24" s="34">
        <f t="shared" si="8"/>
        <v>0.68804095379837282</v>
      </c>
      <c r="AG24" s="35" t="str">
        <f t="shared" si="1"/>
        <v/>
      </c>
      <c r="AH24" s="36">
        <f t="shared" si="2"/>
        <v>1.2226028938906752</v>
      </c>
    </row>
    <row r="25" spans="1:34" ht="1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29">
        <f t="shared" si="3"/>
        <v>12</v>
      </c>
      <c r="Q25" s="30" t="s">
        <v>106</v>
      </c>
      <c r="R25" s="31">
        <v>45679</v>
      </c>
      <c r="S25" s="68"/>
      <c r="T25" s="152">
        <v>11673</v>
      </c>
      <c r="U25" s="157">
        <v>16383.464</v>
      </c>
      <c r="V25" s="74"/>
      <c r="W25" s="34">
        <f t="shared" si="4"/>
        <v>16383.464</v>
      </c>
      <c r="X25" s="34">
        <f t="shared" si="0"/>
        <v>2.041752770569436</v>
      </c>
      <c r="Y25" s="35">
        <f t="shared" si="5"/>
        <v>16383.464</v>
      </c>
      <c r="Z25" s="36">
        <f t="shared" si="6"/>
        <v>1.4035349952882721</v>
      </c>
      <c r="AA25" s="6"/>
      <c r="AB25" s="155">
        <v>622</v>
      </c>
      <c r="AC25" s="156">
        <v>622.70299999999997</v>
      </c>
      <c r="AD25" s="38"/>
      <c r="AE25" s="34">
        <f t="shared" si="7"/>
        <v>622.70299999999997</v>
      </c>
      <c r="AF25" s="34">
        <f t="shared" si="8"/>
        <v>0.42366110762510667</v>
      </c>
      <c r="AG25" s="35" t="str">
        <f t="shared" si="1"/>
        <v/>
      </c>
      <c r="AH25" s="36">
        <f t="shared" si="2"/>
        <v>1.0011302250803857</v>
      </c>
    </row>
    <row r="26" spans="1:34" ht="1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29">
        <f t="shared" si="3"/>
        <v>13</v>
      </c>
      <c r="Q26" s="30" t="s">
        <v>106</v>
      </c>
      <c r="R26" s="31">
        <v>45679</v>
      </c>
      <c r="S26" s="68"/>
      <c r="T26" s="152">
        <v>11673</v>
      </c>
      <c r="U26" s="157">
        <v>13471.069</v>
      </c>
      <c r="V26" s="74"/>
      <c r="W26" s="34">
        <f t="shared" si="4"/>
        <v>13471.069</v>
      </c>
      <c r="X26" s="34">
        <f t="shared" si="0"/>
        <v>0.77988078053389009</v>
      </c>
      <c r="Y26" s="35" t="str">
        <f t="shared" si="5"/>
        <v/>
      </c>
      <c r="Z26" s="36">
        <f t="shared" si="6"/>
        <v>1.1540365801422086</v>
      </c>
      <c r="AA26" s="6"/>
      <c r="AB26" s="155">
        <v>622</v>
      </c>
      <c r="AC26" s="156">
        <v>509.67899999999997</v>
      </c>
      <c r="AD26" s="38"/>
      <c r="AE26" s="34">
        <f t="shared" si="7"/>
        <v>509.67899999999997</v>
      </c>
      <c r="AF26" s="34">
        <f t="shared" si="8"/>
        <v>1.3357739287750192</v>
      </c>
      <c r="AG26" s="35" t="str">
        <f t="shared" si="1"/>
        <v/>
      </c>
      <c r="AH26" s="36">
        <f t="shared" si="2"/>
        <v>0.81941961414790998</v>
      </c>
    </row>
    <row r="27" spans="1:34" ht="1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29">
        <f t="shared" si="3"/>
        <v>14</v>
      </c>
      <c r="Q27" s="30" t="s">
        <v>106</v>
      </c>
      <c r="R27" s="31">
        <v>45679</v>
      </c>
      <c r="S27" s="68"/>
      <c r="T27" s="152">
        <v>11673</v>
      </c>
      <c r="U27" s="157">
        <v>15098.321</v>
      </c>
      <c r="V27" s="74"/>
      <c r="W27" s="34">
        <f t="shared" si="4"/>
        <v>15098.321</v>
      </c>
      <c r="X27" s="34">
        <f t="shared" si="0"/>
        <v>1.4849306516981113</v>
      </c>
      <c r="Y27" s="35" t="str">
        <f t="shared" si="5"/>
        <v/>
      </c>
      <c r="Z27" s="36">
        <f t="shared" si="6"/>
        <v>1.293439647048745</v>
      </c>
      <c r="AA27" s="6"/>
      <c r="AB27" s="155">
        <v>622</v>
      </c>
      <c r="AC27" s="156">
        <v>676.65700000000004</v>
      </c>
      <c r="AD27" s="38"/>
      <c r="AE27" s="34">
        <f t="shared" si="7"/>
        <v>676.65700000000004</v>
      </c>
      <c r="AF27" s="34">
        <f t="shared" si="8"/>
        <v>1.175203606404295E-2</v>
      </c>
      <c r="AG27" s="35" t="str">
        <f t="shared" si="1"/>
        <v/>
      </c>
      <c r="AH27" s="36">
        <f t="shared" si="2"/>
        <v>1.0878729903536979</v>
      </c>
    </row>
    <row r="28" spans="1:34" ht="1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29">
        <f t="shared" si="3"/>
        <v>15</v>
      </c>
      <c r="Q28" s="30" t="s">
        <v>106</v>
      </c>
      <c r="R28" s="31">
        <v>45679</v>
      </c>
      <c r="S28" s="68"/>
      <c r="T28" s="152">
        <v>11673</v>
      </c>
      <c r="U28" s="157">
        <v>12489.499</v>
      </c>
      <c r="V28" s="74"/>
      <c r="W28" s="34">
        <f t="shared" si="4"/>
        <v>12489.499</v>
      </c>
      <c r="X28" s="34">
        <f t="shared" si="0"/>
        <v>0.35458967501448413</v>
      </c>
      <c r="Y28" s="35" t="str">
        <f t="shared" si="5"/>
        <v/>
      </c>
      <c r="Z28" s="36">
        <f t="shared" si="6"/>
        <v>1.0699476569862074</v>
      </c>
      <c r="AA28" s="6"/>
      <c r="AB28" s="155">
        <v>622</v>
      </c>
      <c r="AC28" s="156">
        <v>712.71699999999998</v>
      </c>
      <c r="AD28" s="38"/>
      <c r="AE28" s="34">
        <f t="shared" si="7"/>
        <v>712.71699999999998</v>
      </c>
      <c r="AF28" s="34">
        <f t="shared" si="8"/>
        <v>0.30275915252307645</v>
      </c>
      <c r="AG28" s="35" t="str">
        <f t="shared" si="1"/>
        <v/>
      </c>
      <c r="AH28" s="36">
        <f t="shared" si="2"/>
        <v>1.1458472668810289</v>
      </c>
    </row>
    <row r="29" spans="1:34" ht="1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 t="s">
        <v>107</v>
      </c>
      <c r="O29" s="8"/>
      <c r="P29" s="29">
        <f t="shared" si="3"/>
        <v>16</v>
      </c>
      <c r="Q29" s="30" t="s">
        <v>106</v>
      </c>
      <c r="R29" s="31">
        <v>45681</v>
      </c>
      <c r="S29" s="68"/>
      <c r="T29" s="152">
        <v>11673</v>
      </c>
      <c r="U29" s="157">
        <v>14914.703</v>
      </c>
      <c r="V29" s="74"/>
      <c r="W29" s="34">
        <f t="shared" si="4"/>
        <v>14914.703</v>
      </c>
      <c r="X29" s="34">
        <f t="shared" si="0"/>
        <v>1.4053733076337427</v>
      </c>
      <c r="Y29" s="35" t="str">
        <f t="shared" si="5"/>
        <v/>
      </c>
      <c r="Z29" s="36">
        <f t="shared" si="6"/>
        <v>1.2777095005568406</v>
      </c>
      <c r="AA29" s="6"/>
      <c r="AB29" s="155">
        <v>622</v>
      </c>
      <c r="AC29" s="156">
        <v>834.24599999999998</v>
      </c>
      <c r="AD29" s="38"/>
      <c r="AE29" s="34">
        <f t="shared" si="7"/>
        <v>834.24599999999998</v>
      </c>
      <c r="AF29" s="34">
        <f t="shared" si="8"/>
        <v>1.2835080115399908</v>
      </c>
      <c r="AG29" s="35" t="str">
        <f t="shared" si="1"/>
        <v/>
      </c>
      <c r="AH29" s="36">
        <f t="shared" si="2"/>
        <v>1.3412315112540192</v>
      </c>
    </row>
    <row r="30" spans="1:34" ht="1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29">
        <f t="shared" si="3"/>
        <v>17</v>
      </c>
      <c r="Q30" s="30" t="s">
        <v>106</v>
      </c>
      <c r="R30" s="31">
        <v>45681</v>
      </c>
      <c r="S30" s="68"/>
      <c r="T30" s="152">
        <v>11673</v>
      </c>
      <c r="U30" s="157">
        <v>14248.705</v>
      </c>
      <c r="V30" s="74"/>
      <c r="W30" s="34">
        <f t="shared" si="4"/>
        <v>14248.705</v>
      </c>
      <c r="X30" s="34">
        <f t="shared" si="0"/>
        <v>1.1168120988623731</v>
      </c>
      <c r="Y30" s="35" t="str">
        <f t="shared" si="5"/>
        <v/>
      </c>
      <c r="Z30" s="36">
        <f t="shared" si="6"/>
        <v>1.220654930180759</v>
      </c>
      <c r="AA30" s="6"/>
      <c r="AB30" s="155">
        <v>622</v>
      </c>
      <c r="AC30" s="156">
        <v>727.08299999999997</v>
      </c>
      <c r="AD30" s="38"/>
      <c r="AE30" s="34">
        <f t="shared" si="7"/>
        <v>727.08299999999997</v>
      </c>
      <c r="AF30" s="34">
        <f t="shared" si="8"/>
        <v>0.41869393441576852</v>
      </c>
      <c r="AG30" s="35" t="str">
        <f t="shared" si="1"/>
        <v/>
      </c>
      <c r="AH30" s="36">
        <f t="shared" si="2"/>
        <v>1.168943729903537</v>
      </c>
    </row>
    <row r="31" spans="1:34" ht="1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29">
        <f t="shared" si="3"/>
        <v>18</v>
      </c>
      <c r="Q31" s="30" t="s">
        <v>106</v>
      </c>
      <c r="R31" s="31">
        <v>45681</v>
      </c>
      <c r="S31" s="68"/>
      <c r="T31" s="152">
        <v>11673</v>
      </c>
      <c r="U31" s="157">
        <v>13542.456</v>
      </c>
      <c r="V31" s="74"/>
      <c r="W31" s="34">
        <f t="shared" si="4"/>
        <v>13542.456</v>
      </c>
      <c r="X31" s="34">
        <f t="shared" si="0"/>
        <v>0.81081108214224618</v>
      </c>
      <c r="Y31" s="35" t="str">
        <f t="shared" si="5"/>
        <v/>
      </c>
      <c r="Z31" s="36">
        <f t="shared" si="6"/>
        <v>1.1601521459778976</v>
      </c>
      <c r="AA31" s="6"/>
      <c r="AB31" s="155">
        <v>622</v>
      </c>
      <c r="AC31" s="156">
        <v>713.96100000000001</v>
      </c>
      <c r="AD31" s="38"/>
      <c r="AE31" s="34">
        <f t="shared" si="7"/>
        <v>713.96100000000001</v>
      </c>
      <c r="AF31" s="34">
        <f t="shared" si="8"/>
        <v>0.31279833313525185</v>
      </c>
      <c r="AG31" s="35" t="str">
        <f t="shared" si="1"/>
        <v/>
      </c>
      <c r="AH31" s="36">
        <f t="shared" si="2"/>
        <v>1.1478472668810289</v>
      </c>
    </row>
    <row r="32" spans="1:34" ht="1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29">
        <f t="shared" si="3"/>
        <v>19</v>
      </c>
      <c r="Q32" s="30" t="s">
        <v>106</v>
      </c>
      <c r="R32" s="31">
        <v>45681</v>
      </c>
      <c r="S32" s="68"/>
      <c r="T32" s="152">
        <v>11673</v>
      </c>
      <c r="U32" s="157">
        <v>13491.797</v>
      </c>
      <c r="V32" s="74"/>
      <c r="W32" s="34">
        <f t="shared" si="4"/>
        <v>13491.797</v>
      </c>
      <c r="X32" s="34">
        <f t="shared" si="0"/>
        <v>0.78886173353286793</v>
      </c>
      <c r="Y32" s="35" t="str">
        <f t="shared" si="5"/>
        <v/>
      </c>
      <c r="Z32" s="36">
        <f t="shared" si="6"/>
        <v>1.155812301893258</v>
      </c>
      <c r="AA32" s="6"/>
      <c r="AB32" s="155">
        <v>622</v>
      </c>
      <c r="AC32" s="156">
        <v>649.798</v>
      </c>
      <c r="AD32" s="38"/>
      <c r="AE32" s="34">
        <f t="shared" si="7"/>
        <v>649.798</v>
      </c>
      <c r="AF32" s="34">
        <f t="shared" si="8"/>
        <v>0.20500226623693327</v>
      </c>
      <c r="AG32" s="35" t="str">
        <f t="shared" si="1"/>
        <v/>
      </c>
      <c r="AH32" s="36">
        <f t="shared" si="2"/>
        <v>1.0446913183279742</v>
      </c>
    </row>
    <row r="33" spans="1:34" ht="1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29">
        <f t="shared" si="3"/>
        <v>20</v>
      </c>
      <c r="Q33" s="30" t="s">
        <v>106</v>
      </c>
      <c r="R33" s="31">
        <v>45681</v>
      </c>
      <c r="S33" s="68"/>
      <c r="T33" s="152">
        <v>11673</v>
      </c>
      <c r="U33" s="157">
        <v>10645.414000000001</v>
      </c>
      <c r="V33" s="74"/>
      <c r="W33" s="34">
        <f t="shared" si="4"/>
        <v>10645.414000000001</v>
      </c>
      <c r="X33" s="34">
        <f t="shared" si="0"/>
        <v>0.44440881548721578</v>
      </c>
      <c r="Y33" s="35" t="str">
        <f t="shared" si="5"/>
        <v/>
      </c>
      <c r="Z33" s="36">
        <f t="shared" si="6"/>
        <v>0.91196898826351414</v>
      </c>
      <c r="AA33" s="6"/>
      <c r="AB33" s="155">
        <v>622</v>
      </c>
      <c r="AC33" s="156">
        <v>704.51300000000003</v>
      </c>
      <c r="AD33" s="38"/>
      <c r="AE33" s="34">
        <f t="shared" si="7"/>
        <v>704.51300000000003</v>
      </c>
      <c r="AF33" s="34">
        <f t="shared" si="8"/>
        <v>0.23655220900033933</v>
      </c>
      <c r="AG33" s="35" t="str">
        <f t="shared" si="1"/>
        <v/>
      </c>
      <c r="AH33" s="36">
        <f t="shared" si="2"/>
        <v>1.1326575562700965</v>
      </c>
    </row>
    <row r="34" spans="1:34" ht="1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29">
        <f t="shared" si="3"/>
        <v>21</v>
      </c>
      <c r="Q34" s="30" t="s">
        <v>108</v>
      </c>
      <c r="R34" s="31">
        <v>45743</v>
      </c>
      <c r="S34" s="68"/>
      <c r="T34" s="153">
        <v>12514</v>
      </c>
      <c r="U34" s="157">
        <v>14840.905000000001</v>
      </c>
      <c r="V34" s="74"/>
      <c r="W34" s="34">
        <f t="shared" si="4"/>
        <v>14840.905000000001</v>
      </c>
      <c r="X34" s="34">
        <f t="shared" si="0"/>
        <v>1.3733983766506026</v>
      </c>
      <c r="Y34" s="35" t="str">
        <f t="shared" si="5"/>
        <v/>
      </c>
      <c r="Z34" s="36">
        <f t="shared" si="6"/>
        <v>1.1859441425603325</v>
      </c>
      <c r="AA34" s="6"/>
      <c r="AB34" s="155">
        <v>686</v>
      </c>
      <c r="AC34" s="156">
        <v>887.08199999999999</v>
      </c>
      <c r="AD34" s="38"/>
      <c r="AE34" s="34">
        <f t="shared" si="7"/>
        <v>887.08199999999999</v>
      </c>
      <c r="AF34" s="34">
        <f t="shared" si="8"/>
        <v>1.7098988048075869</v>
      </c>
      <c r="AG34" s="35" t="str">
        <f t="shared" si="1"/>
        <v/>
      </c>
      <c r="AH34" s="36">
        <f t="shared" si="2"/>
        <v>1.2931224489795918</v>
      </c>
    </row>
    <row r="35" spans="1:34" ht="1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29">
        <f t="shared" si="3"/>
        <v>22</v>
      </c>
      <c r="Q35" s="30" t="s">
        <v>108</v>
      </c>
      <c r="R35" s="31">
        <v>45743</v>
      </c>
      <c r="S35" s="68"/>
      <c r="T35" s="153">
        <v>12514</v>
      </c>
      <c r="U35" s="157">
        <v>10568.066000000001</v>
      </c>
      <c r="V35" s="74"/>
      <c r="W35" s="34">
        <f t="shared" si="4"/>
        <v>10568.066000000001</v>
      </c>
      <c r="X35" s="34">
        <f t="shared" si="0"/>
        <v>0.47792187765263955</v>
      </c>
      <c r="Y35" s="35" t="str">
        <f t="shared" si="5"/>
        <v/>
      </c>
      <c r="Z35" s="36">
        <f t="shared" si="6"/>
        <v>0.8444994406264984</v>
      </c>
      <c r="AA35" s="6"/>
      <c r="AB35" s="155">
        <v>686</v>
      </c>
      <c r="AC35" s="156">
        <v>607.74400000000003</v>
      </c>
      <c r="AD35" s="38"/>
      <c r="AE35" s="34">
        <f t="shared" si="7"/>
        <v>607.74400000000003</v>
      </c>
      <c r="AF35" s="34">
        <f t="shared" si="8"/>
        <v>0.54438144747842532</v>
      </c>
      <c r="AG35" s="35" t="str">
        <f t="shared" si="1"/>
        <v/>
      </c>
      <c r="AH35" s="36">
        <f t="shared" si="2"/>
        <v>0.88592419825072888</v>
      </c>
    </row>
    <row r="36" spans="1:34" ht="1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29">
        <f t="shared" si="3"/>
        <v>23</v>
      </c>
      <c r="Q36" s="30" t="s">
        <v>108</v>
      </c>
      <c r="R36" s="31">
        <v>45772</v>
      </c>
      <c r="S36" s="68"/>
      <c r="T36" s="153">
        <v>12514</v>
      </c>
      <c r="U36" s="157">
        <v>8727.1149999999998</v>
      </c>
      <c r="V36" s="74"/>
      <c r="W36" s="34">
        <f t="shared" si="4"/>
        <v>8727.1149999999998</v>
      </c>
      <c r="X36" s="34">
        <f t="shared" si="0"/>
        <v>1.2755624799500371</v>
      </c>
      <c r="Y36" s="35" t="str">
        <f t="shared" si="5"/>
        <v/>
      </c>
      <c r="Z36" s="36">
        <f t="shared" si="6"/>
        <v>0.69738812529966432</v>
      </c>
      <c r="AA36" s="6"/>
      <c r="AB36" s="155">
        <v>686</v>
      </c>
      <c r="AC36" s="156">
        <v>641.64300000000003</v>
      </c>
      <c r="AD36" s="38"/>
      <c r="AE36" s="34">
        <f t="shared" si="7"/>
        <v>641.64300000000003</v>
      </c>
      <c r="AF36" s="34">
        <f t="shared" si="8"/>
        <v>0.27081377579665078</v>
      </c>
      <c r="AG36" s="35" t="str">
        <f t="shared" si="1"/>
        <v/>
      </c>
      <c r="AH36" s="36">
        <f t="shared" si="2"/>
        <v>0.93533965014577258</v>
      </c>
    </row>
    <row r="37" spans="1:34" ht="1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29">
        <f t="shared" si="3"/>
        <v>24</v>
      </c>
      <c r="Q37" s="30" t="s">
        <v>108</v>
      </c>
      <c r="R37" s="31">
        <v>45772</v>
      </c>
      <c r="S37" s="68"/>
      <c r="T37" s="153">
        <v>12514</v>
      </c>
      <c r="U37" s="157">
        <v>8015.0730000000003</v>
      </c>
      <c r="V37" s="74"/>
      <c r="W37" s="34">
        <f t="shared" si="4"/>
        <v>8015.0730000000003</v>
      </c>
      <c r="X37" s="34">
        <f t="shared" si="0"/>
        <v>1.5840734667938168</v>
      </c>
      <c r="Y37" s="35" t="str">
        <f t="shared" si="5"/>
        <v/>
      </c>
      <c r="Z37" s="36">
        <f t="shared" si="6"/>
        <v>0.6404884928879655</v>
      </c>
      <c r="AA37" s="6"/>
      <c r="AB37" s="155">
        <v>686</v>
      </c>
      <c r="AC37" s="156">
        <v>595.08299999999997</v>
      </c>
      <c r="AD37" s="38"/>
      <c r="AE37" s="34">
        <f t="shared" si="7"/>
        <v>595.08299999999997</v>
      </c>
      <c r="AF37" s="34">
        <f t="shared" si="8"/>
        <v>0.64655674147420583</v>
      </c>
      <c r="AG37" s="35" t="str">
        <f t="shared" si="1"/>
        <v/>
      </c>
      <c r="AH37" s="36">
        <f t="shared" si="2"/>
        <v>0.86746793002915445</v>
      </c>
    </row>
    <row r="38" spans="1:34" ht="1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29">
        <f t="shared" si="3"/>
        <v>25</v>
      </c>
      <c r="Q38" s="30" t="s">
        <v>108</v>
      </c>
      <c r="R38" s="31">
        <v>45785</v>
      </c>
      <c r="S38" s="68"/>
      <c r="T38" s="153">
        <v>12514</v>
      </c>
      <c r="U38" s="157">
        <v>10616.899100000001</v>
      </c>
      <c r="V38" s="74"/>
      <c r="W38" s="34">
        <f t="shared" si="4"/>
        <v>10616.899100000001</v>
      </c>
      <c r="X38" s="34">
        <f t="shared" si="0"/>
        <v>0.45676364840262212</v>
      </c>
      <c r="Y38" s="35" t="str">
        <f t="shared" si="5"/>
        <v/>
      </c>
      <c r="Z38" s="36">
        <f t="shared" si="6"/>
        <v>0.84840171807575515</v>
      </c>
      <c r="AA38" s="6"/>
      <c r="AB38" s="155">
        <v>686</v>
      </c>
      <c r="AC38" s="156">
        <v>659.28970000000004</v>
      </c>
      <c r="AD38" s="38"/>
      <c r="AE38" s="34">
        <f t="shared" si="7"/>
        <v>659.28970000000004</v>
      </c>
      <c r="AF38" s="34">
        <f t="shared" si="8"/>
        <v>0.12840347956765366</v>
      </c>
      <c r="AG38" s="35" t="str">
        <f t="shared" si="1"/>
        <v/>
      </c>
      <c r="AH38" s="36">
        <f t="shared" si="2"/>
        <v>0.96106370262390672</v>
      </c>
    </row>
    <row r="39" spans="1:34" ht="1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29">
        <f t="shared" si="3"/>
        <v>26</v>
      </c>
      <c r="Q39" s="30" t="s">
        <v>108</v>
      </c>
      <c r="R39" s="31">
        <v>45785</v>
      </c>
      <c r="S39" s="68"/>
      <c r="T39" s="153">
        <v>12514</v>
      </c>
      <c r="U39" s="157">
        <v>9362.5496999999996</v>
      </c>
      <c r="V39" s="74"/>
      <c r="W39" s="34">
        <f t="shared" si="4"/>
        <v>9362.5496999999996</v>
      </c>
      <c r="X39" s="34">
        <f t="shared" si="0"/>
        <v>1.0002436274500708</v>
      </c>
      <c r="Y39" s="35" t="str">
        <f t="shared" si="5"/>
        <v/>
      </c>
      <c r="Z39" s="36">
        <f t="shared" si="6"/>
        <v>0.74816603004634807</v>
      </c>
      <c r="AA39" s="6"/>
      <c r="AB39" s="155">
        <v>686</v>
      </c>
      <c r="AC39" s="156">
        <v>544.07590000000005</v>
      </c>
      <c r="AD39" s="38"/>
      <c r="AE39" s="34">
        <f t="shared" si="7"/>
        <v>544.07590000000005</v>
      </c>
      <c r="AF39" s="34">
        <f t="shared" si="8"/>
        <v>1.0581881638241106</v>
      </c>
      <c r="AG39" s="35" t="str">
        <f t="shared" si="1"/>
        <v/>
      </c>
      <c r="AH39" s="36">
        <f t="shared" si="2"/>
        <v>0.79311355685131202</v>
      </c>
    </row>
    <row r="40" spans="1:34" ht="1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29">
        <f t="shared" si="3"/>
        <v>27</v>
      </c>
      <c r="Q40" s="30" t="s">
        <v>109</v>
      </c>
      <c r="R40" s="31">
        <v>45793</v>
      </c>
      <c r="S40" s="68"/>
      <c r="T40" s="153">
        <v>12514</v>
      </c>
      <c r="U40" s="157">
        <v>8981.4560000000001</v>
      </c>
      <c r="V40" s="74"/>
      <c r="W40" s="34">
        <f t="shared" si="4"/>
        <v>8981.4560000000001</v>
      </c>
      <c r="X40" s="34">
        <f t="shared" si="0"/>
        <v>1.165362529799858</v>
      </c>
      <c r="Y40" s="35" t="str">
        <f t="shared" si="5"/>
        <v/>
      </c>
      <c r="Z40" s="36">
        <f t="shared" si="6"/>
        <v>0.71771264184113792</v>
      </c>
      <c r="AA40" s="6"/>
      <c r="AB40" s="155">
        <v>686</v>
      </c>
      <c r="AC40" s="156">
        <v>668.18700000000001</v>
      </c>
      <c r="AD40" s="38"/>
      <c r="AE40" s="34">
        <f t="shared" si="7"/>
        <v>668.18700000000001</v>
      </c>
      <c r="AF40" s="34">
        <f t="shared" si="8"/>
        <v>5.6601548972230631E-2</v>
      </c>
      <c r="AG40" s="35" t="str">
        <f t="shared" si="1"/>
        <v/>
      </c>
      <c r="AH40" s="36">
        <f t="shared" si="2"/>
        <v>0.97403352769679297</v>
      </c>
    </row>
    <row r="41" spans="1:34" ht="1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29">
        <f t="shared" si="3"/>
        <v>28</v>
      </c>
      <c r="Q41" s="30" t="s">
        <v>109</v>
      </c>
      <c r="R41" s="31">
        <v>45793</v>
      </c>
      <c r="S41" s="68"/>
      <c r="T41" s="153">
        <v>12514</v>
      </c>
      <c r="U41" s="157">
        <v>10143.6</v>
      </c>
      <c r="V41" s="74"/>
      <c r="W41" s="34">
        <f t="shared" si="4"/>
        <v>10143.6</v>
      </c>
      <c r="X41" s="34">
        <f t="shared" si="0"/>
        <v>0.66183297354534243</v>
      </c>
      <c r="Y41" s="35" t="str">
        <f t="shared" si="5"/>
        <v/>
      </c>
      <c r="Z41" s="36">
        <f t="shared" si="6"/>
        <v>0.81058015023174046</v>
      </c>
      <c r="AA41" s="6"/>
      <c r="AB41" s="155">
        <v>686</v>
      </c>
      <c r="AC41" s="156">
        <v>690.15599999999995</v>
      </c>
      <c r="AD41" s="38"/>
      <c r="AE41" s="34">
        <f t="shared" si="7"/>
        <v>690.15599999999995</v>
      </c>
      <c r="AF41" s="34">
        <f t="shared" si="8"/>
        <v>0.12069005783554801</v>
      </c>
      <c r="AG41" s="35" t="str">
        <f t="shared" si="1"/>
        <v/>
      </c>
      <c r="AH41" s="36">
        <f t="shared" si="2"/>
        <v>1.0060583090379007</v>
      </c>
    </row>
    <row r="42" spans="1:34" ht="1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29">
        <f t="shared" si="3"/>
        <v>29</v>
      </c>
      <c r="Q42" s="30" t="s">
        <v>108</v>
      </c>
      <c r="R42" s="31">
        <v>45804</v>
      </c>
      <c r="S42" s="68"/>
      <c r="T42" s="153">
        <v>12514</v>
      </c>
      <c r="U42" s="157">
        <v>9869.7829999999994</v>
      </c>
      <c r="V42" s="74"/>
      <c r="W42" s="34">
        <f t="shared" si="4"/>
        <v>9869.7829999999994</v>
      </c>
      <c r="X42" s="34">
        <f t="shared" si="0"/>
        <v>0.78047141465500103</v>
      </c>
      <c r="Y42" s="35" t="str">
        <f t="shared" si="5"/>
        <v/>
      </c>
      <c r="Z42" s="36">
        <f t="shared" si="6"/>
        <v>0.78869929678759787</v>
      </c>
      <c r="AA42" s="6"/>
      <c r="AB42" s="155">
        <v>686</v>
      </c>
      <c r="AC42" s="156">
        <v>579.89300000000003</v>
      </c>
      <c r="AD42" s="38"/>
      <c r="AE42" s="34">
        <f t="shared" si="7"/>
        <v>579.89300000000003</v>
      </c>
      <c r="AF42" s="34">
        <f t="shared" si="8"/>
        <v>0.76914127001033206</v>
      </c>
      <c r="AG42" s="35" t="str">
        <f t="shared" si="1"/>
        <v/>
      </c>
      <c r="AH42" s="36">
        <f t="shared" si="2"/>
        <v>0.84532507288629744</v>
      </c>
    </row>
    <row r="43" spans="1:34" ht="1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29">
        <f t="shared" si="3"/>
        <v>30</v>
      </c>
      <c r="Q43" s="30" t="s">
        <v>108</v>
      </c>
      <c r="R43" s="31">
        <v>45804</v>
      </c>
      <c r="S43" s="68"/>
      <c r="T43" s="153">
        <v>12514</v>
      </c>
      <c r="U43" s="157">
        <v>12549.888999999999</v>
      </c>
      <c r="V43" s="74"/>
      <c r="W43" s="34">
        <f t="shared" si="4"/>
        <v>12549.888999999999</v>
      </c>
      <c r="X43" s="34">
        <f t="shared" si="0"/>
        <v>0.38075523616887624</v>
      </c>
      <c r="Y43" s="35" t="str">
        <f t="shared" si="5"/>
        <v/>
      </c>
      <c r="Z43" s="36">
        <f t="shared" si="6"/>
        <v>1.0028679079431038</v>
      </c>
      <c r="AA43" s="6"/>
      <c r="AB43" s="155">
        <v>686</v>
      </c>
      <c r="AC43" s="156">
        <v>477.29500000000002</v>
      </c>
      <c r="AD43" s="38"/>
      <c r="AE43" s="34">
        <f t="shared" si="7"/>
        <v>477.29500000000002</v>
      </c>
      <c r="AF43" s="34">
        <f t="shared" si="8"/>
        <v>1.5971154279266926</v>
      </c>
      <c r="AG43" s="35" t="str">
        <f t="shared" si="1"/>
        <v/>
      </c>
      <c r="AH43" s="36">
        <f t="shared" si="2"/>
        <v>0.69576530612244902</v>
      </c>
    </row>
    <row r="44" spans="1:34" ht="1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29">
        <f t="shared" si="3"/>
        <v>31</v>
      </c>
      <c r="Q44" s="30" t="s">
        <v>108</v>
      </c>
      <c r="R44" s="31">
        <v>45825</v>
      </c>
      <c r="S44" s="68"/>
      <c r="T44" s="153">
        <v>12514</v>
      </c>
      <c r="U44" s="157">
        <v>10718.826999999999</v>
      </c>
      <c r="V44" s="74"/>
      <c r="W44" s="34">
        <f t="shared" si="4"/>
        <v>10718.826999999999</v>
      </c>
      <c r="X44" s="34">
        <f t="shared" si="0"/>
        <v>0.41260069591398557</v>
      </c>
      <c r="Y44" s="35" t="str">
        <f t="shared" si="5"/>
        <v/>
      </c>
      <c r="Z44" s="36">
        <f t="shared" si="6"/>
        <v>0.85654682755314038</v>
      </c>
      <c r="AA44" s="6"/>
      <c r="AB44" s="155">
        <v>686</v>
      </c>
      <c r="AC44" s="156">
        <v>547.76599999999996</v>
      </c>
      <c r="AD44" s="38"/>
      <c r="AE44" s="34">
        <f t="shared" si="7"/>
        <v>547.76599999999996</v>
      </c>
      <c r="AF44" s="34">
        <f t="shared" si="8"/>
        <v>1.0284087583763719</v>
      </c>
      <c r="AG44" s="35" t="str">
        <f t="shared" si="1"/>
        <v/>
      </c>
      <c r="AH44" s="36">
        <f t="shared" si="2"/>
        <v>0.79849271137026234</v>
      </c>
    </row>
    <row r="45" spans="1:34" ht="1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29">
        <f t="shared" si="3"/>
        <v>32</v>
      </c>
      <c r="Q45" s="30" t="s">
        <v>108</v>
      </c>
      <c r="R45" s="31">
        <v>45825</v>
      </c>
      <c r="S45" s="68"/>
      <c r="T45" s="153">
        <v>12514</v>
      </c>
      <c r="U45" s="157">
        <v>11481.093000000001</v>
      </c>
      <c r="V45" s="74"/>
      <c r="W45" s="34">
        <f t="shared" si="4"/>
        <v>11481.093000000001</v>
      </c>
      <c r="X45" s="34">
        <f t="shared" si="0"/>
        <v>8.2328835690205104E-2</v>
      </c>
      <c r="Y45" s="35" t="str">
        <f t="shared" si="5"/>
        <v/>
      </c>
      <c r="Z45" s="36">
        <f t="shared" si="6"/>
        <v>0.91745988492887975</v>
      </c>
      <c r="AA45" s="6"/>
      <c r="AB45" s="155">
        <v>686</v>
      </c>
      <c r="AC45" s="156">
        <v>841.52700000000004</v>
      </c>
      <c r="AD45" s="38"/>
      <c r="AE45" s="34">
        <f t="shared" si="7"/>
        <v>841.52700000000004</v>
      </c>
      <c r="AF45" s="34">
        <f t="shared" si="8"/>
        <v>1.3422662704123769</v>
      </c>
      <c r="AG45" s="35" t="str">
        <f t="shared" si="1"/>
        <v/>
      </c>
      <c r="AH45" s="36">
        <f t="shared" si="2"/>
        <v>1.2267157434402334</v>
      </c>
    </row>
    <row r="46" spans="1:34" ht="1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29">
        <f t="shared" si="3"/>
        <v>33</v>
      </c>
      <c r="Q46" s="30" t="s">
        <v>108</v>
      </c>
      <c r="R46" s="31">
        <v>45825</v>
      </c>
      <c r="S46" s="68"/>
      <c r="T46" s="153">
        <v>12514</v>
      </c>
      <c r="U46" s="157">
        <v>12244.87</v>
      </c>
      <c r="V46" s="74"/>
      <c r="W46" s="34">
        <f t="shared" si="4"/>
        <v>12244.87</v>
      </c>
      <c r="X46" s="34">
        <f t="shared" si="0"/>
        <v>0.24859770515792129</v>
      </c>
      <c r="Y46" s="35" t="str">
        <f t="shared" si="5"/>
        <v/>
      </c>
      <c r="Z46" s="36">
        <f t="shared" si="6"/>
        <v>0.97849368707048112</v>
      </c>
      <c r="AA46" s="6"/>
      <c r="AB46" s="155">
        <v>686</v>
      </c>
      <c r="AC46" s="156">
        <v>541.34900000000005</v>
      </c>
      <c r="AD46" s="38"/>
      <c r="AE46" s="34">
        <f t="shared" si="7"/>
        <v>541.34900000000005</v>
      </c>
      <c r="AF46" s="34">
        <f t="shared" si="8"/>
        <v>1.0801944673702044</v>
      </c>
      <c r="AG46" s="35" t="str">
        <f t="shared" si="1"/>
        <v/>
      </c>
      <c r="AH46" s="36">
        <f t="shared" si="2"/>
        <v>0.78913848396501463</v>
      </c>
    </row>
    <row r="47" spans="1:34" ht="1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29">
        <f t="shared" si="3"/>
        <v>34</v>
      </c>
      <c r="Q47" s="30" t="s">
        <v>108</v>
      </c>
      <c r="R47" s="31">
        <v>45825</v>
      </c>
      <c r="S47" s="68"/>
      <c r="T47" s="153">
        <v>12514</v>
      </c>
      <c r="U47" s="157">
        <v>13826.787</v>
      </c>
      <c r="V47" s="74"/>
      <c r="W47" s="34">
        <f t="shared" si="4"/>
        <v>13826.787</v>
      </c>
      <c r="X47" s="34">
        <f t="shared" si="0"/>
        <v>0.93400499120979952</v>
      </c>
      <c r="Y47" s="35" t="str">
        <f t="shared" si="5"/>
        <v/>
      </c>
      <c r="Z47" s="36">
        <f t="shared" si="6"/>
        <v>1.1049054658782165</v>
      </c>
      <c r="AA47" s="6"/>
      <c r="AB47" s="155">
        <v>686</v>
      </c>
      <c r="AC47" s="156">
        <v>593.822</v>
      </c>
      <c r="AD47" s="38"/>
      <c r="AE47" s="34">
        <f t="shared" si="7"/>
        <v>593.822</v>
      </c>
      <c r="AF47" s="34">
        <f t="shared" si="8"/>
        <v>0.65673311346130603</v>
      </c>
      <c r="AG47" s="35" t="str">
        <f t="shared" si="1"/>
        <v/>
      </c>
      <c r="AH47" s="36">
        <f t="shared" si="2"/>
        <v>0.86562973760932949</v>
      </c>
    </row>
    <row r="48" spans="1:34" ht="1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29">
        <f t="shared" si="3"/>
        <v>35</v>
      </c>
      <c r="Q48" s="30" t="s">
        <v>106</v>
      </c>
      <c r="R48" s="31">
        <v>45860</v>
      </c>
      <c r="S48" s="68"/>
      <c r="T48" s="153">
        <v>12514</v>
      </c>
      <c r="U48" s="157">
        <v>12457.505999999999</v>
      </c>
      <c r="V48" s="74"/>
      <c r="W48" s="34">
        <f t="shared" si="4"/>
        <v>12457.505999999999</v>
      </c>
      <c r="X48" s="34">
        <f t="shared" si="0"/>
        <v>0.34072786348919043</v>
      </c>
      <c r="Y48" s="35" t="str">
        <f t="shared" si="5"/>
        <v/>
      </c>
      <c r="Z48" s="36">
        <f t="shared" si="6"/>
        <v>0.99548553619945657</v>
      </c>
      <c r="AA48" s="6"/>
      <c r="AB48" s="155">
        <v>686</v>
      </c>
      <c r="AC48" s="156">
        <v>762.80100000000004</v>
      </c>
      <c r="AD48" s="38"/>
      <c r="AE48" s="34">
        <f t="shared" si="7"/>
        <v>762.80100000000004</v>
      </c>
      <c r="AF48" s="34">
        <f t="shared" si="8"/>
        <v>0.70694108321454263</v>
      </c>
      <c r="AG48" s="35" t="str">
        <f t="shared" si="1"/>
        <v/>
      </c>
      <c r="AH48" s="36">
        <f t="shared" si="2"/>
        <v>1.1119548104956269</v>
      </c>
    </row>
    <row r="49" spans="1:34" ht="1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29">
        <f t="shared" si="3"/>
        <v>36</v>
      </c>
      <c r="Q49" s="30" t="s">
        <v>106</v>
      </c>
      <c r="R49" s="31">
        <v>45860</v>
      </c>
      <c r="S49" s="68"/>
      <c r="T49" s="153">
        <v>12514</v>
      </c>
      <c r="U49" s="157">
        <v>11940.41</v>
      </c>
      <c r="V49" s="74"/>
      <c r="W49" s="34">
        <f t="shared" si="4"/>
        <v>11940.41</v>
      </c>
      <c r="X49" s="34">
        <f t="shared" si="0"/>
        <v>0.11668237564862621</v>
      </c>
      <c r="Y49" s="35" t="str">
        <f t="shared" si="5"/>
        <v/>
      </c>
      <c r="Z49" s="36">
        <f t="shared" si="6"/>
        <v>0.9541641361674924</v>
      </c>
      <c r="AA49" s="6"/>
      <c r="AB49" s="155">
        <v>686</v>
      </c>
      <c r="AC49" s="156">
        <v>550.44799999999998</v>
      </c>
      <c r="AD49" s="38"/>
      <c r="AE49" s="34">
        <f t="shared" si="7"/>
        <v>550.44799999999998</v>
      </c>
      <c r="AF49" s="34">
        <f t="shared" si="8"/>
        <v>1.0067648014616983</v>
      </c>
      <c r="AG49" s="35" t="str">
        <f t="shared" si="1"/>
        <v/>
      </c>
      <c r="AH49" s="36">
        <f t="shared" si="2"/>
        <v>0.80240233236151604</v>
      </c>
    </row>
    <row r="50" spans="1:34" ht="1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29">
        <f t="shared" si="3"/>
        <v>37</v>
      </c>
      <c r="Q50" s="30" t="s">
        <v>106</v>
      </c>
      <c r="R50" s="31">
        <v>45912</v>
      </c>
      <c r="S50" s="68"/>
      <c r="T50" s="153">
        <v>12514</v>
      </c>
      <c r="U50" s="157">
        <v>9817</v>
      </c>
      <c r="V50" s="74"/>
      <c r="W50" s="34">
        <f t="shared" si="4"/>
        <v>9817</v>
      </c>
      <c r="X50" s="34">
        <f t="shared" si="0"/>
        <v>0.80334104231541303</v>
      </c>
      <c r="Y50" s="35" t="str">
        <f t="shared" si="5"/>
        <v/>
      </c>
      <c r="Z50" s="36">
        <f t="shared" si="6"/>
        <v>0.7844813808534441</v>
      </c>
      <c r="AA50" s="6"/>
      <c r="AB50" s="155">
        <v>686</v>
      </c>
      <c r="AC50" s="156">
        <v>855</v>
      </c>
      <c r="AD50" s="38"/>
      <c r="AE50" s="34">
        <f t="shared" si="7"/>
        <v>855</v>
      </c>
      <c r="AF50" s="34">
        <f t="shared" si="8"/>
        <v>1.4509944700810555</v>
      </c>
      <c r="AG50" s="35" t="str">
        <f t="shared" si="1"/>
        <v/>
      </c>
      <c r="AH50" s="36">
        <f t="shared" si="2"/>
        <v>1.2463556851311954</v>
      </c>
    </row>
    <row r="51" spans="1:34" ht="1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29">
        <f t="shared" si="3"/>
        <v>38</v>
      </c>
      <c r="Q51" s="30" t="s">
        <v>106</v>
      </c>
      <c r="R51" s="31">
        <v>46044</v>
      </c>
      <c r="S51" s="68"/>
      <c r="T51" s="153">
        <v>12514</v>
      </c>
      <c r="U51" s="157">
        <v>11219.55</v>
      </c>
      <c r="V51" s="74"/>
      <c r="W51" s="34">
        <f t="shared" si="4"/>
        <v>11219.55</v>
      </c>
      <c r="X51" s="34">
        <f t="shared" si="0"/>
        <v>0.19564924239666787</v>
      </c>
      <c r="Y51" s="35" t="str">
        <f t="shared" si="5"/>
        <v/>
      </c>
      <c r="Z51" s="36">
        <f t="shared" si="6"/>
        <v>0.89655985296467955</v>
      </c>
      <c r="AA51" s="6"/>
      <c r="AB51" s="155">
        <v>686</v>
      </c>
      <c r="AC51" s="156">
        <v>504.48</v>
      </c>
      <c r="AD51" s="38"/>
      <c r="AE51" s="34">
        <f t="shared" si="7"/>
        <v>504.48</v>
      </c>
      <c r="AF51" s="34">
        <f t="shared" si="8"/>
        <v>1.3777302792595036</v>
      </c>
      <c r="AG51" s="35" t="str">
        <f t="shared" si="1"/>
        <v/>
      </c>
      <c r="AH51" s="36">
        <f t="shared" si="2"/>
        <v>0.73539358600583093</v>
      </c>
    </row>
    <row r="52" spans="1:34" ht="1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29">
        <f t="shared" si="3"/>
        <v>39</v>
      </c>
      <c r="Q52" s="30" t="s">
        <v>106</v>
      </c>
      <c r="R52" s="31">
        <v>46044</v>
      </c>
      <c r="S52" s="68"/>
      <c r="T52" s="153">
        <v>12514</v>
      </c>
      <c r="U52" s="157">
        <v>12945.26</v>
      </c>
      <c r="V52" s="74"/>
      <c r="W52" s="34">
        <f t="shared" si="4"/>
        <v>12945.26</v>
      </c>
      <c r="X52" s="34">
        <f t="shared" si="0"/>
        <v>0.55206015551269638</v>
      </c>
      <c r="Y52" s="35" t="str">
        <f t="shared" si="5"/>
        <v/>
      </c>
      <c r="Z52" s="36">
        <f t="shared" si="6"/>
        <v>1.0344622023333867</v>
      </c>
      <c r="AA52" s="6"/>
      <c r="AB52" s="155">
        <v>686</v>
      </c>
      <c r="AC52" s="156">
        <v>772.67</v>
      </c>
      <c r="AD52" s="38"/>
      <c r="AE52" s="34">
        <f t="shared" si="7"/>
        <v>772.67</v>
      </c>
      <c r="AF52" s="34">
        <f t="shared" si="8"/>
        <v>0.78658471139907349</v>
      </c>
      <c r="AG52" s="35" t="str">
        <f t="shared" si="1"/>
        <v/>
      </c>
      <c r="AH52" s="36">
        <f t="shared" si="2"/>
        <v>1.12634110787172</v>
      </c>
    </row>
    <row r="53" spans="1:34" ht="1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29">
        <f t="shared" si="3"/>
        <v>40</v>
      </c>
      <c r="Q53" s="30" t="s">
        <v>106</v>
      </c>
      <c r="R53" s="31">
        <v>46048</v>
      </c>
      <c r="S53" s="68"/>
      <c r="T53" s="153">
        <v>12514</v>
      </c>
      <c r="U53" s="157">
        <v>11985</v>
      </c>
      <c r="V53" s="74"/>
      <c r="W53" s="34">
        <f t="shared" si="4"/>
        <v>11985</v>
      </c>
      <c r="X53" s="34">
        <f t="shared" si="0"/>
        <v>0.1360021698508842</v>
      </c>
      <c r="Y53" s="35" t="str">
        <f t="shared" si="5"/>
        <v/>
      </c>
      <c r="Z53" s="36">
        <f t="shared" si="6"/>
        <v>0.95772734537318205</v>
      </c>
      <c r="AA53" s="6"/>
      <c r="AB53" s="155">
        <v>686</v>
      </c>
      <c r="AC53" s="156">
        <v>695.38</v>
      </c>
      <c r="AD53" s="38"/>
      <c r="AE53" s="34">
        <f t="shared" si="7"/>
        <v>695.38</v>
      </c>
      <c r="AF53" s="34">
        <f t="shared" si="8"/>
        <v>0.16284816034198193</v>
      </c>
      <c r="AG53" s="35" t="str">
        <f t="shared" si="1"/>
        <v/>
      </c>
      <c r="AH53" s="36">
        <f t="shared" si="2"/>
        <v>1.0136734693877552</v>
      </c>
    </row>
    <row r="54" spans="1:34" ht="1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29">
        <f t="shared" si="3"/>
        <v>41</v>
      </c>
      <c r="Q54" s="30" t="s">
        <v>106</v>
      </c>
      <c r="R54" s="31">
        <v>46048</v>
      </c>
      <c r="S54" s="68"/>
      <c r="T54" s="153">
        <v>12514</v>
      </c>
      <c r="U54" s="157">
        <v>16278</v>
      </c>
      <c r="V54" s="74"/>
      <c r="W54" s="34">
        <f t="shared" si="4"/>
        <v>16278</v>
      </c>
      <c r="X54" s="34">
        <f t="shared" si="0"/>
        <v>1.996057709440328</v>
      </c>
      <c r="Y54" s="35" t="str">
        <f t="shared" si="5"/>
        <v/>
      </c>
      <c r="Z54" s="36">
        <f t="shared" si="6"/>
        <v>1.3007831229023494</v>
      </c>
      <c r="AA54" s="6"/>
      <c r="AB54" s="155">
        <v>686</v>
      </c>
      <c r="AC54" s="156">
        <v>848.35</v>
      </c>
      <c r="AD54" s="38"/>
      <c r="AE54" s="34">
        <f t="shared" si="7"/>
        <v>848.35</v>
      </c>
      <c r="AF54" s="34">
        <f t="shared" si="8"/>
        <v>1.3973284322426593</v>
      </c>
      <c r="AG54" s="35" t="str">
        <f t="shared" si="1"/>
        <v/>
      </c>
      <c r="AH54" s="36">
        <f t="shared" si="2"/>
        <v>1.236661807580175</v>
      </c>
    </row>
    <row r="55" spans="1:34" ht="1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29">
        <f t="shared" si="3"/>
        <v>42</v>
      </c>
      <c r="Q55" s="30" t="s">
        <v>106</v>
      </c>
      <c r="R55" s="31">
        <v>46065</v>
      </c>
      <c r="S55" s="68"/>
      <c r="T55" s="153">
        <v>12514</v>
      </c>
      <c r="U55" s="157">
        <v>10177.953</v>
      </c>
      <c r="V55" s="74"/>
      <c r="W55" s="34">
        <f t="shared" si="4"/>
        <v>10177.953</v>
      </c>
      <c r="X55" s="34">
        <f t="shared" si="0"/>
        <v>0.64694862974112288</v>
      </c>
      <c r="Y55" s="35" t="str">
        <f t="shared" si="5"/>
        <v/>
      </c>
      <c r="Z55" s="36">
        <f t="shared" si="6"/>
        <v>0.81332531564647592</v>
      </c>
      <c r="AA55" s="6"/>
      <c r="AB55" s="155">
        <v>686</v>
      </c>
      <c r="AC55" s="156">
        <v>519.18700000000001</v>
      </c>
      <c r="AD55" s="38"/>
      <c r="AE55" s="34">
        <f t="shared" si="7"/>
        <v>519.18700000000001</v>
      </c>
      <c r="AF55" s="34">
        <f t="shared" si="8"/>
        <v>1.259043599787429</v>
      </c>
      <c r="AG55" s="35" t="str">
        <f t="shared" si="1"/>
        <v/>
      </c>
      <c r="AH55" s="36">
        <f t="shared" si="2"/>
        <v>0.75683236151603506</v>
      </c>
    </row>
    <row r="56" spans="1:34" ht="1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29" t="str">
        <f t="shared" si="3"/>
        <v/>
      </c>
      <c r="Q56" s="30"/>
      <c r="R56" s="31"/>
      <c r="S56" s="68"/>
      <c r="T56" s="154"/>
      <c r="U56" s="157"/>
      <c r="V56" s="74"/>
      <c r="W56" s="34" t="str">
        <f t="shared" si="4"/>
        <v>FALSE</v>
      </c>
      <c r="X56" s="34" t="str">
        <f t="shared" si="0"/>
        <v>FALSE</v>
      </c>
      <c r="Y56" s="35">
        <f t="shared" si="5"/>
        <v>0</v>
      </c>
      <c r="Z56" s="36" t="str">
        <f t="shared" si="6"/>
        <v/>
      </c>
      <c r="AA56" s="6"/>
      <c r="AB56" s="155"/>
      <c r="AC56" s="156"/>
      <c r="AD56" s="38"/>
      <c r="AE56" s="34" t="str">
        <f t="shared" si="7"/>
        <v>FALSE</v>
      </c>
      <c r="AF56" s="34" t="str">
        <f t="shared" si="8"/>
        <v>FALSE</v>
      </c>
      <c r="AG56" s="35">
        <f t="shared" si="1"/>
        <v>0</v>
      </c>
      <c r="AH56" s="36" t="str">
        <f t="shared" si="2"/>
        <v/>
      </c>
    </row>
    <row r="57" spans="1:34" ht="14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29" t="str">
        <f t="shared" si="3"/>
        <v/>
      </c>
      <c r="Q57" s="30"/>
      <c r="R57" s="31"/>
      <c r="S57" s="68"/>
      <c r="T57" s="154"/>
      <c r="U57" s="157"/>
      <c r="V57" s="74"/>
      <c r="W57" s="34" t="str">
        <f t="shared" si="4"/>
        <v>FALSE</v>
      </c>
      <c r="X57" s="34" t="str">
        <f t="shared" si="0"/>
        <v>FALSE</v>
      </c>
      <c r="Y57" s="35">
        <f t="shared" si="5"/>
        <v>0</v>
      </c>
      <c r="Z57" s="36" t="str">
        <f t="shared" si="6"/>
        <v/>
      </c>
      <c r="AA57" s="42"/>
      <c r="AB57" s="155"/>
      <c r="AC57" s="156"/>
      <c r="AD57" s="38"/>
      <c r="AE57" s="34" t="str">
        <f t="shared" si="7"/>
        <v>FALSE</v>
      </c>
      <c r="AF57" s="34" t="str">
        <f t="shared" si="8"/>
        <v>FALSE</v>
      </c>
      <c r="AG57" s="35">
        <f t="shared" si="1"/>
        <v>0</v>
      </c>
      <c r="AH57" s="36" t="str">
        <f t="shared" si="2"/>
        <v/>
      </c>
    </row>
    <row r="58" spans="1:34" ht="1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29" t="str">
        <f t="shared" si="3"/>
        <v/>
      </c>
      <c r="Q58" s="30"/>
      <c r="R58" s="31"/>
      <c r="S58" s="68"/>
      <c r="T58" s="154"/>
      <c r="U58" s="157"/>
      <c r="V58" s="74"/>
      <c r="W58" s="34" t="str">
        <f t="shared" si="4"/>
        <v>FALSE</v>
      </c>
      <c r="X58" s="34" t="str">
        <f t="shared" si="0"/>
        <v>FALSE</v>
      </c>
      <c r="Y58" s="35">
        <f t="shared" si="5"/>
        <v>0</v>
      </c>
      <c r="Z58" s="36" t="str">
        <f t="shared" si="6"/>
        <v/>
      </c>
      <c r="AA58" s="6"/>
      <c r="AB58" s="155"/>
      <c r="AC58" s="156"/>
      <c r="AD58" s="38"/>
      <c r="AE58" s="34" t="str">
        <f t="shared" si="7"/>
        <v>FALSE</v>
      </c>
      <c r="AF58" s="34" t="str">
        <f t="shared" si="8"/>
        <v>FALSE</v>
      </c>
      <c r="AG58" s="35">
        <f t="shared" si="1"/>
        <v>0</v>
      </c>
      <c r="AH58" s="36" t="str">
        <f t="shared" si="2"/>
        <v/>
      </c>
    </row>
    <row r="59" spans="1:34" ht="1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29" t="str">
        <f t="shared" si="3"/>
        <v/>
      </c>
      <c r="Q59" s="30"/>
      <c r="R59" s="31"/>
      <c r="S59" s="68"/>
      <c r="T59" s="154"/>
      <c r="U59" s="157"/>
      <c r="V59" s="74"/>
      <c r="W59" s="34" t="str">
        <f t="shared" si="4"/>
        <v>FALSE</v>
      </c>
      <c r="X59" s="34" t="str">
        <f t="shared" si="0"/>
        <v>FALSE</v>
      </c>
      <c r="Y59" s="35">
        <f t="shared" si="5"/>
        <v>0</v>
      </c>
      <c r="Z59" s="36" t="str">
        <f t="shared" si="6"/>
        <v/>
      </c>
      <c r="AA59" s="6"/>
      <c r="AB59" s="155"/>
      <c r="AC59" s="156"/>
      <c r="AD59" s="38"/>
      <c r="AE59" s="34" t="str">
        <f t="shared" si="7"/>
        <v>FALSE</v>
      </c>
      <c r="AF59" s="34" t="str">
        <f t="shared" si="8"/>
        <v>FALSE</v>
      </c>
      <c r="AG59" s="35">
        <f t="shared" si="1"/>
        <v>0</v>
      </c>
      <c r="AH59" s="36" t="str">
        <f t="shared" si="2"/>
        <v/>
      </c>
    </row>
    <row r="60" spans="1:34" ht="1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29" t="str">
        <f t="shared" si="3"/>
        <v/>
      </c>
      <c r="Q60" s="30"/>
      <c r="R60" s="31"/>
      <c r="S60" s="68"/>
      <c r="T60" s="154"/>
      <c r="U60" s="157"/>
      <c r="V60" s="74"/>
      <c r="W60" s="34" t="str">
        <f t="shared" si="4"/>
        <v>FALSE</v>
      </c>
      <c r="X60" s="34" t="str">
        <f t="shared" si="0"/>
        <v>FALSE</v>
      </c>
      <c r="Y60" s="35">
        <f t="shared" si="5"/>
        <v>0</v>
      </c>
      <c r="Z60" s="36" t="str">
        <f t="shared" si="6"/>
        <v/>
      </c>
      <c r="AA60" s="6"/>
      <c r="AB60" s="155"/>
      <c r="AC60" s="156"/>
      <c r="AD60" s="38"/>
      <c r="AE60" s="34" t="str">
        <f t="shared" si="7"/>
        <v>FALSE</v>
      </c>
      <c r="AF60" s="34" t="str">
        <f t="shared" si="8"/>
        <v>FALSE</v>
      </c>
      <c r="AG60" s="35">
        <f t="shared" si="1"/>
        <v>0</v>
      </c>
      <c r="AH60" s="36" t="str">
        <f t="shared" si="2"/>
        <v/>
      </c>
    </row>
    <row r="61" spans="1:34" ht="1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29" t="str">
        <f t="shared" si="3"/>
        <v/>
      </c>
      <c r="Q61" s="30"/>
      <c r="R61" s="31"/>
      <c r="S61" s="68"/>
      <c r="T61" s="154"/>
      <c r="U61" s="157"/>
      <c r="V61" s="74"/>
      <c r="W61" s="34" t="str">
        <f t="shared" si="4"/>
        <v>FALSE</v>
      </c>
      <c r="X61" s="34" t="str">
        <f t="shared" si="0"/>
        <v>FALSE</v>
      </c>
      <c r="Y61" s="35">
        <f t="shared" si="5"/>
        <v>0</v>
      </c>
      <c r="Z61" s="36" t="str">
        <f t="shared" si="6"/>
        <v/>
      </c>
      <c r="AA61" s="6"/>
      <c r="AB61" s="155"/>
      <c r="AC61" s="156"/>
      <c r="AD61" s="38"/>
      <c r="AE61" s="34" t="str">
        <f t="shared" si="7"/>
        <v>FALSE</v>
      </c>
      <c r="AF61" s="34" t="str">
        <f t="shared" si="8"/>
        <v>FALSE</v>
      </c>
      <c r="AG61" s="35">
        <f t="shared" si="1"/>
        <v>0</v>
      </c>
      <c r="AH61" s="36" t="str">
        <f t="shared" si="2"/>
        <v/>
      </c>
    </row>
    <row r="62" spans="1:34" ht="1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29" t="str">
        <f t="shared" si="3"/>
        <v/>
      </c>
      <c r="Q62" s="30"/>
      <c r="R62" s="31"/>
      <c r="S62" s="68"/>
      <c r="T62" s="154"/>
      <c r="U62" s="157"/>
      <c r="V62" s="74"/>
      <c r="W62" s="34" t="str">
        <f t="shared" si="4"/>
        <v>FALSE</v>
      </c>
      <c r="X62" s="34" t="str">
        <f t="shared" si="0"/>
        <v>FALSE</v>
      </c>
      <c r="Y62" s="35">
        <f t="shared" si="5"/>
        <v>0</v>
      </c>
      <c r="Z62" s="36" t="str">
        <f t="shared" si="6"/>
        <v/>
      </c>
      <c r="AA62" s="6"/>
      <c r="AB62" s="155"/>
      <c r="AC62" s="156"/>
      <c r="AD62" s="38"/>
      <c r="AE62" s="34" t="str">
        <f t="shared" si="7"/>
        <v>FALSE</v>
      </c>
      <c r="AF62" s="34" t="str">
        <f t="shared" si="8"/>
        <v>FALSE</v>
      </c>
      <c r="AG62" s="35">
        <f t="shared" si="1"/>
        <v>0</v>
      </c>
      <c r="AH62" s="36" t="str">
        <f t="shared" si="2"/>
        <v/>
      </c>
    </row>
    <row r="63" spans="1:34" ht="1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29" t="str">
        <f t="shared" si="3"/>
        <v/>
      </c>
      <c r="Q63" s="30"/>
      <c r="R63" s="31"/>
      <c r="S63" s="68"/>
      <c r="T63" s="154"/>
      <c r="U63" s="157"/>
      <c r="V63" s="74"/>
      <c r="W63" s="34" t="str">
        <f t="shared" si="4"/>
        <v>FALSE</v>
      </c>
      <c r="X63" s="34" t="str">
        <f t="shared" si="0"/>
        <v>FALSE</v>
      </c>
      <c r="Y63" s="35">
        <f t="shared" si="5"/>
        <v>0</v>
      </c>
      <c r="Z63" s="36" t="str">
        <f t="shared" si="6"/>
        <v/>
      </c>
      <c r="AA63" s="6"/>
      <c r="AB63" s="155"/>
      <c r="AC63" s="156"/>
      <c r="AD63" s="38"/>
      <c r="AE63" s="34" t="str">
        <f t="shared" si="7"/>
        <v>FALSE</v>
      </c>
      <c r="AF63" s="34" t="str">
        <f t="shared" si="8"/>
        <v>FALSE</v>
      </c>
      <c r="AG63" s="35">
        <f t="shared" si="1"/>
        <v>0</v>
      </c>
      <c r="AH63" s="36" t="str">
        <f t="shared" si="2"/>
        <v/>
      </c>
    </row>
    <row r="64" spans="1:34" ht="1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29" t="str">
        <f t="shared" si="3"/>
        <v/>
      </c>
      <c r="Q64" s="30"/>
      <c r="R64" s="31"/>
      <c r="S64" s="68"/>
      <c r="T64" s="154"/>
      <c r="U64" s="157"/>
      <c r="V64" s="74"/>
      <c r="W64" s="34" t="str">
        <f t="shared" si="4"/>
        <v>FALSE</v>
      </c>
      <c r="X64" s="34" t="str">
        <f t="shared" si="0"/>
        <v>FALSE</v>
      </c>
      <c r="Y64" s="35">
        <f t="shared" si="5"/>
        <v>0</v>
      </c>
      <c r="Z64" s="36" t="str">
        <f t="shared" si="6"/>
        <v/>
      </c>
      <c r="AA64" s="6"/>
      <c r="AB64" s="155"/>
      <c r="AC64" s="156"/>
      <c r="AD64" s="38"/>
      <c r="AE64" s="34" t="str">
        <f t="shared" si="7"/>
        <v>FALSE</v>
      </c>
      <c r="AF64" s="34" t="str">
        <f t="shared" si="8"/>
        <v>FALSE</v>
      </c>
      <c r="AG64" s="35">
        <f t="shared" si="1"/>
        <v>0</v>
      </c>
      <c r="AH64" s="36" t="str">
        <f t="shared" si="2"/>
        <v/>
      </c>
    </row>
    <row r="65" spans="1:34" ht="1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29" t="str">
        <f t="shared" si="3"/>
        <v/>
      </c>
      <c r="Q65" s="30"/>
      <c r="R65" s="31"/>
      <c r="S65" s="68"/>
      <c r="T65" s="154"/>
      <c r="U65" s="157"/>
      <c r="V65" s="74"/>
      <c r="W65" s="34" t="str">
        <f t="shared" si="4"/>
        <v>FALSE</v>
      </c>
      <c r="X65" s="34" t="str">
        <f t="shared" si="0"/>
        <v>FALSE</v>
      </c>
      <c r="Y65" s="35">
        <f t="shared" si="5"/>
        <v>0</v>
      </c>
      <c r="Z65" s="36" t="str">
        <f t="shared" si="6"/>
        <v/>
      </c>
      <c r="AA65" s="6"/>
      <c r="AB65" s="155"/>
      <c r="AC65" s="156"/>
      <c r="AD65" s="38"/>
      <c r="AE65" s="34"/>
      <c r="AF65" s="34" t="str">
        <f t="shared" si="8"/>
        <v>FALSE</v>
      </c>
      <c r="AG65" s="35">
        <f t="shared" si="1"/>
        <v>0</v>
      </c>
      <c r="AH65" s="36" t="str">
        <f t="shared" si="2"/>
        <v/>
      </c>
    </row>
    <row r="66" spans="1:34" ht="1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29" t="str">
        <f t="shared" si="3"/>
        <v/>
      </c>
      <c r="Q66" s="30"/>
      <c r="R66" s="31"/>
      <c r="S66" s="68"/>
      <c r="T66" s="154"/>
      <c r="U66" s="157"/>
      <c r="V66" s="74"/>
      <c r="W66" s="34" t="str">
        <f t="shared" si="4"/>
        <v>FALSE</v>
      </c>
      <c r="X66" s="34" t="str">
        <f t="shared" si="0"/>
        <v>FALSE</v>
      </c>
      <c r="Y66" s="35">
        <f t="shared" si="5"/>
        <v>0</v>
      </c>
      <c r="Z66" s="36" t="str">
        <f t="shared" si="6"/>
        <v/>
      </c>
      <c r="AA66" s="6"/>
      <c r="AB66" s="155"/>
      <c r="AC66" s="156"/>
      <c r="AD66" s="38"/>
      <c r="AE66" s="34"/>
      <c r="AF66" s="34" t="str">
        <f t="shared" si="8"/>
        <v>FALSE</v>
      </c>
      <c r="AG66" s="35">
        <f t="shared" si="1"/>
        <v>0</v>
      </c>
      <c r="AH66" s="36" t="str">
        <f t="shared" si="2"/>
        <v/>
      </c>
    </row>
    <row r="67" spans="1:34" ht="1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29" t="str">
        <f t="shared" si="3"/>
        <v/>
      </c>
      <c r="Q67" s="30"/>
      <c r="R67" s="31"/>
      <c r="S67" s="68"/>
      <c r="T67" s="154"/>
      <c r="U67" s="157"/>
      <c r="V67" s="74"/>
      <c r="W67" s="34" t="str">
        <f t="shared" si="4"/>
        <v>FALSE</v>
      </c>
      <c r="X67" s="34" t="str">
        <f t="shared" si="0"/>
        <v>FALSE</v>
      </c>
      <c r="Y67" s="35">
        <f t="shared" si="5"/>
        <v>0</v>
      </c>
      <c r="Z67" s="36" t="str">
        <f t="shared" si="6"/>
        <v/>
      </c>
      <c r="AA67" s="6"/>
      <c r="AB67" s="155"/>
      <c r="AC67" s="156"/>
      <c r="AD67" s="38"/>
      <c r="AE67" s="34"/>
      <c r="AF67" s="34" t="str">
        <f t="shared" si="8"/>
        <v>FALSE</v>
      </c>
      <c r="AG67" s="35">
        <f t="shared" si="1"/>
        <v>0</v>
      </c>
      <c r="AH67" s="36" t="str">
        <f t="shared" si="2"/>
        <v/>
      </c>
    </row>
    <row r="68" spans="1:34" ht="1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29" t="str">
        <f t="shared" si="3"/>
        <v/>
      </c>
      <c r="Q68" s="30"/>
      <c r="R68" s="31"/>
      <c r="S68" s="68"/>
      <c r="T68" s="154"/>
      <c r="U68" s="157"/>
      <c r="V68" s="74"/>
      <c r="W68" s="34" t="str">
        <f t="shared" si="4"/>
        <v>FALSE</v>
      </c>
      <c r="X68" s="34" t="str">
        <f t="shared" si="0"/>
        <v>FALSE</v>
      </c>
      <c r="Y68" s="35">
        <f t="shared" si="5"/>
        <v>0</v>
      </c>
      <c r="Z68" s="36" t="str">
        <f t="shared" si="6"/>
        <v/>
      </c>
      <c r="AA68" s="6"/>
      <c r="AB68" s="155"/>
      <c r="AC68" s="156"/>
      <c r="AD68" s="38"/>
      <c r="AE68" s="34"/>
      <c r="AF68" s="34" t="str">
        <f t="shared" si="8"/>
        <v>FALSE</v>
      </c>
      <c r="AG68" s="35">
        <f t="shared" si="1"/>
        <v>0</v>
      </c>
      <c r="AH68" s="36" t="str">
        <f t="shared" si="2"/>
        <v/>
      </c>
    </row>
    <row r="69" spans="1:34" ht="1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29" t="str">
        <f t="shared" si="3"/>
        <v/>
      </c>
      <c r="Q69" s="30"/>
      <c r="R69" s="31"/>
      <c r="S69" s="68"/>
      <c r="T69" s="154"/>
      <c r="U69" s="157"/>
      <c r="V69" s="74"/>
      <c r="W69" s="34" t="str">
        <f t="shared" si="4"/>
        <v>FALSE</v>
      </c>
      <c r="X69" s="34" t="str">
        <f t="shared" si="0"/>
        <v>FALSE</v>
      </c>
      <c r="Y69" s="35">
        <f t="shared" si="5"/>
        <v>0</v>
      </c>
      <c r="Z69" s="36" t="str">
        <f t="shared" si="6"/>
        <v/>
      </c>
      <c r="AA69" s="6"/>
      <c r="AB69" s="155"/>
      <c r="AC69" s="156"/>
      <c r="AD69" s="38"/>
      <c r="AE69" s="34"/>
      <c r="AF69" s="34" t="str">
        <f t="shared" si="8"/>
        <v>FALSE</v>
      </c>
      <c r="AG69" s="35">
        <f t="shared" si="1"/>
        <v>0</v>
      </c>
      <c r="AH69" s="36" t="str">
        <f t="shared" si="2"/>
        <v/>
      </c>
    </row>
    <row r="70" spans="1:34" ht="1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29" t="str">
        <f t="shared" si="3"/>
        <v/>
      </c>
      <c r="Q70" s="30"/>
      <c r="R70" s="31"/>
      <c r="S70" s="68"/>
      <c r="T70" s="154"/>
      <c r="U70" s="157"/>
      <c r="V70" s="74"/>
      <c r="W70" s="34" t="str">
        <f t="shared" si="4"/>
        <v>FALSE</v>
      </c>
      <c r="X70" s="34" t="str">
        <f t="shared" si="0"/>
        <v>FALSE</v>
      </c>
      <c r="Y70" s="35">
        <f t="shared" si="5"/>
        <v>0</v>
      </c>
      <c r="Z70" s="36" t="str">
        <f t="shared" si="6"/>
        <v/>
      </c>
      <c r="AA70" s="6"/>
      <c r="AB70" s="155"/>
      <c r="AC70" s="156"/>
      <c r="AD70" s="38"/>
      <c r="AE70" s="34"/>
      <c r="AF70" s="34" t="str">
        <f t="shared" si="8"/>
        <v>FALSE</v>
      </c>
      <c r="AG70" s="35">
        <f t="shared" si="1"/>
        <v>0</v>
      </c>
      <c r="AH70" s="36" t="str">
        <f t="shared" si="2"/>
        <v/>
      </c>
    </row>
    <row r="71" spans="1:34" ht="1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29" t="str">
        <f t="shared" si="3"/>
        <v/>
      </c>
      <c r="Q71" s="30"/>
      <c r="R71" s="31"/>
      <c r="S71" s="68"/>
      <c r="T71" s="154"/>
      <c r="U71" s="157"/>
      <c r="V71" s="74"/>
      <c r="W71" s="34" t="str">
        <f t="shared" si="4"/>
        <v>FALSE</v>
      </c>
      <c r="X71" s="34" t="str">
        <f t="shared" si="0"/>
        <v>FALSE</v>
      </c>
      <c r="Y71" s="35">
        <f t="shared" si="5"/>
        <v>0</v>
      </c>
      <c r="Z71" s="36" t="str">
        <f t="shared" si="6"/>
        <v/>
      </c>
      <c r="AA71" s="6"/>
      <c r="AB71" s="155"/>
      <c r="AC71" s="156"/>
      <c r="AD71" s="38"/>
      <c r="AE71" s="34"/>
      <c r="AF71" s="34" t="str">
        <f t="shared" si="8"/>
        <v>FALSE</v>
      </c>
      <c r="AG71" s="35">
        <f t="shared" si="1"/>
        <v>0</v>
      </c>
      <c r="AH71" s="36" t="str">
        <f t="shared" si="2"/>
        <v/>
      </c>
    </row>
    <row r="72" spans="1:34" ht="1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29" t="str">
        <f t="shared" si="3"/>
        <v/>
      </c>
      <c r="Q72" s="30"/>
      <c r="R72" s="31"/>
      <c r="S72" s="68"/>
      <c r="T72" s="154"/>
      <c r="U72" s="157"/>
      <c r="V72" s="74"/>
      <c r="W72" s="34" t="str">
        <f t="shared" si="4"/>
        <v>FALSE</v>
      </c>
      <c r="X72" s="34" t="str">
        <f t="shared" si="0"/>
        <v>FALSE</v>
      </c>
      <c r="Y72" s="35">
        <f t="shared" si="5"/>
        <v>0</v>
      </c>
      <c r="Z72" s="36" t="str">
        <f t="shared" si="6"/>
        <v/>
      </c>
      <c r="AA72" s="6"/>
      <c r="AB72" s="155"/>
      <c r="AC72" s="156"/>
      <c r="AD72" s="38"/>
      <c r="AE72" s="34"/>
      <c r="AF72" s="34" t="str">
        <f t="shared" si="8"/>
        <v>FALSE</v>
      </c>
      <c r="AG72" s="35">
        <f t="shared" si="1"/>
        <v>0</v>
      </c>
      <c r="AH72" s="36" t="str">
        <f t="shared" si="2"/>
        <v/>
      </c>
    </row>
    <row r="73" spans="1:34" ht="1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29" t="str">
        <f t="shared" si="3"/>
        <v/>
      </c>
      <c r="Q73" s="30"/>
      <c r="R73" s="31"/>
      <c r="S73" s="68"/>
      <c r="T73" s="154"/>
      <c r="U73" s="157"/>
      <c r="V73" s="74"/>
      <c r="W73" s="34" t="str">
        <f t="shared" si="4"/>
        <v>FALSE</v>
      </c>
      <c r="X73" s="34" t="str">
        <f t="shared" si="0"/>
        <v>FALSE</v>
      </c>
      <c r="Y73" s="35">
        <f t="shared" si="5"/>
        <v>0</v>
      </c>
      <c r="Z73" s="36" t="str">
        <f t="shared" si="6"/>
        <v/>
      </c>
      <c r="AA73" s="6"/>
      <c r="AB73" s="155"/>
      <c r="AC73" s="156"/>
      <c r="AD73" s="38"/>
      <c r="AE73" s="34"/>
      <c r="AF73" s="34" t="str">
        <f t="shared" si="8"/>
        <v>FALSE</v>
      </c>
      <c r="AG73" s="35">
        <f t="shared" si="1"/>
        <v>0</v>
      </c>
      <c r="AH73" s="36" t="str">
        <f t="shared" si="2"/>
        <v/>
      </c>
    </row>
    <row r="74" spans="1:34" ht="1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29" t="str">
        <f t="shared" si="3"/>
        <v/>
      </c>
      <c r="Q74" s="30"/>
      <c r="R74" s="31"/>
      <c r="S74" s="68"/>
      <c r="T74" s="154"/>
      <c r="U74" s="157"/>
      <c r="V74" s="74"/>
      <c r="W74" s="34" t="str">
        <f t="shared" si="4"/>
        <v>FALSE</v>
      </c>
      <c r="X74" s="34" t="str">
        <f t="shared" si="0"/>
        <v>FALSE</v>
      </c>
      <c r="Y74" s="35">
        <f t="shared" si="5"/>
        <v>0</v>
      </c>
      <c r="Z74" s="36" t="str">
        <f t="shared" si="6"/>
        <v/>
      </c>
      <c r="AA74" s="6"/>
      <c r="AB74" s="155"/>
      <c r="AC74" s="156"/>
      <c r="AD74" s="38"/>
      <c r="AE74" s="34"/>
      <c r="AF74" s="34" t="str">
        <f t="shared" si="8"/>
        <v>FALSE</v>
      </c>
      <c r="AG74" s="35">
        <f t="shared" si="1"/>
        <v>0</v>
      </c>
      <c r="AH74" s="36" t="str">
        <f t="shared" si="2"/>
        <v/>
      </c>
    </row>
    <row r="75" spans="1:34" ht="1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29" t="str">
        <f t="shared" si="3"/>
        <v/>
      </c>
      <c r="Q75" s="30"/>
      <c r="R75" s="31"/>
      <c r="S75" s="68"/>
      <c r="T75" s="154"/>
      <c r="U75" s="157"/>
      <c r="V75" s="74"/>
      <c r="W75" s="34" t="str">
        <f t="shared" si="4"/>
        <v>FALSE</v>
      </c>
      <c r="X75" s="34" t="str">
        <f t="shared" si="0"/>
        <v>FALSE</v>
      </c>
      <c r="Y75" s="35">
        <f t="shared" si="5"/>
        <v>0</v>
      </c>
      <c r="Z75" s="36" t="str">
        <f t="shared" si="6"/>
        <v/>
      </c>
      <c r="AA75" s="6"/>
      <c r="AB75" s="155"/>
      <c r="AC75" s="156"/>
      <c r="AD75" s="38"/>
      <c r="AE75" s="34"/>
      <c r="AF75" s="34" t="str">
        <f t="shared" si="8"/>
        <v>FALSE</v>
      </c>
      <c r="AG75" s="35">
        <f t="shared" si="1"/>
        <v>0</v>
      </c>
      <c r="AH75" s="36" t="str">
        <f t="shared" si="2"/>
        <v/>
      </c>
    </row>
    <row r="76" spans="1:34" ht="1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29" t="str">
        <f t="shared" si="3"/>
        <v/>
      </c>
      <c r="Q76" s="30"/>
      <c r="R76" s="31"/>
      <c r="S76" s="68"/>
      <c r="T76" s="154"/>
      <c r="U76" s="157"/>
      <c r="V76" s="74"/>
      <c r="W76" s="34" t="str">
        <f t="shared" si="4"/>
        <v>FALSE</v>
      </c>
      <c r="X76" s="34" t="str">
        <f t="shared" si="0"/>
        <v>FALSE</v>
      </c>
      <c r="Y76" s="35">
        <f t="shared" si="5"/>
        <v>0</v>
      </c>
      <c r="Z76" s="36" t="str">
        <f t="shared" si="6"/>
        <v/>
      </c>
      <c r="AA76" s="6"/>
      <c r="AB76" s="155"/>
      <c r="AC76" s="156"/>
      <c r="AD76" s="38"/>
      <c r="AE76" s="34"/>
      <c r="AF76" s="34" t="str">
        <f t="shared" si="8"/>
        <v>FALSE</v>
      </c>
      <c r="AG76" s="35">
        <f t="shared" si="1"/>
        <v>0</v>
      </c>
      <c r="AH76" s="36" t="str">
        <f t="shared" si="2"/>
        <v/>
      </c>
    </row>
    <row r="77" spans="1:34" ht="1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29" t="str">
        <f t="shared" si="3"/>
        <v/>
      </c>
      <c r="Q77" s="30"/>
      <c r="R77" s="31"/>
      <c r="S77" s="68"/>
      <c r="T77" s="154"/>
      <c r="U77" s="157"/>
      <c r="V77" s="74"/>
      <c r="W77" s="34" t="str">
        <f t="shared" si="4"/>
        <v>FALSE</v>
      </c>
      <c r="X77" s="34" t="str">
        <f t="shared" si="0"/>
        <v>FALSE</v>
      </c>
      <c r="Y77" s="35">
        <f t="shared" si="5"/>
        <v>0</v>
      </c>
      <c r="Z77" s="36" t="str">
        <f t="shared" si="6"/>
        <v/>
      </c>
      <c r="AA77" s="6"/>
      <c r="AB77" s="155"/>
      <c r="AC77" s="156"/>
      <c r="AD77" s="38"/>
      <c r="AE77" s="34"/>
      <c r="AF77" s="34" t="str">
        <f t="shared" si="8"/>
        <v>FALSE</v>
      </c>
      <c r="AG77" s="35">
        <f t="shared" si="1"/>
        <v>0</v>
      </c>
      <c r="AH77" s="36" t="str">
        <f t="shared" si="2"/>
        <v/>
      </c>
    </row>
    <row r="78" spans="1:34" ht="1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29" t="str">
        <f t="shared" si="3"/>
        <v/>
      </c>
      <c r="Q78" s="30"/>
      <c r="R78" s="31"/>
      <c r="S78" s="68"/>
      <c r="T78" s="154"/>
      <c r="U78" s="157"/>
      <c r="V78" s="74"/>
      <c r="W78" s="34" t="str">
        <f t="shared" si="4"/>
        <v>FALSE</v>
      </c>
      <c r="X78" s="34" t="str">
        <f t="shared" ref="X78:X120" si="9">IF(U78="","FALSE",ABS((U78-AVERAGE($U$14:$U$120))/_xlfn.STDEV.S($U$14:$U$104)))</f>
        <v>FALSE</v>
      </c>
      <c r="Y78" s="35">
        <f t="shared" si="5"/>
        <v>0</v>
      </c>
      <c r="Z78" s="36" t="str">
        <f t="shared" si="6"/>
        <v/>
      </c>
      <c r="AA78" s="6"/>
      <c r="AB78" s="155"/>
      <c r="AC78" s="156"/>
      <c r="AD78" s="38"/>
      <c r="AE78" s="34"/>
      <c r="AF78" s="34" t="str">
        <f t="shared" si="8"/>
        <v>FALSE</v>
      </c>
      <c r="AG78" s="35">
        <f t="shared" ref="AG78:AG120" si="10">IF(OR(AC78&gt;$AG$11,AC78&lt;$AF$11),AC78,"")</f>
        <v>0</v>
      </c>
      <c r="AH78" s="36" t="str">
        <f t="shared" ref="AH78:AH120" si="11">IF(AC78="","",AC78/AB78)</f>
        <v/>
      </c>
    </row>
    <row r="79" spans="1:34" ht="1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29" t="str">
        <f t="shared" ref="P79:P120" si="12">IF(R79&lt;&gt;"",P78+1,"")</f>
        <v/>
      </c>
      <c r="Q79" s="30"/>
      <c r="R79" s="31"/>
      <c r="S79" s="68"/>
      <c r="T79" s="154"/>
      <c r="U79" s="157"/>
      <c r="V79" s="74"/>
      <c r="W79" s="34" t="str">
        <f t="shared" ref="W79:W120" si="13">IF(X79&gt;3,"FALSE",U79)</f>
        <v>FALSE</v>
      </c>
      <c r="X79" s="34" t="str">
        <f t="shared" si="9"/>
        <v>FALSE</v>
      </c>
      <c r="Y79" s="35">
        <f t="shared" ref="Y79:Y120" si="14">IF(OR(U79&gt;$Y$11,U79&lt;$X$11),U79,"")</f>
        <v>0</v>
      </c>
      <c r="Z79" s="36" t="str">
        <f t="shared" ref="Z79:Z120" si="15">IF(U79="","",U79/T79)</f>
        <v/>
      </c>
      <c r="AA79" s="6"/>
      <c r="AB79" s="155"/>
      <c r="AC79" s="156"/>
      <c r="AD79" s="38"/>
      <c r="AE79" s="34"/>
      <c r="AF79" s="34" t="str">
        <f t="shared" ref="AF79:AF120" si="16">IF(AC79="","FALSE",ABS((AC79-AVERAGE($AC$14:$AC$120))/_xlfn.STDEV.S($AC$14:$AC$104)))</f>
        <v>FALSE</v>
      </c>
      <c r="AG79" s="35">
        <f t="shared" si="10"/>
        <v>0</v>
      </c>
      <c r="AH79" s="36" t="str">
        <f t="shared" si="11"/>
        <v/>
      </c>
    </row>
    <row r="80" spans="1:34" ht="1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29" t="str">
        <f t="shared" si="12"/>
        <v/>
      </c>
      <c r="Q80" s="30"/>
      <c r="R80" s="31"/>
      <c r="S80" s="68"/>
      <c r="T80" s="154"/>
      <c r="U80" s="157"/>
      <c r="V80" s="74"/>
      <c r="W80" s="34" t="str">
        <f t="shared" si="13"/>
        <v>FALSE</v>
      </c>
      <c r="X80" s="34" t="str">
        <f t="shared" si="9"/>
        <v>FALSE</v>
      </c>
      <c r="Y80" s="35">
        <f t="shared" si="14"/>
        <v>0</v>
      </c>
      <c r="Z80" s="36" t="str">
        <f t="shared" si="15"/>
        <v/>
      </c>
      <c r="AA80" s="6"/>
      <c r="AB80" s="155"/>
      <c r="AC80" s="156"/>
      <c r="AD80" s="38"/>
      <c r="AE80" s="34"/>
      <c r="AF80" s="34" t="str">
        <f t="shared" si="16"/>
        <v>FALSE</v>
      </c>
      <c r="AG80" s="35">
        <f t="shared" si="10"/>
        <v>0</v>
      </c>
      <c r="AH80" s="36" t="str">
        <f t="shared" si="11"/>
        <v/>
      </c>
    </row>
    <row r="81" spans="1:34" ht="1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29" t="str">
        <f t="shared" si="12"/>
        <v/>
      </c>
      <c r="Q81" s="30"/>
      <c r="R81" s="31"/>
      <c r="S81" s="68"/>
      <c r="T81" s="154"/>
      <c r="U81" s="157"/>
      <c r="V81" s="74"/>
      <c r="W81" s="34" t="str">
        <f t="shared" si="13"/>
        <v>FALSE</v>
      </c>
      <c r="X81" s="34" t="str">
        <f t="shared" si="9"/>
        <v>FALSE</v>
      </c>
      <c r="Y81" s="35">
        <f t="shared" si="14"/>
        <v>0</v>
      </c>
      <c r="Z81" s="36" t="str">
        <f t="shared" si="15"/>
        <v/>
      </c>
      <c r="AA81" s="6"/>
      <c r="AB81" s="155"/>
      <c r="AC81" s="156"/>
      <c r="AD81" s="38"/>
      <c r="AE81" s="34"/>
      <c r="AF81" s="34" t="str">
        <f t="shared" si="16"/>
        <v>FALSE</v>
      </c>
      <c r="AG81" s="35">
        <f t="shared" si="10"/>
        <v>0</v>
      </c>
      <c r="AH81" s="36" t="str">
        <f t="shared" si="11"/>
        <v/>
      </c>
    </row>
    <row r="82" spans="1:34" ht="1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29" t="str">
        <f t="shared" si="12"/>
        <v/>
      </c>
      <c r="Q82" s="30"/>
      <c r="R82" s="31"/>
      <c r="S82" s="68"/>
      <c r="T82" s="154"/>
      <c r="U82" s="157"/>
      <c r="V82" s="74"/>
      <c r="W82" s="34" t="str">
        <f t="shared" si="13"/>
        <v>FALSE</v>
      </c>
      <c r="X82" s="34" t="str">
        <f t="shared" si="9"/>
        <v>FALSE</v>
      </c>
      <c r="Y82" s="35">
        <f t="shared" si="14"/>
        <v>0</v>
      </c>
      <c r="Z82" s="36" t="str">
        <f t="shared" si="15"/>
        <v/>
      </c>
      <c r="AA82" s="6"/>
      <c r="AB82" s="155"/>
      <c r="AC82" s="156"/>
      <c r="AD82" s="38"/>
      <c r="AE82" s="34"/>
      <c r="AF82" s="34" t="str">
        <f t="shared" si="16"/>
        <v>FALSE</v>
      </c>
      <c r="AG82" s="35">
        <f t="shared" si="10"/>
        <v>0</v>
      </c>
      <c r="AH82" s="36" t="str">
        <f t="shared" si="11"/>
        <v/>
      </c>
    </row>
    <row r="83" spans="1:34" ht="1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29" t="str">
        <f t="shared" si="12"/>
        <v/>
      </c>
      <c r="Q83" s="30"/>
      <c r="R83" s="31"/>
      <c r="S83" s="68"/>
      <c r="T83" s="154"/>
      <c r="U83" s="157"/>
      <c r="V83" s="74"/>
      <c r="W83" s="34" t="str">
        <f t="shared" si="13"/>
        <v>FALSE</v>
      </c>
      <c r="X83" s="34" t="str">
        <f t="shared" si="9"/>
        <v>FALSE</v>
      </c>
      <c r="Y83" s="35">
        <f t="shared" si="14"/>
        <v>0</v>
      </c>
      <c r="Z83" s="36" t="str">
        <f t="shared" si="15"/>
        <v/>
      </c>
      <c r="AA83" s="6"/>
      <c r="AB83" s="155"/>
      <c r="AC83" s="156"/>
      <c r="AD83" s="38"/>
      <c r="AE83" s="34"/>
      <c r="AF83" s="34" t="str">
        <f t="shared" si="16"/>
        <v>FALSE</v>
      </c>
      <c r="AG83" s="35">
        <f t="shared" si="10"/>
        <v>0</v>
      </c>
      <c r="AH83" s="36" t="str">
        <f t="shared" si="11"/>
        <v/>
      </c>
    </row>
    <row r="84" spans="1:34" ht="1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29" t="str">
        <f t="shared" si="12"/>
        <v/>
      </c>
      <c r="Q84" s="30"/>
      <c r="R84" s="31"/>
      <c r="S84" s="68"/>
      <c r="T84" s="154"/>
      <c r="U84" s="157"/>
      <c r="V84" s="74"/>
      <c r="W84" s="34" t="str">
        <f t="shared" si="13"/>
        <v>FALSE</v>
      </c>
      <c r="X84" s="34" t="str">
        <f t="shared" si="9"/>
        <v>FALSE</v>
      </c>
      <c r="Y84" s="35">
        <f t="shared" si="14"/>
        <v>0</v>
      </c>
      <c r="Z84" s="36" t="str">
        <f t="shared" si="15"/>
        <v/>
      </c>
      <c r="AA84" s="6"/>
      <c r="AB84" s="155"/>
      <c r="AC84" s="156"/>
      <c r="AD84" s="38"/>
      <c r="AE84" s="34"/>
      <c r="AF84" s="34" t="str">
        <f t="shared" si="16"/>
        <v>FALSE</v>
      </c>
      <c r="AG84" s="35">
        <f t="shared" si="10"/>
        <v>0</v>
      </c>
      <c r="AH84" s="36" t="str">
        <f t="shared" si="11"/>
        <v/>
      </c>
    </row>
    <row r="85" spans="1:34" ht="1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29" t="str">
        <f t="shared" si="12"/>
        <v/>
      </c>
      <c r="Q85" s="30"/>
      <c r="R85" s="31"/>
      <c r="S85" s="68"/>
      <c r="T85" s="154"/>
      <c r="U85" s="157"/>
      <c r="V85" s="74"/>
      <c r="W85" s="34" t="str">
        <f t="shared" si="13"/>
        <v>FALSE</v>
      </c>
      <c r="X85" s="34" t="str">
        <f t="shared" si="9"/>
        <v>FALSE</v>
      </c>
      <c r="Y85" s="35">
        <f t="shared" si="14"/>
        <v>0</v>
      </c>
      <c r="Z85" s="36" t="str">
        <f t="shared" si="15"/>
        <v/>
      </c>
      <c r="AA85" s="6"/>
      <c r="AB85" s="155"/>
      <c r="AC85" s="156"/>
      <c r="AD85" s="38"/>
      <c r="AE85" s="34"/>
      <c r="AF85" s="34" t="str">
        <f t="shared" si="16"/>
        <v>FALSE</v>
      </c>
      <c r="AG85" s="35">
        <f t="shared" si="10"/>
        <v>0</v>
      </c>
      <c r="AH85" s="36" t="str">
        <f t="shared" si="11"/>
        <v/>
      </c>
    </row>
    <row r="86" spans="1:34" ht="1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29" t="str">
        <f t="shared" si="12"/>
        <v/>
      </c>
      <c r="Q86" s="30"/>
      <c r="R86" s="31"/>
      <c r="S86" s="68"/>
      <c r="T86" s="154"/>
      <c r="U86" s="157"/>
      <c r="V86" s="74"/>
      <c r="W86" s="34" t="str">
        <f t="shared" si="13"/>
        <v>FALSE</v>
      </c>
      <c r="X86" s="34" t="str">
        <f t="shared" si="9"/>
        <v>FALSE</v>
      </c>
      <c r="Y86" s="35">
        <f t="shared" si="14"/>
        <v>0</v>
      </c>
      <c r="Z86" s="36" t="str">
        <f t="shared" si="15"/>
        <v/>
      </c>
      <c r="AA86" s="6"/>
      <c r="AB86" s="155"/>
      <c r="AC86" s="156"/>
      <c r="AD86" s="38"/>
      <c r="AE86" s="34"/>
      <c r="AF86" s="34" t="str">
        <f t="shared" si="16"/>
        <v>FALSE</v>
      </c>
      <c r="AG86" s="35">
        <f t="shared" si="10"/>
        <v>0</v>
      </c>
      <c r="AH86" s="36" t="str">
        <f t="shared" si="11"/>
        <v/>
      </c>
    </row>
    <row r="87" spans="1:34" ht="1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29" t="str">
        <f t="shared" si="12"/>
        <v/>
      </c>
      <c r="Q87" s="30"/>
      <c r="R87" s="31"/>
      <c r="S87" s="68"/>
      <c r="T87" s="154"/>
      <c r="U87" s="157"/>
      <c r="V87" s="74"/>
      <c r="W87" s="34" t="str">
        <f t="shared" si="13"/>
        <v>FALSE</v>
      </c>
      <c r="X87" s="34" t="str">
        <f t="shared" si="9"/>
        <v>FALSE</v>
      </c>
      <c r="Y87" s="35">
        <f t="shared" si="14"/>
        <v>0</v>
      </c>
      <c r="Z87" s="36" t="str">
        <f t="shared" si="15"/>
        <v/>
      </c>
      <c r="AA87" s="6"/>
      <c r="AB87" s="155"/>
      <c r="AC87" s="156"/>
      <c r="AD87" s="38"/>
      <c r="AE87" s="34"/>
      <c r="AF87" s="34" t="str">
        <f t="shared" si="16"/>
        <v>FALSE</v>
      </c>
      <c r="AG87" s="35">
        <f t="shared" si="10"/>
        <v>0</v>
      </c>
      <c r="AH87" s="36" t="str">
        <f t="shared" si="11"/>
        <v/>
      </c>
    </row>
    <row r="88" spans="1:34" ht="1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29" t="str">
        <f t="shared" si="12"/>
        <v/>
      </c>
      <c r="Q88" s="30"/>
      <c r="R88" s="31"/>
      <c r="S88" s="68"/>
      <c r="T88" s="154"/>
      <c r="U88" s="157"/>
      <c r="V88" s="74"/>
      <c r="W88" s="34" t="str">
        <f t="shared" si="13"/>
        <v>FALSE</v>
      </c>
      <c r="X88" s="34" t="str">
        <f t="shared" si="9"/>
        <v>FALSE</v>
      </c>
      <c r="Y88" s="35">
        <f t="shared" si="14"/>
        <v>0</v>
      </c>
      <c r="Z88" s="36" t="str">
        <f t="shared" si="15"/>
        <v/>
      </c>
      <c r="AA88" s="6"/>
      <c r="AB88" s="155"/>
      <c r="AC88" s="156"/>
      <c r="AD88" s="38"/>
      <c r="AE88" s="34"/>
      <c r="AF88" s="34" t="str">
        <f t="shared" si="16"/>
        <v>FALSE</v>
      </c>
      <c r="AG88" s="35">
        <f t="shared" si="10"/>
        <v>0</v>
      </c>
      <c r="AH88" s="36" t="str">
        <f t="shared" si="11"/>
        <v/>
      </c>
    </row>
    <row r="89" spans="1:34" ht="1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29" t="str">
        <f t="shared" si="12"/>
        <v/>
      </c>
      <c r="Q89" s="30"/>
      <c r="R89" s="31"/>
      <c r="S89" s="68"/>
      <c r="T89" s="154"/>
      <c r="U89" s="157"/>
      <c r="V89" s="74"/>
      <c r="W89" s="34" t="str">
        <f t="shared" si="13"/>
        <v>FALSE</v>
      </c>
      <c r="X89" s="34" t="str">
        <f t="shared" si="9"/>
        <v>FALSE</v>
      </c>
      <c r="Y89" s="35">
        <f t="shared" si="14"/>
        <v>0</v>
      </c>
      <c r="Z89" s="36" t="str">
        <f t="shared" si="15"/>
        <v/>
      </c>
      <c r="AA89" s="6"/>
      <c r="AB89" s="155"/>
      <c r="AC89" s="156"/>
      <c r="AD89" s="38"/>
      <c r="AE89" s="34"/>
      <c r="AF89" s="34" t="str">
        <f t="shared" si="16"/>
        <v>FALSE</v>
      </c>
      <c r="AG89" s="35">
        <f t="shared" si="10"/>
        <v>0</v>
      </c>
      <c r="AH89" s="36" t="str">
        <f t="shared" si="11"/>
        <v/>
      </c>
    </row>
    <row r="90" spans="1:34" ht="1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29" t="str">
        <f t="shared" si="12"/>
        <v/>
      </c>
      <c r="Q90" s="30"/>
      <c r="R90" s="31"/>
      <c r="S90" s="68"/>
      <c r="T90" s="154"/>
      <c r="U90" s="157"/>
      <c r="V90" s="74"/>
      <c r="W90" s="34" t="str">
        <f t="shared" si="13"/>
        <v>FALSE</v>
      </c>
      <c r="X90" s="34" t="str">
        <f t="shared" si="9"/>
        <v>FALSE</v>
      </c>
      <c r="Y90" s="35">
        <f t="shared" si="14"/>
        <v>0</v>
      </c>
      <c r="Z90" s="36" t="str">
        <f t="shared" si="15"/>
        <v/>
      </c>
      <c r="AA90" s="6"/>
      <c r="AB90" s="155"/>
      <c r="AC90" s="156"/>
      <c r="AD90" s="38"/>
      <c r="AE90" s="34"/>
      <c r="AF90" s="34" t="str">
        <f t="shared" si="16"/>
        <v>FALSE</v>
      </c>
      <c r="AG90" s="35">
        <f t="shared" si="10"/>
        <v>0</v>
      </c>
      <c r="AH90" s="36" t="str">
        <f t="shared" si="11"/>
        <v/>
      </c>
    </row>
    <row r="91" spans="1:34" ht="1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29" t="str">
        <f t="shared" si="12"/>
        <v/>
      </c>
      <c r="Q91" s="30"/>
      <c r="R91" s="31"/>
      <c r="S91" s="68"/>
      <c r="T91" s="154"/>
      <c r="U91" s="157"/>
      <c r="V91" s="74"/>
      <c r="W91" s="34" t="str">
        <f t="shared" si="13"/>
        <v>FALSE</v>
      </c>
      <c r="X91" s="34" t="str">
        <f t="shared" si="9"/>
        <v>FALSE</v>
      </c>
      <c r="Y91" s="35">
        <f t="shared" si="14"/>
        <v>0</v>
      </c>
      <c r="Z91" s="36" t="str">
        <f t="shared" si="15"/>
        <v/>
      </c>
      <c r="AA91" s="6"/>
      <c r="AB91" s="155"/>
      <c r="AC91" s="156"/>
      <c r="AD91" s="38"/>
      <c r="AE91" s="34"/>
      <c r="AF91" s="34" t="str">
        <f t="shared" si="16"/>
        <v>FALSE</v>
      </c>
      <c r="AG91" s="35">
        <f t="shared" si="10"/>
        <v>0</v>
      </c>
      <c r="AH91" s="36" t="str">
        <f t="shared" si="11"/>
        <v/>
      </c>
    </row>
    <row r="92" spans="1:34" ht="1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29" t="str">
        <f t="shared" si="12"/>
        <v/>
      </c>
      <c r="Q92" s="30"/>
      <c r="R92" s="31"/>
      <c r="S92" s="68"/>
      <c r="T92" s="154"/>
      <c r="U92" s="157"/>
      <c r="V92" s="74"/>
      <c r="W92" s="34" t="str">
        <f t="shared" si="13"/>
        <v>FALSE</v>
      </c>
      <c r="X92" s="34" t="str">
        <f t="shared" si="9"/>
        <v>FALSE</v>
      </c>
      <c r="Y92" s="35">
        <f t="shared" si="14"/>
        <v>0</v>
      </c>
      <c r="Z92" s="36" t="str">
        <f t="shared" si="15"/>
        <v/>
      </c>
      <c r="AA92" s="6"/>
      <c r="AB92" s="155"/>
      <c r="AC92" s="156"/>
      <c r="AD92" s="38"/>
      <c r="AE92" s="34"/>
      <c r="AF92" s="34" t="str">
        <f t="shared" si="16"/>
        <v>FALSE</v>
      </c>
      <c r="AG92" s="35">
        <f t="shared" si="10"/>
        <v>0</v>
      </c>
      <c r="AH92" s="36" t="str">
        <f t="shared" si="11"/>
        <v/>
      </c>
    </row>
    <row r="93" spans="1:34" ht="1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29" t="str">
        <f t="shared" si="12"/>
        <v/>
      </c>
      <c r="Q93" s="30"/>
      <c r="R93" s="31"/>
      <c r="S93" s="68"/>
      <c r="T93" s="154"/>
      <c r="U93" s="157"/>
      <c r="V93" s="74"/>
      <c r="W93" s="34" t="str">
        <f t="shared" si="13"/>
        <v>FALSE</v>
      </c>
      <c r="X93" s="34" t="str">
        <f t="shared" si="9"/>
        <v>FALSE</v>
      </c>
      <c r="Y93" s="35">
        <f t="shared" si="14"/>
        <v>0</v>
      </c>
      <c r="Z93" s="36" t="str">
        <f t="shared" si="15"/>
        <v/>
      </c>
      <c r="AA93" s="6"/>
      <c r="AB93" s="155"/>
      <c r="AC93" s="156"/>
      <c r="AD93" s="38"/>
      <c r="AE93" s="34"/>
      <c r="AF93" s="34" t="str">
        <f t="shared" si="16"/>
        <v>FALSE</v>
      </c>
      <c r="AG93" s="35">
        <f t="shared" si="10"/>
        <v>0</v>
      </c>
      <c r="AH93" s="36" t="str">
        <f t="shared" si="11"/>
        <v/>
      </c>
    </row>
    <row r="94" spans="1:34" ht="1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29" t="str">
        <f t="shared" si="12"/>
        <v/>
      </c>
      <c r="Q94" s="30"/>
      <c r="R94" s="31"/>
      <c r="S94" s="68"/>
      <c r="T94" s="154"/>
      <c r="U94" s="157"/>
      <c r="V94" s="74"/>
      <c r="W94" s="34" t="str">
        <f t="shared" si="13"/>
        <v>FALSE</v>
      </c>
      <c r="X94" s="34" t="str">
        <f t="shared" si="9"/>
        <v>FALSE</v>
      </c>
      <c r="Y94" s="35">
        <f t="shared" si="14"/>
        <v>0</v>
      </c>
      <c r="Z94" s="36" t="str">
        <f t="shared" si="15"/>
        <v/>
      </c>
      <c r="AA94" s="6"/>
      <c r="AB94" s="155"/>
      <c r="AC94" s="156"/>
      <c r="AD94" s="38"/>
      <c r="AE94" s="34"/>
      <c r="AF94" s="34" t="str">
        <f t="shared" si="16"/>
        <v>FALSE</v>
      </c>
      <c r="AG94" s="35">
        <f t="shared" si="10"/>
        <v>0</v>
      </c>
      <c r="AH94" s="36" t="str">
        <f t="shared" si="11"/>
        <v/>
      </c>
    </row>
    <row r="95" spans="1:34" ht="1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29" t="str">
        <f t="shared" si="12"/>
        <v/>
      </c>
      <c r="Q95" s="30"/>
      <c r="R95" s="31"/>
      <c r="S95" s="68"/>
      <c r="T95" s="154"/>
      <c r="U95" s="157"/>
      <c r="V95" s="74"/>
      <c r="W95" s="34" t="str">
        <f t="shared" si="13"/>
        <v>FALSE</v>
      </c>
      <c r="X95" s="34" t="str">
        <f t="shared" si="9"/>
        <v>FALSE</v>
      </c>
      <c r="Y95" s="35">
        <f t="shared" si="14"/>
        <v>0</v>
      </c>
      <c r="Z95" s="36" t="str">
        <f t="shared" si="15"/>
        <v/>
      </c>
      <c r="AA95" s="6"/>
      <c r="AB95" s="155"/>
      <c r="AC95" s="156"/>
      <c r="AD95" s="38"/>
      <c r="AE95" s="34"/>
      <c r="AF95" s="34" t="str">
        <f t="shared" si="16"/>
        <v>FALSE</v>
      </c>
      <c r="AG95" s="35">
        <f t="shared" si="10"/>
        <v>0</v>
      </c>
      <c r="AH95" s="36" t="str">
        <f t="shared" si="11"/>
        <v/>
      </c>
    </row>
    <row r="96" spans="1:34" ht="1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29" t="str">
        <f t="shared" si="12"/>
        <v/>
      </c>
      <c r="Q96" s="30"/>
      <c r="R96" s="31"/>
      <c r="S96" s="68"/>
      <c r="T96" s="154"/>
      <c r="U96" s="157"/>
      <c r="V96" s="74"/>
      <c r="W96" s="34" t="str">
        <f t="shared" si="13"/>
        <v>FALSE</v>
      </c>
      <c r="X96" s="34" t="str">
        <f t="shared" si="9"/>
        <v>FALSE</v>
      </c>
      <c r="Y96" s="35">
        <f t="shared" si="14"/>
        <v>0</v>
      </c>
      <c r="Z96" s="36" t="str">
        <f t="shared" si="15"/>
        <v/>
      </c>
      <c r="AA96" s="6"/>
      <c r="AB96" s="155"/>
      <c r="AC96" s="156"/>
      <c r="AD96" s="38"/>
      <c r="AE96" s="34"/>
      <c r="AF96" s="34" t="str">
        <f t="shared" si="16"/>
        <v>FALSE</v>
      </c>
      <c r="AG96" s="35">
        <f t="shared" si="10"/>
        <v>0</v>
      </c>
      <c r="AH96" s="36" t="str">
        <f t="shared" si="11"/>
        <v/>
      </c>
    </row>
    <row r="97" spans="1:34" ht="1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29" t="str">
        <f t="shared" si="12"/>
        <v/>
      </c>
      <c r="Q97" s="30"/>
      <c r="R97" s="31"/>
      <c r="S97" s="68"/>
      <c r="T97" s="154"/>
      <c r="U97" s="157"/>
      <c r="V97" s="74"/>
      <c r="W97" s="34" t="str">
        <f t="shared" si="13"/>
        <v>FALSE</v>
      </c>
      <c r="X97" s="34" t="str">
        <f t="shared" si="9"/>
        <v>FALSE</v>
      </c>
      <c r="Y97" s="35">
        <f t="shared" si="14"/>
        <v>0</v>
      </c>
      <c r="Z97" s="36" t="str">
        <f t="shared" si="15"/>
        <v/>
      </c>
      <c r="AA97" s="6"/>
      <c r="AB97" s="155"/>
      <c r="AC97" s="156"/>
      <c r="AD97" s="38"/>
      <c r="AE97" s="34"/>
      <c r="AF97" s="34" t="str">
        <f t="shared" si="16"/>
        <v>FALSE</v>
      </c>
      <c r="AG97" s="35">
        <f t="shared" si="10"/>
        <v>0</v>
      </c>
      <c r="AH97" s="36" t="str">
        <f t="shared" si="11"/>
        <v/>
      </c>
    </row>
    <row r="98" spans="1:34" ht="1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29" t="str">
        <f t="shared" si="12"/>
        <v/>
      </c>
      <c r="Q98" s="30"/>
      <c r="R98" s="31"/>
      <c r="S98" s="68"/>
      <c r="T98" s="154"/>
      <c r="U98" s="157"/>
      <c r="V98" s="74"/>
      <c r="W98" s="34" t="str">
        <f t="shared" si="13"/>
        <v>FALSE</v>
      </c>
      <c r="X98" s="34" t="str">
        <f t="shared" si="9"/>
        <v>FALSE</v>
      </c>
      <c r="Y98" s="35">
        <f t="shared" si="14"/>
        <v>0</v>
      </c>
      <c r="Z98" s="36" t="str">
        <f t="shared" si="15"/>
        <v/>
      </c>
      <c r="AA98" s="6"/>
      <c r="AB98" s="155"/>
      <c r="AC98" s="156"/>
      <c r="AD98" s="38"/>
      <c r="AE98" s="34"/>
      <c r="AF98" s="34" t="str">
        <f t="shared" si="16"/>
        <v>FALSE</v>
      </c>
      <c r="AG98" s="35">
        <f t="shared" si="10"/>
        <v>0</v>
      </c>
      <c r="AH98" s="36" t="str">
        <f t="shared" si="11"/>
        <v/>
      </c>
    </row>
    <row r="99" spans="1:34" ht="1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29" t="str">
        <f t="shared" si="12"/>
        <v/>
      </c>
      <c r="Q99" s="30"/>
      <c r="R99" s="31"/>
      <c r="S99" s="68"/>
      <c r="T99" s="154"/>
      <c r="U99" s="157"/>
      <c r="V99" s="74"/>
      <c r="W99" s="34" t="str">
        <f t="shared" si="13"/>
        <v>FALSE</v>
      </c>
      <c r="X99" s="34" t="str">
        <f t="shared" si="9"/>
        <v>FALSE</v>
      </c>
      <c r="Y99" s="35">
        <f t="shared" si="14"/>
        <v>0</v>
      </c>
      <c r="Z99" s="36" t="str">
        <f t="shared" si="15"/>
        <v/>
      </c>
      <c r="AA99" s="6"/>
      <c r="AB99" s="155"/>
      <c r="AC99" s="156"/>
      <c r="AD99" s="38"/>
      <c r="AE99" s="34"/>
      <c r="AF99" s="34" t="str">
        <f t="shared" si="16"/>
        <v>FALSE</v>
      </c>
      <c r="AG99" s="35">
        <f t="shared" si="10"/>
        <v>0</v>
      </c>
      <c r="AH99" s="36" t="str">
        <f t="shared" si="11"/>
        <v/>
      </c>
    </row>
    <row r="100" spans="1:34" ht="1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29" t="str">
        <f t="shared" si="12"/>
        <v/>
      </c>
      <c r="Q100" s="30"/>
      <c r="R100" s="31"/>
      <c r="S100" s="68"/>
      <c r="T100" s="154"/>
      <c r="U100" s="157"/>
      <c r="V100" s="74"/>
      <c r="W100" s="34" t="str">
        <f t="shared" si="13"/>
        <v>FALSE</v>
      </c>
      <c r="X100" s="34" t="str">
        <f t="shared" si="9"/>
        <v>FALSE</v>
      </c>
      <c r="Y100" s="35">
        <f t="shared" si="14"/>
        <v>0</v>
      </c>
      <c r="Z100" s="36" t="str">
        <f t="shared" si="15"/>
        <v/>
      </c>
      <c r="AA100" s="6"/>
      <c r="AB100" s="155"/>
      <c r="AC100" s="156"/>
      <c r="AD100" s="38"/>
      <c r="AE100" s="34"/>
      <c r="AF100" s="34" t="str">
        <f t="shared" si="16"/>
        <v>FALSE</v>
      </c>
      <c r="AG100" s="35">
        <f t="shared" si="10"/>
        <v>0</v>
      </c>
      <c r="AH100" s="36" t="str">
        <f t="shared" si="11"/>
        <v/>
      </c>
    </row>
    <row r="101" spans="1:34" ht="1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29" t="str">
        <f t="shared" si="12"/>
        <v/>
      </c>
      <c r="Q101" s="30"/>
      <c r="R101" s="31"/>
      <c r="S101" s="68"/>
      <c r="T101" s="154"/>
      <c r="U101" s="157"/>
      <c r="V101" s="74"/>
      <c r="W101" s="34" t="str">
        <f t="shared" si="13"/>
        <v>FALSE</v>
      </c>
      <c r="X101" s="34" t="str">
        <f t="shared" si="9"/>
        <v>FALSE</v>
      </c>
      <c r="Y101" s="35">
        <f t="shared" si="14"/>
        <v>0</v>
      </c>
      <c r="Z101" s="36" t="str">
        <f t="shared" si="15"/>
        <v/>
      </c>
      <c r="AA101" s="6"/>
      <c r="AB101" s="155"/>
      <c r="AC101" s="156"/>
      <c r="AD101" s="38"/>
      <c r="AE101" s="34"/>
      <c r="AF101" s="34" t="str">
        <f t="shared" si="16"/>
        <v>FALSE</v>
      </c>
      <c r="AG101" s="35">
        <f t="shared" si="10"/>
        <v>0</v>
      </c>
      <c r="AH101" s="36" t="str">
        <f t="shared" si="11"/>
        <v/>
      </c>
    </row>
    <row r="102" spans="1:34" ht="1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29" t="str">
        <f t="shared" si="12"/>
        <v/>
      </c>
      <c r="Q102" s="30"/>
      <c r="R102" s="31"/>
      <c r="S102" s="68"/>
      <c r="T102" s="154"/>
      <c r="U102" s="157"/>
      <c r="V102" s="74"/>
      <c r="W102" s="34" t="str">
        <f t="shared" si="13"/>
        <v>FALSE</v>
      </c>
      <c r="X102" s="34" t="str">
        <f t="shared" si="9"/>
        <v>FALSE</v>
      </c>
      <c r="Y102" s="35">
        <f t="shared" si="14"/>
        <v>0</v>
      </c>
      <c r="Z102" s="36" t="str">
        <f t="shared" si="15"/>
        <v/>
      </c>
      <c r="AA102" s="6"/>
      <c r="AB102" s="155"/>
      <c r="AC102" s="156"/>
      <c r="AD102" s="38"/>
      <c r="AE102" s="34"/>
      <c r="AF102" s="34" t="str">
        <f t="shared" si="16"/>
        <v>FALSE</v>
      </c>
      <c r="AG102" s="35">
        <f t="shared" si="10"/>
        <v>0</v>
      </c>
      <c r="AH102" s="36" t="str">
        <f t="shared" si="11"/>
        <v/>
      </c>
    </row>
    <row r="103" spans="1:34" ht="1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29" t="str">
        <f t="shared" si="12"/>
        <v/>
      </c>
      <c r="Q103" s="30"/>
      <c r="R103" s="31"/>
      <c r="S103" s="68"/>
      <c r="T103" s="154"/>
      <c r="U103" s="157"/>
      <c r="V103" s="74"/>
      <c r="W103" s="34" t="str">
        <f t="shared" si="13"/>
        <v>FALSE</v>
      </c>
      <c r="X103" s="34" t="str">
        <f t="shared" si="9"/>
        <v>FALSE</v>
      </c>
      <c r="Y103" s="35">
        <f t="shared" si="14"/>
        <v>0</v>
      </c>
      <c r="Z103" s="36" t="str">
        <f t="shared" si="15"/>
        <v/>
      </c>
      <c r="AA103" s="6"/>
      <c r="AB103" s="155"/>
      <c r="AC103" s="156"/>
      <c r="AD103" s="38"/>
      <c r="AE103" s="34"/>
      <c r="AF103" s="34" t="str">
        <f t="shared" si="16"/>
        <v>FALSE</v>
      </c>
      <c r="AG103" s="35">
        <f t="shared" si="10"/>
        <v>0</v>
      </c>
      <c r="AH103" s="36" t="str">
        <f t="shared" si="11"/>
        <v/>
      </c>
    </row>
    <row r="104" spans="1:34" ht="1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29" t="str">
        <f t="shared" si="12"/>
        <v/>
      </c>
      <c r="Q104" s="30"/>
      <c r="R104" s="31"/>
      <c r="S104" s="68"/>
      <c r="T104" s="154"/>
      <c r="U104" s="157"/>
      <c r="V104" s="74"/>
      <c r="W104" s="34" t="str">
        <f t="shared" si="13"/>
        <v>FALSE</v>
      </c>
      <c r="X104" s="34" t="str">
        <f t="shared" si="9"/>
        <v>FALSE</v>
      </c>
      <c r="Y104" s="35">
        <f t="shared" si="14"/>
        <v>0</v>
      </c>
      <c r="Z104" s="36" t="str">
        <f t="shared" si="15"/>
        <v/>
      </c>
      <c r="AA104" s="6"/>
      <c r="AB104" s="155"/>
      <c r="AC104" s="156"/>
      <c r="AD104" s="38"/>
      <c r="AE104" s="34"/>
      <c r="AF104" s="34" t="str">
        <f t="shared" si="16"/>
        <v>FALSE</v>
      </c>
      <c r="AG104" s="35">
        <f t="shared" si="10"/>
        <v>0</v>
      </c>
      <c r="AH104" s="36" t="str">
        <f t="shared" si="11"/>
        <v/>
      </c>
    </row>
    <row r="105" spans="1:34" ht="1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29" t="str">
        <f t="shared" si="12"/>
        <v/>
      </c>
      <c r="Q105" s="30"/>
      <c r="R105" s="31"/>
      <c r="S105" s="68"/>
      <c r="T105" s="154"/>
      <c r="U105" s="157"/>
      <c r="V105" s="74"/>
      <c r="W105" s="34" t="str">
        <f t="shared" si="13"/>
        <v>FALSE</v>
      </c>
      <c r="X105" s="34" t="str">
        <f t="shared" si="9"/>
        <v>FALSE</v>
      </c>
      <c r="Y105" s="35">
        <f t="shared" si="14"/>
        <v>0</v>
      </c>
      <c r="Z105" s="36" t="str">
        <f t="shared" si="15"/>
        <v/>
      </c>
      <c r="AA105" s="6"/>
      <c r="AB105" s="155"/>
      <c r="AC105" s="156"/>
      <c r="AD105" s="38"/>
      <c r="AE105" s="34"/>
      <c r="AF105" s="34" t="str">
        <f t="shared" si="16"/>
        <v>FALSE</v>
      </c>
      <c r="AG105" s="35">
        <f t="shared" si="10"/>
        <v>0</v>
      </c>
      <c r="AH105" s="36" t="str">
        <f t="shared" si="11"/>
        <v/>
      </c>
    </row>
    <row r="106" spans="1:34" ht="1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29" t="str">
        <f t="shared" si="12"/>
        <v/>
      </c>
      <c r="Q106" s="30"/>
      <c r="R106" s="31"/>
      <c r="S106" s="68"/>
      <c r="T106" s="154"/>
      <c r="U106" s="157"/>
      <c r="V106" s="74"/>
      <c r="W106" s="34" t="str">
        <f t="shared" si="13"/>
        <v>FALSE</v>
      </c>
      <c r="X106" s="34" t="str">
        <f t="shared" si="9"/>
        <v>FALSE</v>
      </c>
      <c r="Y106" s="35">
        <f t="shared" si="14"/>
        <v>0</v>
      </c>
      <c r="Z106" s="36" t="str">
        <f t="shared" si="15"/>
        <v/>
      </c>
      <c r="AA106" s="6"/>
      <c r="AB106" s="155"/>
      <c r="AC106" s="156"/>
      <c r="AD106" s="38"/>
      <c r="AE106" s="34"/>
      <c r="AF106" s="34" t="str">
        <f t="shared" si="16"/>
        <v>FALSE</v>
      </c>
      <c r="AG106" s="35">
        <f t="shared" si="10"/>
        <v>0</v>
      </c>
      <c r="AH106" s="36" t="str">
        <f t="shared" si="11"/>
        <v/>
      </c>
    </row>
    <row r="107" spans="1:34" ht="1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29" t="str">
        <f t="shared" si="12"/>
        <v/>
      </c>
      <c r="Q107" s="30"/>
      <c r="R107" s="31"/>
      <c r="S107" s="68"/>
      <c r="T107" s="154"/>
      <c r="U107" s="157"/>
      <c r="V107" s="74"/>
      <c r="W107" s="34" t="str">
        <f t="shared" si="13"/>
        <v>FALSE</v>
      </c>
      <c r="X107" s="34" t="str">
        <f t="shared" si="9"/>
        <v>FALSE</v>
      </c>
      <c r="Y107" s="35">
        <f t="shared" si="14"/>
        <v>0</v>
      </c>
      <c r="Z107" s="36" t="str">
        <f t="shared" si="15"/>
        <v/>
      </c>
      <c r="AA107" s="6"/>
      <c r="AB107" s="155"/>
      <c r="AC107" s="156"/>
      <c r="AD107" s="38"/>
      <c r="AE107" s="34"/>
      <c r="AF107" s="34" t="str">
        <f t="shared" si="16"/>
        <v>FALSE</v>
      </c>
      <c r="AG107" s="35">
        <f t="shared" si="10"/>
        <v>0</v>
      </c>
      <c r="AH107" s="36" t="str">
        <f t="shared" si="11"/>
        <v/>
      </c>
    </row>
    <row r="108" spans="1:34" ht="1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29" t="str">
        <f t="shared" si="12"/>
        <v/>
      </c>
      <c r="Q108" s="30"/>
      <c r="R108" s="31"/>
      <c r="S108" s="68"/>
      <c r="T108" s="154"/>
      <c r="U108" s="157"/>
      <c r="V108" s="74"/>
      <c r="W108" s="34" t="str">
        <f t="shared" si="13"/>
        <v>FALSE</v>
      </c>
      <c r="X108" s="34" t="str">
        <f t="shared" si="9"/>
        <v>FALSE</v>
      </c>
      <c r="Y108" s="35">
        <f t="shared" si="14"/>
        <v>0</v>
      </c>
      <c r="Z108" s="36" t="str">
        <f t="shared" si="15"/>
        <v/>
      </c>
      <c r="AA108" s="6"/>
      <c r="AB108" s="155"/>
      <c r="AC108" s="156"/>
      <c r="AD108" s="38"/>
      <c r="AE108" s="34"/>
      <c r="AF108" s="34" t="str">
        <f t="shared" si="16"/>
        <v>FALSE</v>
      </c>
      <c r="AG108" s="35">
        <f t="shared" si="10"/>
        <v>0</v>
      </c>
      <c r="AH108" s="36" t="str">
        <f t="shared" si="11"/>
        <v/>
      </c>
    </row>
    <row r="109" spans="1:34" ht="1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29" t="str">
        <f t="shared" si="12"/>
        <v/>
      </c>
      <c r="Q109" s="30"/>
      <c r="R109" s="31"/>
      <c r="S109" s="68"/>
      <c r="T109" s="154"/>
      <c r="U109" s="157"/>
      <c r="V109" s="74"/>
      <c r="W109" s="34" t="str">
        <f t="shared" si="13"/>
        <v>FALSE</v>
      </c>
      <c r="X109" s="34" t="str">
        <f t="shared" si="9"/>
        <v>FALSE</v>
      </c>
      <c r="Y109" s="35">
        <f t="shared" si="14"/>
        <v>0</v>
      </c>
      <c r="Z109" s="36" t="str">
        <f t="shared" si="15"/>
        <v/>
      </c>
      <c r="AA109" s="6"/>
      <c r="AB109" s="155"/>
      <c r="AC109" s="156"/>
      <c r="AD109" s="38"/>
      <c r="AE109" s="34"/>
      <c r="AF109" s="34" t="str">
        <f t="shared" si="16"/>
        <v>FALSE</v>
      </c>
      <c r="AG109" s="35">
        <f t="shared" si="10"/>
        <v>0</v>
      </c>
      <c r="AH109" s="36" t="str">
        <f t="shared" si="11"/>
        <v/>
      </c>
    </row>
    <row r="110" spans="1:34" ht="1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29" t="str">
        <f t="shared" si="12"/>
        <v/>
      </c>
      <c r="Q110" s="30"/>
      <c r="R110" s="31"/>
      <c r="S110" s="68"/>
      <c r="T110" s="154"/>
      <c r="U110" s="157"/>
      <c r="V110" s="74"/>
      <c r="W110" s="34" t="str">
        <f t="shared" si="13"/>
        <v>FALSE</v>
      </c>
      <c r="X110" s="34" t="str">
        <f t="shared" si="9"/>
        <v>FALSE</v>
      </c>
      <c r="Y110" s="35">
        <f t="shared" si="14"/>
        <v>0</v>
      </c>
      <c r="Z110" s="36" t="str">
        <f t="shared" si="15"/>
        <v/>
      </c>
      <c r="AA110" s="6"/>
      <c r="AB110" s="155"/>
      <c r="AC110" s="156"/>
      <c r="AD110" s="38"/>
      <c r="AE110" s="34"/>
      <c r="AF110" s="34" t="str">
        <f t="shared" si="16"/>
        <v>FALSE</v>
      </c>
      <c r="AG110" s="35">
        <f t="shared" si="10"/>
        <v>0</v>
      </c>
      <c r="AH110" s="36" t="str">
        <f t="shared" si="11"/>
        <v/>
      </c>
    </row>
    <row r="111" spans="1:34" ht="1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29" t="str">
        <f t="shared" si="12"/>
        <v/>
      </c>
      <c r="Q111" s="30"/>
      <c r="R111" s="31"/>
      <c r="S111" s="68"/>
      <c r="T111" s="154"/>
      <c r="U111" s="157"/>
      <c r="V111" s="74"/>
      <c r="W111" s="34" t="str">
        <f t="shared" si="13"/>
        <v>FALSE</v>
      </c>
      <c r="X111" s="34" t="str">
        <f t="shared" si="9"/>
        <v>FALSE</v>
      </c>
      <c r="Y111" s="35">
        <f t="shared" si="14"/>
        <v>0</v>
      </c>
      <c r="Z111" s="36" t="str">
        <f t="shared" si="15"/>
        <v/>
      </c>
      <c r="AA111" s="6"/>
      <c r="AB111" s="155"/>
      <c r="AC111" s="156"/>
      <c r="AD111" s="38"/>
      <c r="AE111" s="34"/>
      <c r="AF111" s="34" t="str">
        <f t="shared" si="16"/>
        <v>FALSE</v>
      </c>
      <c r="AG111" s="35">
        <f t="shared" si="10"/>
        <v>0</v>
      </c>
      <c r="AH111" s="36" t="str">
        <f t="shared" si="11"/>
        <v/>
      </c>
    </row>
    <row r="112" spans="1:34" ht="1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29" t="str">
        <f t="shared" si="12"/>
        <v/>
      </c>
      <c r="Q112" s="30"/>
      <c r="R112" s="31"/>
      <c r="S112" s="68"/>
      <c r="T112" s="154"/>
      <c r="U112" s="157"/>
      <c r="V112" s="74"/>
      <c r="W112" s="34" t="str">
        <f t="shared" si="13"/>
        <v>FALSE</v>
      </c>
      <c r="X112" s="34" t="str">
        <f t="shared" si="9"/>
        <v>FALSE</v>
      </c>
      <c r="Y112" s="35">
        <f t="shared" si="14"/>
        <v>0</v>
      </c>
      <c r="Z112" s="36" t="str">
        <f t="shared" si="15"/>
        <v/>
      </c>
      <c r="AA112" s="6"/>
      <c r="AB112" s="155"/>
      <c r="AC112" s="156"/>
      <c r="AD112" s="38"/>
      <c r="AE112" s="34"/>
      <c r="AF112" s="34" t="str">
        <f t="shared" si="16"/>
        <v>FALSE</v>
      </c>
      <c r="AG112" s="35">
        <f t="shared" si="10"/>
        <v>0</v>
      </c>
      <c r="AH112" s="36" t="str">
        <f t="shared" si="11"/>
        <v/>
      </c>
    </row>
    <row r="113" spans="1:34" ht="1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29" t="str">
        <f t="shared" si="12"/>
        <v/>
      </c>
      <c r="Q113" s="30"/>
      <c r="R113" s="31"/>
      <c r="S113" s="68"/>
      <c r="T113" s="154"/>
      <c r="U113" s="157"/>
      <c r="V113" s="74"/>
      <c r="W113" s="34" t="str">
        <f t="shared" si="13"/>
        <v>FALSE</v>
      </c>
      <c r="X113" s="34" t="str">
        <f t="shared" si="9"/>
        <v>FALSE</v>
      </c>
      <c r="Y113" s="35">
        <f t="shared" si="14"/>
        <v>0</v>
      </c>
      <c r="Z113" s="36" t="str">
        <f t="shared" si="15"/>
        <v/>
      </c>
      <c r="AA113" s="6"/>
      <c r="AB113" s="155"/>
      <c r="AC113" s="156"/>
      <c r="AD113" s="38"/>
      <c r="AE113" s="34"/>
      <c r="AF113" s="34" t="str">
        <f t="shared" si="16"/>
        <v>FALSE</v>
      </c>
      <c r="AG113" s="35">
        <f t="shared" si="10"/>
        <v>0</v>
      </c>
      <c r="AH113" s="36" t="str">
        <f t="shared" si="11"/>
        <v/>
      </c>
    </row>
    <row r="114" spans="1:34" ht="1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29" t="str">
        <f t="shared" si="12"/>
        <v/>
      </c>
      <c r="Q114" s="30"/>
      <c r="R114" s="31"/>
      <c r="S114" s="68"/>
      <c r="T114" s="154"/>
      <c r="U114" s="157"/>
      <c r="V114" s="74"/>
      <c r="W114" s="34" t="str">
        <f t="shared" si="13"/>
        <v>FALSE</v>
      </c>
      <c r="X114" s="34" t="str">
        <f t="shared" si="9"/>
        <v>FALSE</v>
      </c>
      <c r="Y114" s="35">
        <f t="shared" si="14"/>
        <v>0</v>
      </c>
      <c r="Z114" s="36" t="str">
        <f t="shared" si="15"/>
        <v/>
      </c>
      <c r="AA114" s="6"/>
      <c r="AB114" s="155"/>
      <c r="AC114" s="156"/>
      <c r="AD114" s="38"/>
      <c r="AE114" s="34"/>
      <c r="AF114" s="34" t="str">
        <f t="shared" si="16"/>
        <v>FALSE</v>
      </c>
      <c r="AG114" s="35">
        <f t="shared" si="10"/>
        <v>0</v>
      </c>
      <c r="AH114" s="36" t="str">
        <f t="shared" si="11"/>
        <v/>
      </c>
    </row>
    <row r="115" spans="1:34" ht="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29" t="str">
        <f t="shared" si="12"/>
        <v/>
      </c>
      <c r="Q115" s="30"/>
      <c r="R115" s="31"/>
      <c r="S115" s="68"/>
      <c r="T115" s="154"/>
      <c r="U115" s="157"/>
      <c r="V115" s="74"/>
      <c r="W115" s="34" t="str">
        <f t="shared" si="13"/>
        <v>FALSE</v>
      </c>
      <c r="X115" s="34" t="str">
        <f t="shared" si="9"/>
        <v>FALSE</v>
      </c>
      <c r="Y115" s="35">
        <f t="shared" si="14"/>
        <v>0</v>
      </c>
      <c r="Z115" s="36" t="str">
        <f t="shared" si="15"/>
        <v/>
      </c>
      <c r="AA115" s="6"/>
      <c r="AB115" s="155"/>
      <c r="AC115" s="156"/>
      <c r="AD115" s="38"/>
      <c r="AE115" s="34"/>
      <c r="AF115" s="34" t="str">
        <f t="shared" si="16"/>
        <v>FALSE</v>
      </c>
      <c r="AG115" s="35">
        <f t="shared" si="10"/>
        <v>0</v>
      </c>
      <c r="AH115" s="36" t="str">
        <f t="shared" si="11"/>
        <v/>
      </c>
    </row>
    <row r="116" spans="1:34" ht="1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29" t="str">
        <f t="shared" si="12"/>
        <v/>
      </c>
      <c r="Q116" s="30"/>
      <c r="R116" s="31"/>
      <c r="S116" s="68"/>
      <c r="T116" s="154"/>
      <c r="U116" s="157"/>
      <c r="V116" s="74"/>
      <c r="W116" s="34" t="str">
        <f t="shared" si="13"/>
        <v>FALSE</v>
      </c>
      <c r="X116" s="34" t="str">
        <f t="shared" si="9"/>
        <v>FALSE</v>
      </c>
      <c r="Y116" s="35">
        <f t="shared" si="14"/>
        <v>0</v>
      </c>
      <c r="Z116" s="36" t="str">
        <f t="shared" si="15"/>
        <v/>
      </c>
      <c r="AA116" s="6"/>
      <c r="AB116" s="155"/>
      <c r="AC116" s="156"/>
      <c r="AD116" s="38"/>
      <c r="AE116" s="34"/>
      <c r="AF116" s="34" t="str">
        <f t="shared" si="16"/>
        <v>FALSE</v>
      </c>
      <c r="AG116" s="35">
        <f t="shared" si="10"/>
        <v>0</v>
      </c>
      <c r="AH116" s="36" t="str">
        <f t="shared" si="11"/>
        <v/>
      </c>
    </row>
    <row r="117" spans="1:34" ht="1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29" t="str">
        <f t="shared" si="12"/>
        <v/>
      </c>
      <c r="Q117" s="30"/>
      <c r="R117" s="31"/>
      <c r="S117" s="68"/>
      <c r="T117" s="154"/>
      <c r="U117" s="157"/>
      <c r="V117" s="74"/>
      <c r="W117" s="34" t="str">
        <f t="shared" si="13"/>
        <v>FALSE</v>
      </c>
      <c r="X117" s="34" t="str">
        <f t="shared" si="9"/>
        <v>FALSE</v>
      </c>
      <c r="Y117" s="35">
        <f t="shared" si="14"/>
        <v>0</v>
      </c>
      <c r="Z117" s="36" t="str">
        <f t="shared" si="15"/>
        <v/>
      </c>
      <c r="AA117" s="6"/>
      <c r="AB117" s="155"/>
      <c r="AC117" s="156"/>
      <c r="AD117" s="38"/>
      <c r="AE117" s="34"/>
      <c r="AF117" s="34" t="str">
        <f t="shared" si="16"/>
        <v>FALSE</v>
      </c>
      <c r="AG117" s="35">
        <f t="shared" si="10"/>
        <v>0</v>
      </c>
      <c r="AH117" s="36" t="str">
        <f t="shared" si="11"/>
        <v/>
      </c>
    </row>
    <row r="118" spans="1:34" ht="1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29" t="str">
        <f t="shared" si="12"/>
        <v/>
      </c>
      <c r="Q118" s="30"/>
      <c r="R118" s="31"/>
      <c r="S118" s="68"/>
      <c r="T118" s="154"/>
      <c r="U118" s="157"/>
      <c r="V118" s="74"/>
      <c r="W118" s="34" t="str">
        <f t="shared" si="13"/>
        <v>FALSE</v>
      </c>
      <c r="X118" s="34" t="str">
        <f t="shared" si="9"/>
        <v>FALSE</v>
      </c>
      <c r="Y118" s="35">
        <f t="shared" si="14"/>
        <v>0</v>
      </c>
      <c r="Z118" s="36" t="str">
        <f t="shared" si="15"/>
        <v/>
      </c>
      <c r="AA118" s="6"/>
      <c r="AB118" s="155"/>
      <c r="AC118" s="156"/>
      <c r="AD118" s="38"/>
      <c r="AE118" s="34"/>
      <c r="AF118" s="34" t="str">
        <f t="shared" si="16"/>
        <v>FALSE</v>
      </c>
      <c r="AG118" s="35">
        <f t="shared" si="10"/>
        <v>0</v>
      </c>
      <c r="AH118" s="36" t="str">
        <f t="shared" si="11"/>
        <v/>
      </c>
    </row>
    <row r="119" spans="1:34" ht="1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29" t="str">
        <f t="shared" si="12"/>
        <v/>
      </c>
      <c r="Q119" s="30"/>
      <c r="R119" s="31"/>
      <c r="S119" s="68"/>
      <c r="T119" s="154"/>
      <c r="U119" s="157"/>
      <c r="V119" s="74"/>
      <c r="W119" s="34" t="str">
        <f t="shared" si="13"/>
        <v>FALSE</v>
      </c>
      <c r="X119" s="34" t="str">
        <f t="shared" si="9"/>
        <v>FALSE</v>
      </c>
      <c r="Y119" s="35">
        <f t="shared" si="14"/>
        <v>0</v>
      </c>
      <c r="Z119" s="36" t="str">
        <f t="shared" si="15"/>
        <v/>
      </c>
      <c r="AA119" s="6"/>
      <c r="AB119" s="155"/>
      <c r="AC119" s="156"/>
      <c r="AD119" s="38"/>
      <c r="AE119" s="34"/>
      <c r="AF119" s="34" t="str">
        <f t="shared" si="16"/>
        <v>FALSE</v>
      </c>
      <c r="AG119" s="35">
        <f t="shared" si="10"/>
        <v>0</v>
      </c>
      <c r="AH119" s="36" t="str">
        <f t="shared" si="11"/>
        <v/>
      </c>
    </row>
    <row r="120" spans="1:34" ht="1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29" t="str">
        <f t="shared" si="12"/>
        <v/>
      </c>
      <c r="Q120" s="30"/>
      <c r="R120" s="31"/>
      <c r="S120" s="68"/>
      <c r="T120" s="154"/>
      <c r="U120" s="157"/>
      <c r="V120" s="74"/>
      <c r="W120" s="34" t="str">
        <f t="shared" si="13"/>
        <v>FALSE</v>
      </c>
      <c r="X120" s="34" t="str">
        <f t="shared" si="9"/>
        <v>FALSE</v>
      </c>
      <c r="Y120" s="35">
        <f t="shared" si="14"/>
        <v>0</v>
      </c>
      <c r="Z120" s="36" t="str">
        <f t="shared" si="15"/>
        <v/>
      </c>
      <c r="AA120" s="6"/>
      <c r="AB120" s="155"/>
      <c r="AC120" s="156"/>
      <c r="AD120" s="38"/>
      <c r="AE120" s="34"/>
      <c r="AF120" s="34" t="str">
        <f t="shared" si="16"/>
        <v>FALSE</v>
      </c>
      <c r="AG120" s="35">
        <f t="shared" si="10"/>
        <v>0</v>
      </c>
      <c r="AH120" s="36" t="str">
        <f t="shared" si="11"/>
        <v/>
      </c>
    </row>
  </sheetData>
  <mergeCells count="11">
    <mergeCell ref="P6:U6"/>
    <mergeCell ref="X6:AA6"/>
    <mergeCell ref="Q8:Z8"/>
    <mergeCell ref="AB8:AH8"/>
    <mergeCell ref="D1:L2"/>
    <mergeCell ref="X2:AA2"/>
    <mergeCell ref="AC2:AG2"/>
    <mergeCell ref="P3:R3"/>
    <mergeCell ref="T3:U3"/>
    <mergeCell ref="X3:AA3"/>
    <mergeCell ref="AC3:AG3"/>
  </mergeCells>
  <conditionalFormatting sqref="U14:U120">
    <cfRule type="containsBlanks" dxfId="139" priority="1">
      <formula>LEN(TRIM(U14))=0</formula>
    </cfRule>
    <cfRule type="expression" dxfId="138" priority="2">
      <formula>AND(X14&gt;=2,X14&lt;3)</formula>
    </cfRule>
    <cfRule type="expression" dxfId="137" priority="3">
      <formula>X14&gt;3</formula>
    </cfRule>
  </conditionalFormatting>
  <conditionalFormatting sqref="W14:W120">
    <cfRule type="expression" dxfId="136" priority="15">
      <formula>X14="FALSE"</formula>
    </cfRule>
  </conditionalFormatting>
  <conditionalFormatting sqref="X14:X120">
    <cfRule type="expression" dxfId="135" priority="14">
      <formula>X14="FALSE"</formula>
    </cfRule>
    <cfRule type="expression" dxfId="134" priority="16">
      <formula>AND(X14&gt;2,X14&lt;3)</formula>
    </cfRule>
  </conditionalFormatting>
  <conditionalFormatting sqref="X14:Y50 X51:X120">
    <cfRule type="expression" dxfId="133" priority="20">
      <formula>X14&gt;=3</formula>
    </cfRule>
  </conditionalFormatting>
  <conditionalFormatting sqref="Y14:Y50">
    <cfRule type="expression" dxfId="132" priority="19">
      <formula>AND(X14&gt;=2,X14&lt;3)</formula>
    </cfRule>
  </conditionalFormatting>
  <conditionalFormatting sqref="Z14:Z120">
    <cfRule type="cellIs" dxfId="131" priority="17" operator="notBetween">
      <formula>0.8</formula>
      <formula>1.15</formula>
    </cfRule>
  </conditionalFormatting>
  <conditionalFormatting sqref="AC14:AC120">
    <cfRule type="containsBlanks" dxfId="130" priority="4">
      <formula>LEN(TRIM(AC14))=0</formula>
    </cfRule>
    <cfRule type="expression" dxfId="129" priority="5">
      <formula>AND(AF14&gt;=2,AF14&lt;3)</formula>
    </cfRule>
    <cfRule type="expression" dxfId="128" priority="6">
      <formula>AF14&gt;3</formula>
    </cfRule>
  </conditionalFormatting>
  <conditionalFormatting sqref="AE14:AE120">
    <cfRule type="expression" dxfId="127" priority="13">
      <formula>AF14="FALSE"</formula>
    </cfRule>
  </conditionalFormatting>
  <conditionalFormatting sqref="AF14:AF120">
    <cfRule type="expression" dxfId="126" priority="10">
      <formula>AF14="FALSE"</formula>
    </cfRule>
    <cfRule type="expression" dxfId="125" priority="11">
      <formula>AND(AF14&gt;2,AF14&lt;3)</formula>
    </cfRule>
    <cfRule type="expression" dxfId="124" priority="12">
      <formula>AF14&gt;=3</formula>
    </cfRule>
  </conditionalFormatting>
  <conditionalFormatting sqref="AG14:AG120">
    <cfRule type="expression" dxfId="123" priority="7">
      <formula>AF14=0</formula>
    </cfRule>
    <cfRule type="expression" dxfId="122" priority="8">
      <formula>AND(AF14&gt;=2,AF14&lt;3)</formula>
    </cfRule>
    <cfRule type="expression" dxfId="121" priority="9">
      <formula>AG14&gt;=3</formula>
    </cfRule>
  </conditionalFormatting>
  <conditionalFormatting sqref="AH14:AH120">
    <cfRule type="cellIs" dxfId="120" priority="18" operator="notBetween">
      <formula>0.8</formula>
      <formula>1.15</formula>
    </cfRule>
  </conditionalFormatting>
  <pageMargins left="0.4" right="0.4" top="0.4" bottom="0.4" header="0" footer="0"/>
  <pageSetup scale="10" fitToHeight="0" orientation="landscape" horizontalDpi="4294967292" verticalDpi="4294967292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03EB9-F6ED-4023-8983-2F59E7EF03A4}">
  <sheetPr>
    <tabColor rgb="FFFFFFFF"/>
    <pageSetUpPr fitToPage="1"/>
  </sheetPr>
  <dimension ref="A1:AH120"/>
  <sheetViews>
    <sheetView showGridLines="0" topLeftCell="A26" zoomScale="70" zoomScaleNormal="70" workbookViewId="0">
      <selection activeCell="AB56" sqref="AB56"/>
    </sheetView>
  </sheetViews>
  <sheetFormatPr defaultColWidth="11" defaultRowHeight="13.5" customHeight="1"/>
  <cols>
    <col min="1" max="2" width="3.125" style="12" customWidth="1"/>
    <col min="3" max="8" width="11" style="12"/>
    <col min="9" max="9" width="9" style="12" customWidth="1"/>
    <col min="10" max="13" width="11" style="12"/>
    <col min="14" max="15" width="4" style="12" customWidth="1"/>
    <col min="16" max="16" width="6.125" style="43" customWidth="1"/>
    <col min="17" max="17" width="13" style="12" customWidth="1"/>
    <col min="18" max="18" width="12.875" style="44" customWidth="1"/>
    <col min="19" max="19" width="3" style="44" customWidth="1"/>
    <col min="20" max="20" width="12" style="45" customWidth="1"/>
    <col min="21" max="21" width="14.875" style="8" customWidth="1"/>
    <col min="22" max="22" width="2.375" style="12" customWidth="1"/>
    <col min="23" max="23" width="12.875" style="6" customWidth="1"/>
    <col min="24" max="24" width="11.5" style="6" customWidth="1"/>
    <col min="25" max="25" width="13" style="12" customWidth="1"/>
    <col min="26" max="26" width="11.625" style="12" customWidth="1"/>
    <col min="27" max="27" width="9.125" style="12" customWidth="1"/>
    <col min="28" max="28" width="13.375" style="8" customWidth="1"/>
    <col min="29" max="29" width="13.75" style="12" customWidth="1"/>
    <col min="30" max="30" width="2" style="12" customWidth="1"/>
    <col min="31" max="31" width="12.75" style="12" customWidth="1"/>
    <col min="32" max="32" width="12.375" style="12" customWidth="1"/>
    <col min="33" max="33" width="13.125" style="12" customWidth="1"/>
    <col min="34" max="34" width="15.25" style="12" customWidth="1"/>
    <col min="35" max="16384" width="11" style="12"/>
  </cols>
  <sheetData>
    <row r="1" spans="1:34" s="7" customFormat="1" ht="31.5" customHeight="1">
      <c r="A1" s="1"/>
      <c r="B1" s="1"/>
      <c r="C1" s="1"/>
      <c r="D1" s="162" t="s">
        <v>61</v>
      </c>
      <c r="E1" s="162"/>
      <c r="F1" s="162"/>
      <c r="G1" s="162"/>
      <c r="H1" s="162"/>
      <c r="I1" s="162"/>
      <c r="J1" s="162"/>
      <c r="K1" s="162"/>
      <c r="L1" s="162"/>
      <c r="M1" s="1"/>
      <c r="N1" s="1"/>
      <c r="O1" s="1"/>
      <c r="P1" s="2"/>
      <c r="Q1" s="3" t="s">
        <v>74</v>
      </c>
      <c r="R1" s="4"/>
      <c r="S1" s="4"/>
      <c r="T1" s="4"/>
      <c r="U1" s="5"/>
      <c r="V1" s="6"/>
      <c r="W1" s="6"/>
      <c r="X1" s="6"/>
      <c r="Y1" s="5"/>
      <c r="Z1" s="5"/>
      <c r="AA1" s="5"/>
      <c r="AB1" s="5"/>
      <c r="AC1" s="5"/>
      <c r="AD1" s="5"/>
      <c r="AE1" s="5"/>
      <c r="AF1" s="5"/>
      <c r="AG1" s="5"/>
      <c r="AH1"/>
    </row>
    <row r="2" spans="1:34" ht="15.75" customHeight="1">
      <c r="A2" s="8"/>
      <c r="B2" s="8"/>
      <c r="C2" s="8"/>
      <c r="D2" s="162"/>
      <c r="E2" s="162"/>
      <c r="F2" s="162"/>
      <c r="G2" s="162"/>
      <c r="H2" s="162"/>
      <c r="I2" s="162"/>
      <c r="J2" s="162"/>
      <c r="K2" s="162"/>
      <c r="L2" s="162"/>
      <c r="M2" s="8"/>
      <c r="N2" s="8"/>
      <c r="O2" s="8"/>
      <c r="P2" s="9"/>
      <c r="Q2" s="10" t="s">
        <v>75</v>
      </c>
      <c r="R2" s="11"/>
      <c r="S2" s="11"/>
      <c r="T2" s="10" t="s">
        <v>76</v>
      </c>
      <c r="X2" s="163" t="s">
        <v>77</v>
      </c>
      <c r="Y2" s="163"/>
      <c r="Z2" s="163"/>
      <c r="AA2" s="163"/>
      <c r="AC2" s="163" t="s">
        <v>78</v>
      </c>
      <c r="AD2" s="163"/>
      <c r="AE2" s="163"/>
      <c r="AF2" s="163"/>
      <c r="AG2" s="163"/>
      <c r="AH2"/>
    </row>
    <row r="3" spans="1:34" ht="26.2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164">
        <f>MIN(R14:R16)</f>
        <v>45677</v>
      </c>
      <c r="Q3" s="165"/>
      <c r="R3" s="166"/>
      <c r="S3" s="65"/>
      <c r="T3" s="167">
        <f>MAX(R14:R116)</f>
        <v>46065</v>
      </c>
      <c r="U3" s="168"/>
      <c r="X3" s="164" t="s">
        <v>79</v>
      </c>
      <c r="Y3" s="165"/>
      <c r="Z3" s="165"/>
      <c r="AA3" s="168"/>
      <c r="AC3" s="169" t="s">
        <v>80</v>
      </c>
      <c r="AD3" s="170"/>
      <c r="AE3" s="170"/>
      <c r="AF3" s="170"/>
      <c r="AG3" s="171"/>
      <c r="AH3"/>
    </row>
    <row r="4" spans="1:34" ht="15.7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13"/>
      <c r="Q4" s="14"/>
      <c r="R4" s="15">
        <f>MIN(P14:P120)</f>
        <v>1</v>
      </c>
      <c r="S4" s="15"/>
      <c r="T4" s="16">
        <f>MAX(P14:P120)</f>
        <v>42</v>
      </c>
      <c r="U4" s="14"/>
      <c r="V4" s="6"/>
      <c r="X4" s="14"/>
      <c r="Y4" s="14"/>
      <c r="Z4" s="14"/>
      <c r="AA4" s="14"/>
      <c r="AB4"/>
      <c r="AC4" s="14"/>
      <c r="AD4" s="14"/>
      <c r="AE4" s="14"/>
      <c r="AF4" s="14"/>
      <c r="AH4" s="8"/>
    </row>
    <row r="5" spans="1:34" ht="20.2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17"/>
      <c r="Q5" s="17" t="s">
        <v>81</v>
      </c>
      <c r="R5" s="11"/>
      <c r="S5" s="11"/>
      <c r="T5" s="18"/>
      <c r="U5" s="17"/>
      <c r="V5" s="6"/>
      <c r="X5" s="17" t="s">
        <v>82</v>
      </c>
      <c r="Y5" s="17"/>
      <c r="Z5" s="17"/>
      <c r="AA5" s="14"/>
      <c r="AB5"/>
      <c r="AC5" s="10"/>
      <c r="AD5" s="10"/>
    </row>
    <row r="6" spans="1:34" ht="25.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158" t="s">
        <v>83</v>
      </c>
      <c r="Q6" s="158"/>
      <c r="R6" s="158"/>
      <c r="S6" s="158"/>
      <c r="T6" s="158"/>
      <c r="U6" s="158"/>
      <c r="V6" s="6"/>
      <c r="X6" s="159"/>
      <c r="Y6" s="159"/>
      <c r="Z6" s="159"/>
      <c r="AA6" s="159"/>
      <c r="AB6"/>
      <c r="AC6" s="6"/>
      <c r="AD6" s="6"/>
    </row>
    <row r="7" spans="1:34" ht="23.2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19"/>
      <c r="Q7" s="20" t="s">
        <v>84</v>
      </c>
      <c r="R7" s="21"/>
      <c r="S7" s="21"/>
      <c r="T7" s="22"/>
      <c r="V7" s="8"/>
      <c r="Y7" s="8"/>
      <c r="Z7" s="8"/>
      <c r="AA7" s="8"/>
      <c r="AC7" s="8"/>
      <c r="AD7" s="8"/>
      <c r="AE7" s="8"/>
      <c r="AF7" s="8"/>
      <c r="AG7" s="8"/>
      <c r="AH7" s="8"/>
    </row>
    <row r="8" spans="1:34" ht="31.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19"/>
      <c r="Q8" s="160" t="s">
        <v>85</v>
      </c>
      <c r="R8" s="160"/>
      <c r="S8" s="160"/>
      <c r="T8" s="160"/>
      <c r="U8" s="160"/>
      <c r="V8" s="160"/>
      <c r="W8" s="160"/>
      <c r="X8" s="160"/>
      <c r="Y8" s="160"/>
      <c r="Z8" s="160"/>
      <c r="AA8" s="6"/>
      <c r="AB8" s="161" t="s">
        <v>86</v>
      </c>
      <c r="AC8" s="161"/>
      <c r="AD8" s="161"/>
      <c r="AE8" s="161"/>
      <c r="AF8" s="161"/>
      <c r="AG8" s="161"/>
      <c r="AH8" s="161"/>
    </row>
    <row r="9" spans="1:34" customFormat="1" ht="11.25" customHeight="1"/>
    <row r="10" spans="1:34" s="52" customFormat="1" ht="27.75" customHeight="1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Q10" s="73" t="s">
        <v>87</v>
      </c>
      <c r="R10" s="73" t="s">
        <v>88</v>
      </c>
      <c r="S10" s="66"/>
      <c r="T10" s="49" t="s">
        <v>89</v>
      </c>
      <c r="U10" s="46" t="s">
        <v>90</v>
      </c>
      <c r="V10" s="50"/>
      <c r="W10" s="47" t="s">
        <v>91</v>
      </c>
      <c r="X10" s="61" t="s">
        <v>92</v>
      </c>
      <c r="Y10" s="61" t="s">
        <v>93</v>
      </c>
      <c r="Z10" s="48" t="s">
        <v>94</v>
      </c>
      <c r="AA10" s="53"/>
      <c r="AB10" s="49" t="s">
        <v>95</v>
      </c>
      <c r="AC10" s="46" t="s">
        <v>90</v>
      </c>
      <c r="AE10" s="47" t="s">
        <v>91</v>
      </c>
      <c r="AF10" s="61" t="s">
        <v>92</v>
      </c>
      <c r="AG10" s="61" t="s">
        <v>93</v>
      </c>
      <c r="AH10" s="48" t="s">
        <v>94</v>
      </c>
    </row>
    <row r="11" spans="1:34" s="55" customFormat="1" ht="27.75" customHeight="1" thickBot="1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Q11" s="64">
        <f>IF(U11="","",1.15)</f>
        <v>1.1499999999999999</v>
      </c>
      <c r="R11" s="64">
        <f>IF(U11="","",0.8)</f>
        <v>0.8</v>
      </c>
      <c r="S11" s="67"/>
      <c r="T11" s="62">
        <f>_xlfn.STDEV.P($U$14:$U$120)/$U$11</f>
        <v>0.14108815559034937</v>
      </c>
      <c r="U11" s="63">
        <f>AVERAGE($W$14:$W$120)</f>
        <v>4.1602900000000016</v>
      </c>
      <c r="V11" s="56"/>
      <c r="W11" s="60">
        <f>$U$11-(3*_xlfn.STDEV.S($W$14:$W$120))</f>
        <v>2.8600175981253653</v>
      </c>
      <c r="X11" s="59">
        <f>$U$11-(2*_xlfn.STDEV.S($W$14:$W$120))</f>
        <v>3.2934417320835774</v>
      </c>
      <c r="Y11" s="59">
        <f>$U$11+(2*_xlfn.STDEV.S($W$14:$W$120))</f>
        <v>5.0271382679164258</v>
      </c>
      <c r="Z11" s="58">
        <f>$U$11+(3*_xlfn.STDEV.S($W$14:$W$120))</f>
        <v>5.4605624018746379</v>
      </c>
      <c r="AA11" s="57"/>
      <c r="AB11" s="62">
        <f>_xlfn.STDEV.P($AC$14:$AC$120)/$AC$11</f>
        <v>0.14622469252423895</v>
      </c>
      <c r="AC11" s="63">
        <f>AVERAGE($AC$14:$AC$120)</f>
        <v>1.1672071428571427</v>
      </c>
      <c r="AE11" s="60">
        <f>$AC$11-(3*_xlfn.STDEV.S($AE$14:$AE$120))</f>
        <v>0.64897705386251636</v>
      </c>
      <c r="AF11" s="59">
        <f>$AC$11-(2*_xlfn.STDEV.S($AE$14:$AE$120))</f>
        <v>0.82172041686072506</v>
      </c>
      <c r="AG11" s="59">
        <f>$AC$11+(2*_xlfn.STDEV.S($AE$14:$AE$120))</f>
        <v>1.5126938688535603</v>
      </c>
      <c r="AH11" s="58">
        <f>$AC$11+(3*_xlfn.STDEV.S($AE$14:$AE$120))</f>
        <v>1.685437231851769</v>
      </c>
    </row>
    <row r="12" spans="1:34" ht="11.2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19"/>
      <c r="Q12" s="20"/>
      <c r="R12" s="21"/>
      <c r="S12" s="21"/>
      <c r="T12" s="22"/>
      <c r="V12" s="8"/>
      <c r="Y12" s="8"/>
      <c r="Z12" s="8"/>
      <c r="AA12" s="6"/>
      <c r="AC12" s="8"/>
      <c r="AD12" s="8"/>
      <c r="AE12" s="8"/>
      <c r="AF12" s="8"/>
      <c r="AG12" s="8"/>
      <c r="AH12" s="8"/>
    </row>
    <row r="13" spans="1:34" ht="4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70" t="s">
        <v>96</v>
      </c>
      <c r="Q13" s="71" t="s">
        <v>97</v>
      </c>
      <c r="R13" s="71" t="s">
        <v>98</v>
      </c>
      <c r="S13" s="69"/>
      <c r="T13" s="72" t="s">
        <v>99</v>
      </c>
      <c r="U13" s="71" t="s">
        <v>100</v>
      </c>
      <c r="V13" s="69"/>
      <c r="W13" s="75" t="s">
        <v>101</v>
      </c>
      <c r="X13" s="75" t="s">
        <v>102</v>
      </c>
      <c r="Y13" s="76" t="s">
        <v>103</v>
      </c>
      <c r="Z13" s="77" t="s">
        <v>104</v>
      </c>
      <c r="AA13" s="6"/>
      <c r="AB13" s="26" t="s">
        <v>99</v>
      </c>
      <c r="AC13" s="27" t="s">
        <v>100</v>
      </c>
      <c r="AD13" s="28"/>
      <c r="AE13" s="23" t="s">
        <v>101</v>
      </c>
      <c r="AF13" s="23" t="s">
        <v>102</v>
      </c>
      <c r="AG13" s="24" t="s">
        <v>105</v>
      </c>
      <c r="AH13" s="25" t="s">
        <v>104</v>
      </c>
    </row>
    <row r="14" spans="1:34" ht="1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29">
        <v>1</v>
      </c>
      <c r="Q14" s="30" t="s">
        <v>106</v>
      </c>
      <c r="R14" s="31">
        <v>45677</v>
      </c>
      <c r="S14" s="68"/>
      <c r="T14" s="32">
        <v>4.4539999999999997</v>
      </c>
      <c r="U14" s="38">
        <v>3.5489999999999999</v>
      </c>
      <c r="V14" s="74"/>
      <c r="W14" s="34">
        <f>IF(X14&gt;3,"FALSE",U14)</f>
        <v>3.5489999999999999</v>
      </c>
      <c r="X14" s="34">
        <f t="shared" ref="X14:X77" si="0">IF(U14="","FALSE",ABS((U14-AVERAGE($U$14:$U$120))/_xlfn.STDEV.S($U$14:$U$104)))</f>
        <v>1.1841626112019625</v>
      </c>
      <c r="Y14" s="35" t="str">
        <f>IF(OR(U14&gt;$Y$11,U14&lt;$X$11),U14,"")</f>
        <v/>
      </c>
      <c r="Z14" s="36">
        <f>IF(U14="","",U14/T14)</f>
        <v>0.79681185451279757</v>
      </c>
      <c r="AA14" s="6"/>
      <c r="AB14" s="37">
        <v>1.1040000000000001</v>
      </c>
      <c r="AC14" s="38">
        <v>1.202</v>
      </c>
      <c r="AD14" s="38"/>
      <c r="AE14" s="34">
        <f>IF(AF14&gt;3,"FALSE",AC14)</f>
        <v>1.202</v>
      </c>
      <c r="AF14" s="34">
        <f>IF(AC14="","FALSE",ABS((AC14-AVERAGE($AC$14:$AC$120))/_xlfn.STDEV.S($AC$14:$AC$104)))</f>
        <v>0.2014135683072123</v>
      </c>
      <c r="AG14" s="35" t="str">
        <f t="shared" ref="AG14:AG77" si="1">IF(OR(AC14&gt;$AG$11,AC14&lt;$AF$11),AC14,"")</f>
        <v/>
      </c>
      <c r="AH14" s="36">
        <f t="shared" ref="AH14:AH77" si="2">IF(AC14="","",AC14/AB14)</f>
        <v>1.0887681159420288</v>
      </c>
    </row>
    <row r="15" spans="1:34" ht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29">
        <f t="shared" ref="P15:P78" si="3">IF(R15&lt;&gt;"",P14+1,"")</f>
        <v>2</v>
      </c>
      <c r="Q15" s="30" t="s">
        <v>106</v>
      </c>
      <c r="R15" s="31">
        <v>45677</v>
      </c>
      <c r="S15" s="68"/>
      <c r="T15" s="32">
        <v>4.4539999999999997</v>
      </c>
      <c r="U15" s="38">
        <v>3.9510000000000001</v>
      </c>
      <c r="V15" s="74"/>
      <c r="W15" s="34">
        <f t="shared" ref="W15:W78" si="4">IF(X15&gt;3,"FALSE",U15)</f>
        <v>3.9510000000000001</v>
      </c>
      <c r="X15" s="34">
        <f t="shared" si="0"/>
        <v>0.50748910130458302</v>
      </c>
      <c r="Y15" s="35" t="str">
        <f t="shared" ref="Y15:Y78" si="5">IF(OR(U15&gt;$Y$11,U15&lt;$X$11),U15,"")</f>
        <v/>
      </c>
      <c r="Z15" s="36">
        <f t="shared" ref="Z15:Z78" si="6">IF(U15="","",U15/T15)</f>
        <v>0.88706780422092513</v>
      </c>
      <c r="AA15" s="6"/>
      <c r="AB15" s="37">
        <v>1.1040000000000001</v>
      </c>
      <c r="AC15" s="38">
        <v>1.0920000000000001</v>
      </c>
      <c r="AD15" s="38"/>
      <c r="AE15" s="34">
        <f t="shared" ref="AE15:AE61" si="7">IF(AF15&gt;3,"FALSE",AC15)</f>
        <v>1.0920000000000001</v>
      </c>
      <c r="AF15" s="34">
        <f t="shared" ref="AF15:AF78" si="8">IF(AC15="","FALSE",ABS((AC15-AVERAGE($AC$14:$AC$120))/_xlfn.STDEV.S($AC$14:$AC$104)))</f>
        <v>0.43536921796481654</v>
      </c>
      <c r="AG15" s="35" t="str">
        <f t="shared" si="1"/>
        <v/>
      </c>
      <c r="AH15" s="36">
        <f t="shared" si="2"/>
        <v>0.98913043478260865</v>
      </c>
    </row>
    <row r="16" spans="1:34" ht="1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29">
        <f t="shared" si="3"/>
        <v>3</v>
      </c>
      <c r="Q16" s="30" t="s">
        <v>106</v>
      </c>
      <c r="R16" s="31">
        <v>45677</v>
      </c>
      <c r="S16" s="68"/>
      <c r="T16" s="32">
        <v>4.4539999999999997</v>
      </c>
      <c r="U16" s="38">
        <v>4.141</v>
      </c>
      <c r="V16" s="74"/>
      <c r="W16" s="34">
        <f t="shared" si="4"/>
        <v>4.141</v>
      </c>
      <c r="X16" s="34">
        <f t="shared" si="0"/>
        <v>0.18766828816900585</v>
      </c>
      <c r="Y16" s="35" t="str">
        <f t="shared" si="5"/>
        <v/>
      </c>
      <c r="Z16" s="36">
        <f t="shared" si="6"/>
        <v>0.929726088908846</v>
      </c>
      <c r="AA16" s="6"/>
      <c r="AB16" s="37">
        <v>1.1040000000000001</v>
      </c>
      <c r="AC16" s="38">
        <v>1.1479999999999999</v>
      </c>
      <c r="AD16" s="38"/>
      <c r="AE16" s="34">
        <f t="shared" si="7"/>
        <v>1.1479999999999999</v>
      </c>
      <c r="AF16" s="34">
        <f t="shared" si="8"/>
        <v>0.11118889040814796</v>
      </c>
      <c r="AG16" s="35" t="str">
        <f t="shared" si="1"/>
        <v/>
      </c>
      <c r="AH16" s="36">
        <f t="shared" si="2"/>
        <v>1.0398550724637678</v>
      </c>
    </row>
    <row r="17" spans="1:34" ht="1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29">
        <f t="shared" si="3"/>
        <v>4</v>
      </c>
      <c r="Q17" s="30" t="s">
        <v>106</v>
      </c>
      <c r="R17" s="31">
        <v>45677</v>
      </c>
      <c r="S17" s="68"/>
      <c r="T17" s="32">
        <v>4.4539999999999997</v>
      </c>
      <c r="U17" s="38">
        <v>4.0650000000000004</v>
      </c>
      <c r="V17" s="74"/>
      <c r="W17" s="34">
        <f t="shared" si="4"/>
        <v>4.0650000000000004</v>
      </c>
      <c r="X17" s="34">
        <f t="shared" si="0"/>
        <v>0.31559661342323614</v>
      </c>
      <c r="Y17" s="35" t="str">
        <f t="shared" si="5"/>
        <v/>
      </c>
      <c r="Z17" s="36">
        <f t="shared" si="6"/>
        <v>0.91266277503367776</v>
      </c>
      <c r="AA17" s="6"/>
      <c r="AB17" s="37">
        <v>1.1040000000000001</v>
      </c>
      <c r="AC17" s="38">
        <v>1.171</v>
      </c>
      <c r="AD17" s="38"/>
      <c r="AE17" s="34">
        <f t="shared" si="7"/>
        <v>1.171</v>
      </c>
      <c r="AF17" s="34">
        <f t="shared" si="8"/>
        <v>2.1956601266913536E-2</v>
      </c>
      <c r="AG17" s="35" t="str">
        <f t="shared" si="1"/>
        <v/>
      </c>
      <c r="AH17" s="36">
        <f t="shared" si="2"/>
        <v>1.0606884057971013</v>
      </c>
    </row>
    <row r="18" spans="1:34" ht="1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29">
        <f t="shared" si="3"/>
        <v>5</v>
      </c>
      <c r="Q18" s="30" t="s">
        <v>106</v>
      </c>
      <c r="R18" s="31">
        <v>45677</v>
      </c>
      <c r="S18" s="68"/>
      <c r="T18" s="32">
        <v>4.4539999999999997</v>
      </c>
      <c r="U18" s="38">
        <v>3.3170000000000002</v>
      </c>
      <c r="V18" s="74"/>
      <c r="W18" s="34">
        <f t="shared" si="4"/>
        <v>3.3170000000000002</v>
      </c>
      <c r="X18" s="34">
        <f t="shared" si="0"/>
        <v>1.5746806567148774</v>
      </c>
      <c r="Y18" s="35" t="str">
        <f t="shared" si="5"/>
        <v/>
      </c>
      <c r="Z18" s="36">
        <f t="shared" si="6"/>
        <v>0.74472384373596778</v>
      </c>
      <c r="AA18" s="6"/>
      <c r="AB18" s="37">
        <v>1.1040000000000001</v>
      </c>
      <c r="AC18" s="38">
        <v>1.385</v>
      </c>
      <c r="AD18" s="38"/>
      <c r="AE18" s="34">
        <f t="shared" si="7"/>
        <v>1.385</v>
      </c>
      <c r="AF18" s="34">
        <f t="shared" si="8"/>
        <v>1.2607885672870436</v>
      </c>
      <c r="AG18" s="35" t="str">
        <f t="shared" si="1"/>
        <v/>
      </c>
      <c r="AH18" s="36">
        <f t="shared" si="2"/>
        <v>1.2545289855072463</v>
      </c>
    </row>
    <row r="19" spans="1:34" ht="1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29">
        <f t="shared" si="3"/>
        <v>6</v>
      </c>
      <c r="Q19" s="30" t="s">
        <v>106</v>
      </c>
      <c r="R19" s="31">
        <v>45678</v>
      </c>
      <c r="S19" s="68"/>
      <c r="T19" s="32">
        <v>4.4539999999999997</v>
      </c>
      <c r="U19" s="38">
        <v>4.3129999999999997</v>
      </c>
      <c r="V19" s="74"/>
      <c r="W19" s="34">
        <f t="shared" si="4"/>
        <v>4.3129999999999997</v>
      </c>
      <c r="X19" s="34">
        <f t="shared" si="0"/>
        <v>0.10185371109056884</v>
      </c>
      <c r="Y19" s="35" t="str">
        <f t="shared" si="5"/>
        <v/>
      </c>
      <c r="Z19" s="36">
        <f t="shared" si="6"/>
        <v>0.96834306241580603</v>
      </c>
      <c r="AA19" s="6"/>
      <c r="AB19" s="37">
        <v>1.1040000000000001</v>
      </c>
      <c r="AC19" s="38">
        <v>1.264</v>
      </c>
      <c r="AD19" s="38"/>
      <c r="AE19" s="34">
        <f t="shared" si="7"/>
        <v>1.264</v>
      </c>
      <c r="AF19" s="34">
        <f t="shared" si="8"/>
        <v>0.56032750238781104</v>
      </c>
      <c r="AG19" s="35" t="str">
        <f t="shared" si="1"/>
        <v/>
      </c>
      <c r="AH19" s="36">
        <f t="shared" si="2"/>
        <v>1.144927536231884</v>
      </c>
    </row>
    <row r="20" spans="1:34" ht="1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29">
        <f t="shared" si="3"/>
        <v>7</v>
      </c>
      <c r="Q20" s="30" t="s">
        <v>106</v>
      </c>
      <c r="R20" s="31">
        <v>45678</v>
      </c>
      <c r="S20" s="68"/>
      <c r="T20" s="32">
        <v>4.4539999999999997</v>
      </c>
      <c r="U20" s="38">
        <v>4</v>
      </c>
      <c r="V20" s="74"/>
      <c r="W20" s="34">
        <f t="shared" si="4"/>
        <v>4</v>
      </c>
      <c r="X20" s="34">
        <f t="shared" si="0"/>
        <v>0.42500899686435534</v>
      </c>
      <c r="Y20" s="35" t="str">
        <f t="shared" si="5"/>
        <v/>
      </c>
      <c r="Z20" s="36">
        <f t="shared" si="6"/>
        <v>0.89806915132465204</v>
      </c>
      <c r="AA20" s="6"/>
      <c r="AB20" s="37">
        <v>1.1040000000000001</v>
      </c>
      <c r="AC20" s="38">
        <v>1.33</v>
      </c>
      <c r="AD20" s="38"/>
      <c r="AE20" s="34">
        <f t="shared" si="7"/>
        <v>1.33</v>
      </c>
      <c r="AF20" s="34">
        <f t="shared" si="8"/>
        <v>0.94239717415102919</v>
      </c>
      <c r="AG20" s="35" t="str">
        <f t="shared" si="1"/>
        <v/>
      </c>
      <c r="AH20" s="36">
        <f t="shared" si="2"/>
        <v>1.2047101449275361</v>
      </c>
    </row>
    <row r="21" spans="1:34" ht="1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29">
        <f t="shared" si="3"/>
        <v>8</v>
      </c>
      <c r="Q21" s="30" t="s">
        <v>106</v>
      </c>
      <c r="R21" s="31">
        <v>45678</v>
      </c>
      <c r="S21" s="68"/>
      <c r="T21" s="32">
        <v>4.4539999999999997</v>
      </c>
      <c r="U21" s="38">
        <v>4.4729999999999999</v>
      </c>
      <c r="V21" s="74"/>
      <c r="W21" s="34">
        <f t="shared" si="4"/>
        <v>4.4729999999999999</v>
      </c>
      <c r="X21" s="34">
        <f t="shared" si="0"/>
        <v>0.37117650109947625</v>
      </c>
      <c r="Y21" s="35" t="str">
        <f t="shared" si="5"/>
        <v/>
      </c>
      <c r="Z21" s="36">
        <f t="shared" si="6"/>
        <v>1.0042658284687922</v>
      </c>
      <c r="AA21" s="6"/>
      <c r="AB21" s="37">
        <v>1.1040000000000001</v>
      </c>
      <c r="AC21" s="38">
        <v>1.125</v>
      </c>
      <c r="AD21" s="38"/>
      <c r="AE21" s="34">
        <f t="shared" si="7"/>
        <v>1.125</v>
      </c>
      <c r="AF21" s="34">
        <f t="shared" si="8"/>
        <v>0.24433438208320815</v>
      </c>
      <c r="AG21" s="35" t="str">
        <f t="shared" si="1"/>
        <v/>
      </c>
      <c r="AH21" s="36">
        <f t="shared" si="2"/>
        <v>1.0190217391304346</v>
      </c>
    </row>
    <row r="22" spans="1:34" ht="1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29">
        <f t="shared" si="3"/>
        <v>9</v>
      </c>
      <c r="Q22" s="30" t="s">
        <v>106</v>
      </c>
      <c r="R22" s="31">
        <v>45678</v>
      </c>
      <c r="S22" s="68"/>
      <c r="T22" s="32">
        <v>4.4539999999999997</v>
      </c>
      <c r="U22" s="38">
        <v>4.1390000000000002</v>
      </c>
      <c r="V22" s="74"/>
      <c r="W22" s="34">
        <f t="shared" si="4"/>
        <v>4.1390000000000002</v>
      </c>
      <c r="X22" s="34">
        <f t="shared" si="0"/>
        <v>0.19103482304411684</v>
      </c>
      <c r="Y22" s="35" t="str">
        <f t="shared" si="5"/>
        <v/>
      </c>
      <c r="Z22" s="36">
        <f t="shared" si="6"/>
        <v>0.92927705433318375</v>
      </c>
      <c r="AA22" s="6"/>
      <c r="AB22" s="37">
        <v>1.1040000000000001</v>
      </c>
      <c r="AC22" s="38">
        <v>1.175</v>
      </c>
      <c r="AD22" s="38"/>
      <c r="AE22" s="34">
        <f t="shared" si="7"/>
        <v>1.175</v>
      </c>
      <c r="AF22" s="34">
        <f t="shared" si="8"/>
        <v>4.5112338949532815E-2</v>
      </c>
      <c r="AG22" s="35" t="str">
        <f t="shared" si="1"/>
        <v/>
      </c>
      <c r="AH22" s="36">
        <f t="shared" si="2"/>
        <v>1.0643115942028984</v>
      </c>
    </row>
    <row r="23" spans="1:34" ht="1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29">
        <f t="shared" si="3"/>
        <v>10</v>
      </c>
      <c r="Q23" s="30" t="s">
        <v>106</v>
      </c>
      <c r="R23" s="31">
        <v>45678</v>
      </c>
      <c r="S23" s="68"/>
      <c r="T23" s="32">
        <v>4.4539999999999997</v>
      </c>
      <c r="U23" s="38">
        <v>3.9990000000000001</v>
      </c>
      <c r="V23" s="74"/>
      <c r="W23" s="34">
        <f t="shared" si="4"/>
        <v>3.9990000000000001</v>
      </c>
      <c r="X23" s="34">
        <f t="shared" si="0"/>
        <v>0.42669226430191082</v>
      </c>
      <c r="Y23" s="35" t="str">
        <f t="shared" si="5"/>
        <v/>
      </c>
      <c r="Z23" s="36">
        <f t="shared" si="6"/>
        <v>0.89784463403682091</v>
      </c>
      <c r="AA23" s="6"/>
      <c r="AB23" s="37">
        <v>1.1040000000000001</v>
      </c>
      <c r="AC23" s="38">
        <v>1.4890000000000001</v>
      </c>
      <c r="AD23" s="38"/>
      <c r="AE23" s="34">
        <f t="shared" si="7"/>
        <v>1.4890000000000001</v>
      </c>
      <c r="AF23" s="34">
        <f t="shared" si="8"/>
        <v>1.8628377470351447</v>
      </c>
      <c r="AG23" s="35" t="str">
        <f t="shared" si="1"/>
        <v/>
      </c>
      <c r="AH23" s="36">
        <f t="shared" si="2"/>
        <v>1.348731884057971</v>
      </c>
    </row>
    <row r="24" spans="1:34" ht="1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29">
        <f t="shared" si="3"/>
        <v>11</v>
      </c>
      <c r="Q24" s="30" t="s">
        <v>106</v>
      </c>
      <c r="R24" s="31">
        <v>45679</v>
      </c>
      <c r="S24" s="68"/>
      <c r="T24" s="32">
        <v>4.4539999999999997</v>
      </c>
      <c r="U24" s="38">
        <v>4.7729999999999997</v>
      </c>
      <c r="V24" s="74"/>
      <c r="W24" s="34">
        <f t="shared" si="4"/>
        <v>4.7729999999999997</v>
      </c>
      <c r="X24" s="34">
        <f t="shared" si="0"/>
        <v>0.87615673236617686</v>
      </c>
      <c r="Y24" s="35" t="str">
        <f t="shared" si="5"/>
        <v/>
      </c>
      <c r="Z24" s="36">
        <f t="shared" si="6"/>
        <v>1.0716210148181411</v>
      </c>
      <c r="AA24" s="6"/>
      <c r="AB24" s="37">
        <v>1.1040000000000001</v>
      </c>
      <c r="AC24" s="38">
        <v>1.2749999999999999</v>
      </c>
      <c r="AD24" s="38"/>
      <c r="AE24" s="34">
        <f t="shared" si="7"/>
        <v>1.2749999999999999</v>
      </c>
      <c r="AF24" s="34">
        <f t="shared" si="8"/>
        <v>0.62400578101501347</v>
      </c>
      <c r="AG24" s="35" t="str">
        <f t="shared" si="1"/>
        <v/>
      </c>
      <c r="AH24" s="36">
        <f t="shared" si="2"/>
        <v>1.1548913043478259</v>
      </c>
    </row>
    <row r="25" spans="1:34" ht="1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29">
        <f t="shared" si="3"/>
        <v>12</v>
      </c>
      <c r="Q25" s="30" t="s">
        <v>106</v>
      </c>
      <c r="R25" s="31">
        <v>45679</v>
      </c>
      <c r="S25" s="68"/>
      <c r="T25" s="32">
        <v>4.4539999999999997</v>
      </c>
      <c r="U25" s="38">
        <v>4.8120000000000003</v>
      </c>
      <c r="V25" s="74"/>
      <c r="W25" s="34">
        <f t="shared" si="4"/>
        <v>4.8120000000000003</v>
      </c>
      <c r="X25" s="34">
        <f t="shared" si="0"/>
        <v>0.94180416243084897</v>
      </c>
      <c r="Y25" s="35" t="str">
        <f t="shared" si="5"/>
        <v/>
      </c>
      <c r="Z25" s="36">
        <f t="shared" si="6"/>
        <v>1.0803771890435565</v>
      </c>
      <c r="AA25" s="6"/>
      <c r="AB25" s="37">
        <v>1.1040000000000001</v>
      </c>
      <c r="AC25" s="38">
        <v>1.3120000000000001</v>
      </c>
      <c r="AD25" s="38"/>
      <c r="AE25" s="34">
        <f t="shared" si="7"/>
        <v>1.3120000000000001</v>
      </c>
      <c r="AF25" s="34">
        <f t="shared" si="8"/>
        <v>0.83819635457924246</v>
      </c>
      <c r="AG25" s="35" t="str">
        <f t="shared" si="1"/>
        <v/>
      </c>
      <c r="AH25" s="36">
        <f t="shared" si="2"/>
        <v>1.1884057971014492</v>
      </c>
    </row>
    <row r="26" spans="1:34" ht="1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29">
        <f t="shared" si="3"/>
        <v>13</v>
      </c>
      <c r="Q26" s="30" t="s">
        <v>106</v>
      </c>
      <c r="R26" s="31">
        <v>45679</v>
      </c>
      <c r="S26" s="68"/>
      <c r="T26" s="32">
        <v>4.4539999999999997</v>
      </c>
      <c r="U26" s="38">
        <v>4.1639999999999997</v>
      </c>
      <c r="V26" s="74"/>
      <c r="W26" s="34">
        <f t="shared" si="4"/>
        <v>4.1639999999999997</v>
      </c>
      <c r="X26" s="34">
        <f t="shared" si="0"/>
        <v>0.14895313710522598</v>
      </c>
      <c r="Y26" s="35" t="str">
        <f t="shared" si="5"/>
        <v/>
      </c>
      <c r="Z26" s="36">
        <f t="shared" si="6"/>
        <v>0.93488998652896271</v>
      </c>
      <c r="AA26" s="6"/>
      <c r="AB26" s="37">
        <v>1.1040000000000001</v>
      </c>
      <c r="AC26" s="38">
        <v>0.95299999999999996</v>
      </c>
      <c r="AD26" s="38"/>
      <c r="AE26" s="34">
        <f t="shared" si="7"/>
        <v>0.95299999999999996</v>
      </c>
      <c r="AF26" s="34">
        <f t="shared" si="8"/>
        <v>1.2400311024358364</v>
      </c>
      <c r="AG26" s="35" t="str">
        <f t="shared" si="1"/>
        <v/>
      </c>
      <c r="AH26" s="36">
        <f t="shared" si="2"/>
        <v>0.86322463768115931</v>
      </c>
    </row>
    <row r="27" spans="1:34" ht="1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29">
        <f t="shared" si="3"/>
        <v>14</v>
      </c>
      <c r="Q27" s="30" t="s">
        <v>106</v>
      </c>
      <c r="R27" s="31">
        <v>45679</v>
      </c>
      <c r="S27" s="68"/>
      <c r="T27" s="32">
        <v>4.4539999999999997</v>
      </c>
      <c r="U27" s="38">
        <v>4.4260000000000002</v>
      </c>
      <c r="V27" s="74"/>
      <c r="W27" s="34">
        <f t="shared" si="4"/>
        <v>4.4260000000000002</v>
      </c>
      <c r="X27" s="34">
        <f t="shared" si="0"/>
        <v>0.29206293153436025</v>
      </c>
      <c r="Y27" s="35" t="str">
        <f t="shared" si="5"/>
        <v/>
      </c>
      <c r="Z27" s="36">
        <f t="shared" si="6"/>
        <v>0.99371351594072754</v>
      </c>
      <c r="AA27" s="6"/>
      <c r="AB27" s="37">
        <v>1.1040000000000001</v>
      </c>
      <c r="AC27" s="38">
        <v>1.43</v>
      </c>
      <c r="AD27" s="38"/>
      <c r="AE27" s="34">
        <f t="shared" si="7"/>
        <v>1.43</v>
      </c>
      <c r="AF27" s="34">
        <f t="shared" si="8"/>
        <v>1.5212906162165099</v>
      </c>
      <c r="AG27" s="35" t="str">
        <f t="shared" si="1"/>
        <v/>
      </c>
      <c r="AH27" s="36">
        <f t="shared" si="2"/>
        <v>1.2952898550724636</v>
      </c>
    </row>
    <row r="28" spans="1:34" ht="1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29">
        <f t="shared" si="3"/>
        <v>15</v>
      </c>
      <c r="Q28" s="30" t="s">
        <v>106</v>
      </c>
      <c r="R28" s="31">
        <v>45679</v>
      </c>
      <c r="S28" s="68"/>
      <c r="T28" s="32">
        <v>4.4539999999999997</v>
      </c>
      <c r="U28" s="38">
        <v>3.9380000000000002</v>
      </c>
      <c r="V28" s="74"/>
      <c r="W28" s="34">
        <f t="shared" si="4"/>
        <v>3.9380000000000002</v>
      </c>
      <c r="X28" s="34">
        <f t="shared" si="0"/>
        <v>0.52937157799280654</v>
      </c>
      <c r="Y28" s="35" t="str">
        <f t="shared" si="5"/>
        <v/>
      </c>
      <c r="Z28" s="36">
        <f t="shared" si="6"/>
        <v>0.88414907947912003</v>
      </c>
      <c r="AA28" s="6"/>
      <c r="AB28" s="37">
        <v>1.1040000000000001</v>
      </c>
      <c r="AC28" s="38">
        <v>1.4790000000000001</v>
      </c>
      <c r="AD28" s="38"/>
      <c r="AE28" s="34">
        <f t="shared" si="7"/>
        <v>1.4790000000000001</v>
      </c>
      <c r="AF28" s="34">
        <f t="shared" si="8"/>
        <v>1.8049484028285967</v>
      </c>
      <c r="AG28" s="35" t="str">
        <f t="shared" si="1"/>
        <v/>
      </c>
      <c r="AH28" s="36">
        <f t="shared" si="2"/>
        <v>1.3396739130434783</v>
      </c>
    </row>
    <row r="29" spans="1:34" ht="1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 t="s">
        <v>107</v>
      </c>
      <c r="O29" s="8"/>
      <c r="P29" s="29">
        <f t="shared" si="3"/>
        <v>16</v>
      </c>
      <c r="Q29" s="30" t="s">
        <v>106</v>
      </c>
      <c r="R29" s="31">
        <v>45681</v>
      </c>
      <c r="S29" s="68"/>
      <c r="T29" s="32">
        <v>4.4539999999999997</v>
      </c>
      <c r="U29" s="38">
        <v>3.4870000000000001</v>
      </c>
      <c r="V29" s="74"/>
      <c r="W29" s="34">
        <f t="shared" si="4"/>
        <v>3.4870000000000001</v>
      </c>
      <c r="X29" s="34">
        <f t="shared" si="0"/>
        <v>1.2885251923304137</v>
      </c>
      <c r="Y29" s="35" t="str">
        <f t="shared" si="5"/>
        <v/>
      </c>
      <c r="Z29" s="36">
        <f t="shared" si="6"/>
        <v>0.78289178266726545</v>
      </c>
      <c r="AA29" s="6"/>
      <c r="AB29" s="37">
        <v>1.1040000000000001</v>
      </c>
      <c r="AC29" s="38">
        <v>0.94299999999999995</v>
      </c>
      <c r="AD29" s="38"/>
      <c r="AE29" s="34">
        <f t="shared" si="7"/>
        <v>0.94299999999999995</v>
      </c>
      <c r="AF29" s="34">
        <f t="shared" si="8"/>
        <v>1.2979204466423846</v>
      </c>
      <c r="AG29" s="35" t="str">
        <f t="shared" si="1"/>
        <v/>
      </c>
      <c r="AH29" s="36">
        <f t="shared" si="2"/>
        <v>0.85416666666666652</v>
      </c>
    </row>
    <row r="30" spans="1:34" ht="1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29">
        <f t="shared" si="3"/>
        <v>17</v>
      </c>
      <c r="Q30" s="30" t="s">
        <v>106</v>
      </c>
      <c r="R30" s="31">
        <v>45681</v>
      </c>
      <c r="S30" s="68"/>
      <c r="T30" s="32">
        <v>4.4539999999999997</v>
      </c>
      <c r="U30" s="38">
        <v>4.5910000000000002</v>
      </c>
      <c r="V30" s="74"/>
      <c r="W30" s="34">
        <f t="shared" si="4"/>
        <v>4.5910000000000002</v>
      </c>
      <c r="X30" s="34">
        <f t="shared" si="0"/>
        <v>0.56980205873104584</v>
      </c>
      <c r="Y30" s="35" t="str">
        <f t="shared" si="5"/>
        <v/>
      </c>
      <c r="Z30" s="36">
        <f t="shared" si="6"/>
        <v>1.0307588684328695</v>
      </c>
      <c r="AA30" s="6"/>
      <c r="AB30" s="37">
        <v>1.1040000000000001</v>
      </c>
      <c r="AC30" s="38">
        <v>0.86799999999999999</v>
      </c>
      <c r="AD30" s="38"/>
      <c r="AE30" s="34">
        <f t="shared" si="7"/>
        <v>0.86799999999999999</v>
      </c>
      <c r="AF30" s="34">
        <f t="shared" si="8"/>
        <v>1.7320905281914956</v>
      </c>
      <c r="AG30" s="35" t="str">
        <f t="shared" si="1"/>
        <v/>
      </c>
      <c r="AH30" s="36">
        <f t="shared" si="2"/>
        <v>0.78623188405797095</v>
      </c>
    </row>
    <row r="31" spans="1:34" ht="1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29">
        <f t="shared" si="3"/>
        <v>18</v>
      </c>
      <c r="Q31" s="30" t="s">
        <v>106</v>
      </c>
      <c r="R31" s="31">
        <v>45681</v>
      </c>
      <c r="S31" s="68"/>
      <c r="T31" s="32">
        <v>4.4539999999999997</v>
      </c>
      <c r="U31" s="38">
        <v>4.6980000000000004</v>
      </c>
      <c r="V31" s="74"/>
      <c r="W31" s="34">
        <f t="shared" si="4"/>
        <v>4.6980000000000004</v>
      </c>
      <c r="X31" s="34">
        <f t="shared" si="0"/>
        <v>0.7499116745495028</v>
      </c>
      <c r="Y31" s="35" t="str">
        <f t="shared" si="5"/>
        <v/>
      </c>
      <c r="Z31" s="36">
        <f t="shared" si="6"/>
        <v>1.054782218230804</v>
      </c>
      <c r="AA31" s="6"/>
      <c r="AB31" s="37">
        <v>1.1040000000000001</v>
      </c>
      <c r="AC31" s="38">
        <v>1.1339999999999999</v>
      </c>
      <c r="AD31" s="38"/>
      <c r="AE31" s="34">
        <f t="shared" si="7"/>
        <v>1.1339999999999999</v>
      </c>
      <c r="AF31" s="34">
        <f t="shared" si="8"/>
        <v>0.19223397229731543</v>
      </c>
      <c r="AG31" s="35" t="str">
        <f t="shared" si="1"/>
        <v/>
      </c>
      <c r="AH31" s="36">
        <f t="shared" si="2"/>
        <v>1.027173913043478</v>
      </c>
    </row>
    <row r="32" spans="1:34" ht="1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29">
        <f t="shared" si="3"/>
        <v>19</v>
      </c>
      <c r="Q32" s="30" t="s">
        <v>106</v>
      </c>
      <c r="R32" s="31">
        <v>45681</v>
      </c>
      <c r="S32" s="68"/>
      <c r="T32" s="32">
        <v>4.4539999999999997</v>
      </c>
      <c r="U32" s="38">
        <v>4.33</v>
      </c>
      <c r="V32" s="74"/>
      <c r="W32" s="34">
        <f t="shared" si="4"/>
        <v>4.33</v>
      </c>
      <c r="X32" s="34">
        <f t="shared" si="0"/>
        <v>0.13046925752901581</v>
      </c>
      <c r="Y32" s="35" t="str">
        <f t="shared" si="5"/>
        <v/>
      </c>
      <c r="Z32" s="36">
        <f t="shared" si="6"/>
        <v>0.97215985630893587</v>
      </c>
      <c r="AA32" s="6"/>
      <c r="AB32" s="37">
        <v>1.1040000000000001</v>
      </c>
      <c r="AC32" s="38">
        <v>1</v>
      </c>
      <c r="AD32" s="38"/>
      <c r="AE32" s="34">
        <f t="shared" si="7"/>
        <v>1</v>
      </c>
      <c r="AF32" s="34">
        <f t="shared" si="8"/>
        <v>0.96795118466505992</v>
      </c>
      <c r="AG32" s="35" t="str">
        <f t="shared" si="1"/>
        <v/>
      </c>
      <c r="AH32" s="36">
        <f t="shared" si="2"/>
        <v>0.90579710144927528</v>
      </c>
    </row>
    <row r="33" spans="1:34" ht="1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29">
        <f t="shared" si="3"/>
        <v>20</v>
      </c>
      <c r="Q33" s="30" t="s">
        <v>106</v>
      </c>
      <c r="R33" s="31">
        <v>45681</v>
      </c>
      <c r="S33" s="68"/>
      <c r="T33" s="32">
        <v>4.4539999999999997</v>
      </c>
      <c r="U33" s="38">
        <v>3.62</v>
      </c>
      <c r="V33" s="74"/>
      <c r="W33" s="34">
        <f t="shared" si="4"/>
        <v>3.62</v>
      </c>
      <c r="X33" s="34">
        <f t="shared" si="0"/>
        <v>1.0646506231355097</v>
      </c>
      <c r="Y33" s="35" t="str">
        <f t="shared" si="5"/>
        <v/>
      </c>
      <c r="Z33" s="36">
        <f t="shared" si="6"/>
        <v>0.81275258194881017</v>
      </c>
      <c r="AA33" s="6"/>
      <c r="AB33" s="37">
        <v>1.1040000000000001</v>
      </c>
      <c r="AC33" s="38">
        <v>1.19</v>
      </c>
      <c r="AD33" s="38"/>
      <c r="AE33" s="34">
        <f t="shared" si="7"/>
        <v>1.19</v>
      </c>
      <c r="AF33" s="34">
        <f t="shared" si="8"/>
        <v>0.13194635525935447</v>
      </c>
      <c r="AG33" s="35" t="str">
        <f t="shared" si="1"/>
        <v/>
      </c>
      <c r="AH33" s="36">
        <f t="shared" si="2"/>
        <v>1.0778985507246375</v>
      </c>
    </row>
    <row r="34" spans="1:34" ht="1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29">
        <f t="shared" si="3"/>
        <v>21</v>
      </c>
      <c r="Q34" s="30" t="s">
        <v>108</v>
      </c>
      <c r="R34" s="31">
        <v>45743</v>
      </c>
      <c r="S34" s="68"/>
      <c r="T34" s="39">
        <v>4.375</v>
      </c>
      <c r="U34" s="38">
        <v>4.6189999999999998</v>
      </c>
      <c r="V34" s="74"/>
      <c r="W34" s="34">
        <f t="shared" si="4"/>
        <v>4.6189999999999998</v>
      </c>
      <c r="X34" s="34">
        <f t="shared" si="0"/>
        <v>0.61693354698260383</v>
      </c>
      <c r="Y34" s="35" t="str">
        <f t="shared" si="5"/>
        <v/>
      </c>
      <c r="Z34" s="36">
        <f t="shared" si="6"/>
        <v>1.0557714285714286</v>
      </c>
      <c r="AA34" s="6"/>
      <c r="AB34" s="37">
        <v>1.089</v>
      </c>
      <c r="AC34" s="38">
        <v>0.86199999999999999</v>
      </c>
      <c r="AD34" s="38"/>
      <c r="AE34" s="34">
        <f t="shared" si="7"/>
        <v>0.86199999999999999</v>
      </c>
      <c r="AF34" s="34">
        <f t="shared" si="8"/>
        <v>1.7668241347154243</v>
      </c>
      <c r="AG34" s="35" t="str">
        <f t="shared" si="1"/>
        <v/>
      </c>
      <c r="AH34" s="36">
        <f t="shared" si="2"/>
        <v>0.79155188246097341</v>
      </c>
    </row>
    <row r="35" spans="1:34" ht="1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29">
        <f t="shared" si="3"/>
        <v>22</v>
      </c>
      <c r="Q35" s="30" t="s">
        <v>108</v>
      </c>
      <c r="R35" s="31">
        <v>45743</v>
      </c>
      <c r="S35" s="68"/>
      <c r="T35" s="39">
        <v>4.375</v>
      </c>
      <c r="U35" s="38">
        <v>5.1660000000000004</v>
      </c>
      <c r="V35" s="74"/>
      <c r="W35" s="34">
        <f t="shared" si="4"/>
        <v>5.1660000000000004</v>
      </c>
      <c r="X35" s="34">
        <f t="shared" si="0"/>
        <v>1.5376808353255562</v>
      </c>
      <c r="Y35" s="35">
        <f t="shared" si="5"/>
        <v>5.1660000000000004</v>
      </c>
      <c r="Z35" s="36">
        <f t="shared" si="6"/>
        <v>1.1808000000000001</v>
      </c>
      <c r="AA35" s="6"/>
      <c r="AB35" s="37">
        <v>1.089</v>
      </c>
      <c r="AC35" s="38">
        <v>1.2549999999999999</v>
      </c>
      <c r="AD35" s="38"/>
      <c r="AE35" s="34">
        <f t="shared" si="7"/>
        <v>1.2549999999999999</v>
      </c>
      <c r="AF35" s="34">
        <f t="shared" si="8"/>
        <v>0.50822709260191712</v>
      </c>
      <c r="AG35" s="35" t="str">
        <f t="shared" si="1"/>
        <v/>
      </c>
      <c r="AH35" s="36">
        <f t="shared" si="2"/>
        <v>1.1524334251606978</v>
      </c>
    </row>
    <row r="36" spans="1:34" ht="1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29">
        <f t="shared" si="3"/>
        <v>23</v>
      </c>
      <c r="Q36" s="30" t="s">
        <v>108</v>
      </c>
      <c r="R36" s="31">
        <v>45772</v>
      </c>
      <c r="S36" s="68"/>
      <c r="T36" s="39">
        <v>4.375</v>
      </c>
      <c r="U36" s="38">
        <v>4.3970000000000002</v>
      </c>
      <c r="V36" s="74"/>
      <c r="W36" s="34">
        <f t="shared" si="4"/>
        <v>4.3970000000000002</v>
      </c>
      <c r="X36" s="34">
        <f t="shared" si="0"/>
        <v>0.243248175845246</v>
      </c>
      <c r="Y36" s="35" t="str">
        <f t="shared" si="5"/>
        <v/>
      </c>
      <c r="Z36" s="36">
        <f t="shared" si="6"/>
        <v>1.0050285714285714</v>
      </c>
      <c r="AA36" s="6"/>
      <c r="AB36" s="37">
        <v>1.089</v>
      </c>
      <c r="AC36" s="38">
        <v>1.1519999999999999</v>
      </c>
      <c r="AD36" s="38"/>
      <c r="AE36" s="34">
        <f t="shared" si="7"/>
        <v>1.1519999999999999</v>
      </c>
      <c r="AF36" s="34">
        <f t="shared" si="8"/>
        <v>8.8033152725528682E-2</v>
      </c>
      <c r="AG36" s="35" t="str">
        <f t="shared" si="1"/>
        <v/>
      </c>
      <c r="AH36" s="36">
        <f t="shared" si="2"/>
        <v>1.0578512396694215</v>
      </c>
    </row>
    <row r="37" spans="1:34" ht="1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29">
        <f t="shared" si="3"/>
        <v>24</v>
      </c>
      <c r="Q37" s="30" t="s">
        <v>108</v>
      </c>
      <c r="R37" s="31">
        <v>45772</v>
      </c>
      <c r="S37" s="68"/>
      <c r="T37" s="39">
        <v>4.375</v>
      </c>
      <c r="U37" s="38">
        <v>3.74</v>
      </c>
      <c r="V37" s="74"/>
      <c r="W37" s="34">
        <f t="shared" si="4"/>
        <v>3.74</v>
      </c>
      <c r="X37" s="34">
        <f t="shared" si="0"/>
        <v>0.86265853062882913</v>
      </c>
      <c r="Y37" s="35" t="str">
        <f t="shared" si="5"/>
        <v/>
      </c>
      <c r="Z37" s="36">
        <f t="shared" si="6"/>
        <v>0.85485714285714287</v>
      </c>
      <c r="AA37" s="6"/>
      <c r="AB37" s="37">
        <v>1.089</v>
      </c>
      <c r="AC37" s="38">
        <v>1.306</v>
      </c>
      <c r="AD37" s="38"/>
      <c r="AE37" s="34">
        <f t="shared" si="7"/>
        <v>1.306</v>
      </c>
      <c r="AF37" s="34">
        <f t="shared" si="8"/>
        <v>0.80346274805531348</v>
      </c>
      <c r="AG37" s="35" t="str">
        <f t="shared" si="1"/>
        <v/>
      </c>
      <c r="AH37" s="36">
        <f t="shared" si="2"/>
        <v>1.199265381083563</v>
      </c>
    </row>
    <row r="38" spans="1:34" ht="1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29">
        <f t="shared" si="3"/>
        <v>25</v>
      </c>
      <c r="Q38" s="30" t="s">
        <v>108</v>
      </c>
      <c r="R38" s="31">
        <v>45785</v>
      </c>
      <c r="S38" s="68"/>
      <c r="T38" s="39">
        <v>4.375</v>
      </c>
      <c r="U38" s="38">
        <v>3.7078000000000002</v>
      </c>
      <c r="V38" s="74"/>
      <c r="W38" s="34">
        <f t="shared" si="4"/>
        <v>3.7078000000000002</v>
      </c>
      <c r="X38" s="34">
        <f t="shared" si="0"/>
        <v>0.91685974211812171</v>
      </c>
      <c r="Y38" s="35" t="str">
        <f t="shared" si="5"/>
        <v/>
      </c>
      <c r="Z38" s="36">
        <f t="shared" si="6"/>
        <v>0.84749714285714295</v>
      </c>
      <c r="AA38" s="6"/>
      <c r="AB38" s="37">
        <v>1.089</v>
      </c>
      <c r="AC38" s="38">
        <v>1.2002999999999999</v>
      </c>
      <c r="AD38" s="38"/>
      <c r="AE38" s="34">
        <f t="shared" si="7"/>
        <v>1.2002999999999999</v>
      </c>
      <c r="AF38" s="34">
        <f t="shared" si="8"/>
        <v>0.1915723797920989</v>
      </c>
      <c r="AG38" s="35" t="str">
        <f t="shared" si="1"/>
        <v/>
      </c>
      <c r="AH38" s="36">
        <f t="shared" si="2"/>
        <v>1.1022038567493113</v>
      </c>
    </row>
    <row r="39" spans="1:34" ht="1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29">
        <f t="shared" si="3"/>
        <v>26</v>
      </c>
      <c r="Q39" s="30" t="s">
        <v>108</v>
      </c>
      <c r="R39" s="31">
        <v>45785</v>
      </c>
      <c r="S39" s="68"/>
      <c r="T39" s="39">
        <v>4.375</v>
      </c>
      <c r="U39" s="38">
        <v>3.3468</v>
      </c>
      <c r="V39" s="74"/>
      <c r="W39" s="34">
        <f t="shared" si="4"/>
        <v>3.3468</v>
      </c>
      <c r="X39" s="34">
        <f t="shared" si="0"/>
        <v>1.5245192870757189</v>
      </c>
      <c r="Y39" s="35" t="str">
        <f t="shared" si="5"/>
        <v/>
      </c>
      <c r="Z39" s="36">
        <f t="shared" si="6"/>
        <v>0.76498285714285719</v>
      </c>
      <c r="AA39" s="6"/>
      <c r="AB39" s="37">
        <v>1.089</v>
      </c>
      <c r="AC39" s="38">
        <v>1.1534</v>
      </c>
      <c r="AD39" s="38"/>
      <c r="AE39" s="34">
        <f t="shared" si="7"/>
        <v>1.1534</v>
      </c>
      <c r="AF39" s="34">
        <f t="shared" si="8"/>
        <v>7.992864453661154E-2</v>
      </c>
      <c r="AG39" s="35" t="str">
        <f t="shared" si="1"/>
        <v/>
      </c>
      <c r="AH39" s="36">
        <f t="shared" si="2"/>
        <v>1.0591368227731863</v>
      </c>
    </row>
    <row r="40" spans="1:34" ht="1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29">
        <f t="shared" si="3"/>
        <v>27</v>
      </c>
      <c r="Q40" s="30" t="s">
        <v>109</v>
      </c>
      <c r="R40" s="31">
        <v>45793</v>
      </c>
      <c r="S40" s="68"/>
      <c r="T40" s="39">
        <v>4.375</v>
      </c>
      <c r="U40" s="38">
        <v>3.4</v>
      </c>
      <c r="V40" s="74"/>
      <c r="W40" s="34">
        <f t="shared" si="4"/>
        <v>3.4</v>
      </c>
      <c r="X40" s="34">
        <f t="shared" si="0"/>
        <v>1.4349694593977573</v>
      </c>
      <c r="Y40" s="35" t="str">
        <f t="shared" si="5"/>
        <v/>
      </c>
      <c r="Z40" s="36">
        <f t="shared" si="6"/>
        <v>0.77714285714285714</v>
      </c>
      <c r="AA40" s="6"/>
      <c r="AB40" s="37">
        <v>1.089</v>
      </c>
      <c r="AC40" s="38">
        <v>0.91</v>
      </c>
      <c r="AD40" s="38"/>
      <c r="AE40" s="34">
        <f t="shared" si="7"/>
        <v>0.91</v>
      </c>
      <c r="AF40" s="34">
        <f t="shared" si="8"/>
        <v>1.4889552825239931</v>
      </c>
      <c r="AG40" s="35" t="str">
        <f t="shared" si="1"/>
        <v/>
      </c>
      <c r="AH40" s="36">
        <f t="shared" si="2"/>
        <v>0.83562901744719931</v>
      </c>
    </row>
    <row r="41" spans="1:34" ht="1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29">
        <f t="shared" si="3"/>
        <v>28</v>
      </c>
      <c r="Q41" s="30" t="s">
        <v>109</v>
      </c>
      <c r="R41" s="31">
        <v>45793</v>
      </c>
      <c r="S41" s="68"/>
      <c r="T41" s="39">
        <v>4.375</v>
      </c>
      <c r="U41" s="38">
        <v>3.8149999999999999</v>
      </c>
      <c r="V41" s="74"/>
      <c r="W41" s="34">
        <f t="shared" si="4"/>
        <v>3.8149999999999999</v>
      </c>
      <c r="X41" s="34">
        <f t="shared" si="0"/>
        <v>0.7364134728121543</v>
      </c>
      <c r="Y41" s="35" t="str">
        <f t="shared" si="5"/>
        <v/>
      </c>
      <c r="Z41" s="36">
        <f t="shared" si="6"/>
        <v>0.872</v>
      </c>
      <c r="AA41" s="6"/>
      <c r="AB41" s="37">
        <v>1.089</v>
      </c>
      <c r="AC41" s="38">
        <v>1.1559999999999999</v>
      </c>
      <c r="AD41" s="38"/>
      <c r="AE41" s="34">
        <f t="shared" si="7"/>
        <v>1.1559999999999999</v>
      </c>
      <c r="AF41" s="34">
        <f t="shared" si="8"/>
        <v>6.4877415042909392E-2</v>
      </c>
      <c r="AG41" s="35" t="str">
        <f t="shared" si="1"/>
        <v/>
      </c>
      <c r="AH41" s="36">
        <f t="shared" si="2"/>
        <v>1.061524334251607</v>
      </c>
    </row>
    <row r="42" spans="1:34" ht="1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29">
        <f t="shared" si="3"/>
        <v>29</v>
      </c>
      <c r="Q42" s="30" t="s">
        <v>108</v>
      </c>
      <c r="R42" s="31">
        <v>45804</v>
      </c>
      <c r="S42" s="68"/>
      <c r="T42" s="39">
        <v>4.375</v>
      </c>
      <c r="U42" s="38">
        <v>4.6950000000000003</v>
      </c>
      <c r="V42" s="74"/>
      <c r="W42" s="34">
        <f t="shared" si="4"/>
        <v>4.6950000000000003</v>
      </c>
      <c r="X42" s="34">
        <f t="shared" si="0"/>
        <v>0.74486187223683564</v>
      </c>
      <c r="Y42" s="35" t="str">
        <f t="shared" si="5"/>
        <v/>
      </c>
      <c r="Z42" s="36">
        <f t="shared" si="6"/>
        <v>1.0731428571428572</v>
      </c>
      <c r="AA42" s="6"/>
      <c r="AB42" s="37">
        <v>1.089</v>
      </c>
      <c r="AC42" s="38">
        <v>0.98299999999999998</v>
      </c>
      <c r="AD42" s="38"/>
      <c r="AE42" s="34">
        <f t="shared" si="7"/>
        <v>0.98299999999999998</v>
      </c>
      <c r="AF42" s="34">
        <f t="shared" si="8"/>
        <v>1.0663630698161919</v>
      </c>
      <c r="AG42" s="35" t="str">
        <f t="shared" si="1"/>
        <v/>
      </c>
      <c r="AH42" s="36">
        <f t="shared" si="2"/>
        <v>0.90266299357208446</v>
      </c>
    </row>
    <row r="43" spans="1:34" ht="1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29">
        <f t="shared" si="3"/>
        <v>30</v>
      </c>
      <c r="Q43" s="30" t="s">
        <v>108</v>
      </c>
      <c r="R43" s="31">
        <v>45804</v>
      </c>
      <c r="S43" s="68"/>
      <c r="T43" s="39">
        <v>4.375</v>
      </c>
      <c r="U43" s="38">
        <v>4.2050000000000001</v>
      </c>
      <c r="V43" s="74"/>
      <c r="W43" s="34">
        <f t="shared" si="4"/>
        <v>4.2050000000000001</v>
      </c>
      <c r="X43" s="34">
        <f t="shared" si="0"/>
        <v>7.9939172165442898E-2</v>
      </c>
      <c r="Y43" s="35" t="str">
        <f t="shared" si="5"/>
        <v/>
      </c>
      <c r="Z43" s="36">
        <f t="shared" si="6"/>
        <v>0.96114285714285719</v>
      </c>
      <c r="AA43" s="6"/>
      <c r="AB43" s="37">
        <v>1.089</v>
      </c>
      <c r="AC43" s="38">
        <v>1.18</v>
      </c>
      <c r="AD43" s="38"/>
      <c r="AE43" s="34">
        <f t="shared" si="7"/>
        <v>1.18</v>
      </c>
      <c r="AF43" s="34">
        <f t="shared" si="8"/>
        <v>7.4057011052806265E-2</v>
      </c>
      <c r="AG43" s="35" t="str">
        <f t="shared" si="1"/>
        <v/>
      </c>
      <c r="AH43" s="36">
        <f t="shared" si="2"/>
        <v>1.0835629017447199</v>
      </c>
    </row>
    <row r="44" spans="1:34" ht="1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29">
        <f t="shared" si="3"/>
        <v>31</v>
      </c>
      <c r="Q44" s="30" t="s">
        <v>108</v>
      </c>
      <c r="R44" s="31">
        <v>45825</v>
      </c>
      <c r="S44" s="68"/>
      <c r="T44" s="39">
        <v>4.375</v>
      </c>
      <c r="U44" s="38">
        <v>4.2489999999999997</v>
      </c>
      <c r="V44" s="74"/>
      <c r="W44" s="34">
        <f t="shared" si="4"/>
        <v>4.2489999999999997</v>
      </c>
      <c r="X44" s="34">
        <f t="shared" si="0"/>
        <v>5.8754049129941159E-3</v>
      </c>
      <c r="Y44" s="35" t="str">
        <f t="shared" si="5"/>
        <v/>
      </c>
      <c r="Z44" s="36">
        <f t="shared" si="6"/>
        <v>0.97119999999999995</v>
      </c>
      <c r="AA44" s="6"/>
      <c r="AB44" s="37">
        <v>1.089</v>
      </c>
      <c r="AC44" s="38">
        <v>0.85799999999999998</v>
      </c>
      <c r="AD44" s="38"/>
      <c r="AE44" s="34">
        <f t="shared" si="7"/>
        <v>0.85799999999999998</v>
      </c>
      <c r="AF44" s="34">
        <f t="shared" si="8"/>
        <v>1.7899798723980436</v>
      </c>
      <c r="AG44" s="35" t="str">
        <f t="shared" si="1"/>
        <v/>
      </c>
      <c r="AH44" s="36">
        <f t="shared" si="2"/>
        <v>0.78787878787878785</v>
      </c>
    </row>
    <row r="45" spans="1:34" ht="1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29">
        <f t="shared" si="3"/>
        <v>32</v>
      </c>
      <c r="Q45" s="30" t="s">
        <v>108</v>
      </c>
      <c r="R45" s="31">
        <v>45825</v>
      </c>
      <c r="S45" s="68"/>
      <c r="T45" s="39">
        <v>4.375</v>
      </c>
      <c r="U45" s="38">
        <v>4.2930000000000001</v>
      </c>
      <c r="V45" s="74"/>
      <c r="W45" s="34">
        <f t="shared" si="4"/>
        <v>4.2930000000000001</v>
      </c>
      <c r="X45" s="34">
        <f t="shared" si="0"/>
        <v>6.8188362339456174E-2</v>
      </c>
      <c r="Y45" s="35" t="str">
        <f t="shared" si="5"/>
        <v/>
      </c>
      <c r="Z45" s="36">
        <f t="shared" si="6"/>
        <v>0.98125714285714294</v>
      </c>
      <c r="AA45" s="6"/>
      <c r="AB45" s="37">
        <v>1.089</v>
      </c>
      <c r="AC45" s="38">
        <v>1.089</v>
      </c>
      <c r="AD45" s="38"/>
      <c r="AE45" s="34">
        <f t="shared" si="7"/>
        <v>1.089</v>
      </c>
      <c r="AF45" s="34">
        <f t="shared" si="8"/>
        <v>0.45273602122678164</v>
      </c>
      <c r="AG45" s="35" t="str">
        <f t="shared" si="1"/>
        <v/>
      </c>
      <c r="AH45" s="36">
        <f t="shared" si="2"/>
        <v>1</v>
      </c>
    </row>
    <row r="46" spans="1:34" ht="1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29">
        <f t="shared" si="3"/>
        <v>33</v>
      </c>
      <c r="Q46" s="30" t="s">
        <v>108</v>
      </c>
      <c r="R46" s="31">
        <v>45825</v>
      </c>
      <c r="S46" s="68"/>
      <c r="T46" s="39">
        <v>4.375</v>
      </c>
      <c r="U46" s="38">
        <v>4.4420000000000002</v>
      </c>
      <c r="V46" s="74"/>
      <c r="W46" s="34">
        <f t="shared" si="4"/>
        <v>4.4420000000000002</v>
      </c>
      <c r="X46" s="34">
        <f t="shared" si="0"/>
        <v>0.31899521053525098</v>
      </c>
      <c r="Y46" s="35" t="str">
        <f t="shared" si="5"/>
        <v/>
      </c>
      <c r="Z46" s="36">
        <f t="shared" si="6"/>
        <v>1.0153142857142858</v>
      </c>
      <c r="AA46" s="6"/>
      <c r="AB46" s="37">
        <v>1.089</v>
      </c>
      <c r="AC46" s="38">
        <v>1.115</v>
      </c>
      <c r="AD46" s="38"/>
      <c r="AE46" s="34">
        <f t="shared" si="7"/>
        <v>1.115</v>
      </c>
      <c r="AF46" s="34">
        <f t="shared" si="8"/>
        <v>0.30222372628975636</v>
      </c>
      <c r="AG46" s="35" t="str">
        <f t="shared" si="1"/>
        <v/>
      </c>
      <c r="AH46" s="36">
        <f t="shared" si="2"/>
        <v>1.0238751147842058</v>
      </c>
    </row>
    <row r="47" spans="1:34" ht="1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29">
        <f t="shared" si="3"/>
        <v>34</v>
      </c>
      <c r="Q47" s="30" t="s">
        <v>108</v>
      </c>
      <c r="R47" s="31">
        <v>45825</v>
      </c>
      <c r="S47" s="68"/>
      <c r="T47" s="39">
        <v>4.375</v>
      </c>
      <c r="U47" s="38">
        <v>4.2679999999999998</v>
      </c>
      <c r="V47" s="74"/>
      <c r="W47" s="34">
        <f t="shared" si="4"/>
        <v>4.2679999999999998</v>
      </c>
      <c r="X47" s="34">
        <f t="shared" si="0"/>
        <v>2.6106676400563824E-2</v>
      </c>
      <c r="Y47" s="35" t="str">
        <f t="shared" si="5"/>
        <v/>
      </c>
      <c r="Z47" s="36">
        <f t="shared" si="6"/>
        <v>0.97554285714285705</v>
      </c>
      <c r="AA47" s="6"/>
      <c r="AB47" s="37">
        <v>1.089</v>
      </c>
      <c r="AC47" s="38">
        <v>1.0269999999999999</v>
      </c>
      <c r="AD47" s="38"/>
      <c r="AE47" s="34">
        <f t="shared" si="7"/>
        <v>1.0269999999999999</v>
      </c>
      <c r="AF47" s="34">
        <f t="shared" si="8"/>
        <v>0.81164995530738049</v>
      </c>
      <c r="AG47" s="35" t="str">
        <f t="shared" si="1"/>
        <v/>
      </c>
      <c r="AH47" s="36">
        <f t="shared" si="2"/>
        <v>0.94306703397612479</v>
      </c>
    </row>
    <row r="48" spans="1:34" ht="1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29">
        <f t="shared" si="3"/>
        <v>35</v>
      </c>
      <c r="Q48" s="30" t="s">
        <v>106</v>
      </c>
      <c r="R48" s="31">
        <v>45860</v>
      </c>
      <c r="S48" s="68"/>
      <c r="T48" s="39">
        <v>4.375</v>
      </c>
      <c r="U48" s="38">
        <v>4.3630000000000004</v>
      </c>
      <c r="V48" s="74"/>
      <c r="W48" s="34">
        <f t="shared" si="4"/>
        <v>4.3630000000000004</v>
      </c>
      <c r="X48" s="34">
        <f t="shared" si="0"/>
        <v>0.18601708296835354</v>
      </c>
      <c r="Y48" s="35" t="str">
        <f t="shared" si="5"/>
        <v/>
      </c>
      <c r="Z48" s="36">
        <f t="shared" si="6"/>
        <v>0.99725714285714295</v>
      </c>
      <c r="AA48" s="6"/>
      <c r="AB48" s="37">
        <v>1.089</v>
      </c>
      <c r="AC48" s="38">
        <v>1.08</v>
      </c>
      <c r="AD48" s="38"/>
      <c r="AE48" s="34">
        <f t="shared" si="7"/>
        <v>1.08</v>
      </c>
      <c r="AF48" s="34">
        <f t="shared" si="8"/>
        <v>0.50483643101267439</v>
      </c>
      <c r="AG48" s="35" t="str">
        <f t="shared" si="1"/>
        <v/>
      </c>
      <c r="AH48" s="36">
        <f t="shared" si="2"/>
        <v>0.99173553719008278</v>
      </c>
    </row>
    <row r="49" spans="1:34" ht="1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29">
        <f t="shared" si="3"/>
        <v>36</v>
      </c>
      <c r="Q49" s="30" t="s">
        <v>106</v>
      </c>
      <c r="R49" s="31">
        <v>45860</v>
      </c>
      <c r="S49" s="68"/>
      <c r="T49" s="39">
        <v>4.375</v>
      </c>
      <c r="U49" s="38">
        <v>6.0570000000000004</v>
      </c>
      <c r="V49" s="74"/>
      <c r="W49" s="34" t="str">
        <f t="shared" si="4"/>
        <v>FALSE</v>
      </c>
      <c r="X49" s="34">
        <f t="shared" si="0"/>
        <v>3.0374721221876579</v>
      </c>
      <c r="Y49" s="35">
        <f t="shared" si="5"/>
        <v>6.0570000000000004</v>
      </c>
      <c r="Z49" s="36">
        <f t="shared" si="6"/>
        <v>1.3844571428571431</v>
      </c>
      <c r="AA49" s="6"/>
      <c r="AB49" s="37">
        <v>1.089</v>
      </c>
      <c r="AC49" s="38">
        <v>1.0249999999999999</v>
      </c>
      <c r="AD49" s="38"/>
      <c r="AE49" s="34">
        <f t="shared" si="7"/>
        <v>1.0249999999999999</v>
      </c>
      <c r="AF49" s="34">
        <f t="shared" si="8"/>
        <v>0.82322782414869011</v>
      </c>
      <c r="AG49" s="35" t="str">
        <f t="shared" si="1"/>
        <v/>
      </c>
      <c r="AH49" s="36">
        <f t="shared" si="2"/>
        <v>0.94123048668503206</v>
      </c>
    </row>
    <row r="50" spans="1:34" ht="1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29">
        <f t="shared" si="3"/>
        <v>37</v>
      </c>
      <c r="Q50" s="30" t="s">
        <v>106</v>
      </c>
      <c r="R50" s="31">
        <v>45912</v>
      </c>
      <c r="S50" s="68"/>
      <c r="T50" s="39">
        <v>4.375</v>
      </c>
      <c r="U50" s="38">
        <v>3.702</v>
      </c>
      <c r="V50" s="74"/>
      <c r="W50" s="34">
        <f t="shared" si="4"/>
        <v>3.702</v>
      </c>
      <c r="X50" s="34">
        <f t="shared" si="0"/>
        <v>0.92662269325594504</v>
      </c>
      <c r="Y50" s="35" t="str">
        <f t="shared" si="5"/>
        <v/>
      </c>
      <c r="Z50" s="36">
        <f t="shared" si="6"/>
        <v>0.84617142857142857</v>
      </c>
      <c r="AA50" s="6"/>
      <c r="AB50" s="37">
        <v>1.089</v>
      </c>
      <c r="AC50" s="38">
        <v>1.0720000000000001</v>
      </c>
      <c r="AD50" s="38"/>
      <c r="AE50" s="34">
        <f t="shared" si="7"/>
        <v>1.0720000000000001</v>
      </c>
      <c r="AF50" s="34">
        <f t="shared" si="8"/>
        <v>0.55114790637791289</v>
      </c>
      <c r="AG50" s="35" t="str">
        <f t="shared" si="1"/>
        <v/>
      </c>
      <c r="AH50" s="36">
        <f t="shared" si="2"/>
        <v>0.98438934802571176</v>
      </c>
    </row>
    <row r="51" spans="1:34" ht="1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29">
        <f t="shared" si="3"/>
        <v>38</v>
      </c>
      <c r="Q51" s="30" t="s">
        <v>106</v>
      </c>
      <c r="R51" s="31">
        <v>46044</v>
      </c>
      <c r="S51" s="68"/>
      <c r="T51" s="39">
        <v>4.375</v>
      </c>
      <c r="U51" s="38">
        <v>4.1989999999999998</v>
      </c>
      <c r="V51" s="74"/>
      <c r="W51" s="34">
        <f t="shared" si="4"/>
        <v>4.1989999999999998</v>
      </c>
      <c r="X51" s="34">
        <f t="shared" si="0"/>
        <v>9.0038776790777306E-2</v>
      </c>
      <c r="Y51" s="35" t="str">
        <f t="shared" si="5"/>
        <v/>
      </c>
      <c r="Z51" s="36">
        <f t="shared" si="6"/>
        <v>0.9597714285714285</v>
      </c>
      <c r="AA51" s="6"/>
      <c r="AB51" s="37">
        <v>1.089</v>
      </c>
      <c r="AC51" s="38">
        <v>1.351</v>
      </c>
      <c r="AD51" s="38"/>
      <c r="AE51" s="34">
        <f t="shared" si="7"/>
        <v>1.351</v>
      </c>
      <c r="AF51" s="34">
        <f t="shared" si="8"/>
        <v>1.0639647969847796</v>
      </c>
      <c r="AG51" s="35" t="str">
        <f t="shared" si="1"/>
        <v/>
      </c>
      <c r="AH51" s="36">
        <f t="shared" si="2"/>
        <v>1.2405876951331496</v>
      </c>
    </row>
    <row r="52" spans="1:34" ht="1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29">
        <f t="shared" si="3"/>
        <v>39</v>
      </c>
      <c r="Q52" s="30" t="s">
        <v>106</v>
      </c>
      <c r="R52" s="31">
        <v>46044</v>
      </c>
      <c r="S52" s="68"/>
      <c r="T52" s="39">
        <v>4.375</v>
      </c>
      <c r="U52" s="38">
        <v>4.4850000000000003</v>
      </c>
      <c r="V52" s="74"/>
      <c r="W52" s="34">
        <f t="shared" si="4"/>
        <v>4.4850000000000003</v>
      </c>
      <c r="X52" s="34">
        <f t="shared" si="0"/>
        <v>0.39137571035014507</v>
      </c>
      <c r="Y52" s="35" t="str">
        <f t="shared" si="5"/>
        <v/>
      </c>
      <c r="Z52" s="36">
        <f t="shared" si="6"/>
        <v>1.0251428571428571</v>
      </c>
      <c r="AA52" s="6"/>
      <c r="AB52" s="37">
        <v>1.089</v>
      </c>
      <c r="AC52" s="38">
        <v>1.5469999999999999</v>
      </c>
      <c r="AD52" s="38"/>
      <c r="AE52" s="34">
        <f t="shared" si="7"/>
        <v>1.5469999999999999</v>
      </c>
      <c r="AF52" s="34">
        <f t="shared" si="8"/>
        <v>2.1985959434331233</v>
      </c>
      <c r="AG52" s="35">
        <f t="shared" si="1"/>
        <v>1.5469999999999999</v>
      </c>
      <c r="AH52" s="36">
        <f t="shared" si="2"/>
        <v>1.4205693296602386</v>
      </c>
    </row>
    <row r="53" spans="1:34" ht="1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29">
        <f t="shared" si="3"/>
        <v>40</v>
      </c>
      <c r="Q53" s="30" t="s">
        <v>106</v>
      </c>
      <c r="R53" s="31">
        <v>46048</v>
      </c>
      <c r="S53" s="68"/>
      <c r="T53" s="39">
        <v>4.375</v>
      </c>
      <c r="U53" s="38">
        <v>4.12</v>
      </c>
      <c r="V53" s="74"/>
      <c r="W53" s="34">
        <f t="shared" si="4"/>
        <v>4.12</v>
      </c>
      <c r="X53" s="34">
        <f t="shared" si="0"/>
        <v>0.22301690435767477</v>
      </c>
      <c r="Y53" s="35" t="str">
        <f t="shared" si="5"/>
        <v/>
      </c>
      <c r="Z53" s="36">
        <f t="shared" si="6"/>
        <v>0.94171428571428573</v>
      </c>
      <c r="AA53" s="6"/>
      <c r="AB53" s="37">
        <v>1.089</v>
      </c>
      <c r="AC53" s="38">
        <v>1.1499999999999999</v>
      </c>
      <c r="AD53" s="38"/>
      <c r="AE53" s="34">
        <f t="shared" si="7"/>
        <v>1.1499999999999999</v>
      </c>
      <c r="AF53" s="34">
        <f t="shared" si="8"/>
        <v>9.961102156683832E-2</v>
      </c>
      <c r="AG53" s="35" t="str">
        <f t="shared" si="1"/>
        <v/>
      </c>
      <c r="AH53" s="36">
        <f t="shared" si="2"/>
        <v>1.0560146923783287</v>
      </c>
    </row>
    <row r="54" spans="1:34" ht="1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29">
        <f t="shared" si="3"/>
        <v>41</v>
      </c>
      <c r="Q54" s="30" t="s">
        <v>106</v>
      </c>
      <c r="R54" s="31">
        <v>46048</v>
      </c>
      <c r="S54" s="68"/>
      <c r="T54" s="39">
        <v>4.375</v>
      </c>
      <c r="U54" s="38">
        <v>4.4130000000000003</v>
      </c>
      <c r="V54" s="74"/>
      <c r="W54" s="34">
        <f t="shared" si="4"/>
        <v>4.4130000000000003</v>
      </c>
      <c r="X54" s="34">
        <f t="shared" si="0"/>
        <v>0.27018045484613673</v>
      </c>
      <c r="Y54" s="35" t="str">
        <f t="shared" si="5"/>
        <v/>
      </c>
      <c r="Z54" s="36">
        <f t="shared" si="6"/>
        <v>1.0086857142857144</v>
      </c>
      <c r="AA54" s="6"/>
      <c r="AB54" s="37">
        <v>1.089</v>
      </c>
      <c r="AC54" s="38">
        <v>1.3939999999999999</v>
      </c>
      <c r="AD54" s="38"/>
      <c r="AE54" s="34">
        <f t="shared" si="7"/>
        <v>1.3939999999999999</v>
      </c>
      <c r="AF54" s="34">
        <f t="shared" si="8"/>
        <v>1.3128889770729364</v>
      </c>
      <c r="AG54" s="35" t="str">
        <f t="shared" si="1"/>
        <v/>
      </c>
      <c r="AH54" s="36">
        <f t="shared" si="2"/>
        <v>1.2800734618916436</v>
      </c>
    </row>
    <row r="55" spans="1:34" ht="1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29">
        <f t="shared" si="3"/>
        <v>42</v>
      </c>
      <c r="Q55" s="30" t="s">
        <v>106</v>
      </c>
      <c r="R55" s="31">
        <v>46065</v>
      </c>
      <c r="S55" s="68"/>
      <c r="T55" s="40">
        <v>4.38</v>
      </c>
      <c r="U55" s="38">
        <v>6.1360000000000001</v>
      </c>
      <c r="V55" s="74"/>
      <c r="W55" s="34" t="str">
        <f t="shared" si="4"/>
        <v>FALSE</v>
      </c>
      <c r="X55" s="34">
        <f t="shared" si="0"/>
        <v>3.1704502497545555</v>
      </c>
      <c r="Y55" s="35">
        <f t="shared" si="5"/>
        <v>6.1360000000000001</v>
      </c>
      <c r="Z55" s="36">
        <f t="shared" si="6"/>
        <v>1.4009132420091326</v>
      </c>
      <c r="AA55" s="6"/>
      <c r="AB55" s="41">
        <v>1.089</v>
      </c>
      <c r="AC55" s="38">
        <v>1.1919999999999999</v>
      </c>
      <c r="AD55" s="38"/>
      <c r="AE55" s="34">
        <f t="shared" si="7"/>
        <v>1.1919999999999999</v>
      </c>
      <c r="AF55" s="34">
        <f t="shared" si="8"/>
        <v>0.14352422410066409</v>
      </c>
      <c r="AG55" s="35" t="str">
        <f t="shared" si="1"/>
        <v/>
      </c>
      <c r="AH55" s="36">
        <f t="shared" si="2"/>
        <v>1.0945821854912763</v>
      </c>
    </row>
    <row r="56" spans="1:34" ht="1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29" t="str">
        <f t="shared" si="3"/>
        <v/>
      </c>
      <c r="Q56" s="30"/>
      <c r="R56" s="31"/>
      <c r="S56" s="68"/>
      <c r="T56" s="40"/>
      <c r="U56" s="38"/>
      <c r="V56" s="74"/>
      <c r="W56" s="34" t="str">
        <f t="shared" si="4"/>
        <v>FALSE</v>
      </c>
      <c r="X56" s="34" t="str">
        <f t="shared" si="0"/>
        <v>FALSE</v>
      </c>
      <c r="Y56" s="35">
        <f t="shared" si="5"/>
        <v>0</v>
      </c>
      <c r="Z56" s="36" t="str">
        <f t="shared" si="6"/>
        <v/>
      </c>
      <c r="AA56" s="6"/>
      <c r="AB56" s="41"/>
      <c r="AC56" s="38"/>
      <c r="AD56" s="38"/>
      <c r="AE56" s="34" t="str">
        <f t="shared" si="7"/>
        <v>FALSE</v>
      </c>
      <c r="AF56" s="34" t="str">
        <f t="shared" si="8"/>
        <v>FALSE</v>
      </c>
      <c r="AG56" s="35">
        <f t="shared" si="1"/>
        <v>0</v>
      </c>
      <c r="AH56" s="36" t="str">
        <f t="shared" si="2"/>
        <v/>
      </c>
    </row>
    <row r="57" spans="1:34" ht="14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29" t="str">
        <f t="shared" si="3"/>
        <v/>
      </c>
      <c r="Q57" s="30"/>
      <c r="R57" s="31"/>
      <c r="S57" s="68"/>
      <c r="T57" s="40"/>
      <c r="U57" s="38"/>
      <c r="V57" s="74"/>
      <c r="W57" s="34" t="str">
        <f t="shared" si="4"/>
        <v>FALSE</v>
      </c>
      <c r="X57" s="34" t="str">
        <f t="shared" si="0"/>
        <v>FALSE</v>
      </c>
      <c r="Y57" s="35">
        <f t="shared" si="5"/>
        <v>0</v>
      </c>
      <c r="Z57" s="36" t="str">
        <f t="shared" si="6"/>
        <v/>
      </c>
      <c r="AA57" s="42"/>
      <c r="AB57" s="41"/>
      <c r="AC57" s="38"/>
      <c r="AD57" s="38"/>
      <c r="AE57" s="34" t="str">
        <f t="shared" si="7"/>
        <v>FALSE</v>
      </c>
      <c r="AF57" s="34" t="str">
        <f t="shared" si="8"/>
        <v>FALSE</v>
      </c>
      <c r="AG57" s="35">
        <f t="shared" si="1"/>
        <v>0</v>
      </c>
      <c r="AH57" s="36" t="str">
        <f t="shared" si="2"/>
        <v/>
      </c>
    </row>
    <row r="58" spans="1:34" ht="1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29" t="str">
        <f t="shared" si="3"/>
        <v/>
      </c>
      <c r="Q58" s="30"/>
      <c r="R58" s="31"/>
      <c r="S58" s="68"/>
      <c r="T58" s="40"/>
      <c r="U58" s="38"/>
      <c r="V58" s="74"/>
      <c r="W58" s="34" t="str">
        <f t="shared" si="4"/>
        <v>FALSE</v>
      </c>
      <c r="X58" s="34" t="str">
        <f t="shared" si="0"/>
        <v>FALSE</v>
      </c>
      <c r="Y58" s="35">
        <f t="shared" si="5"/>
        <v>0</v>
      </c>
      <c r="Z58" s="36" t="str">
        <f t="shared" si="6"/>
        <v/>
      </c>
      <c r="AA58" s="6"/>
      <c r="AB58" s="41"/>
      <c r="AC58" s="38"/>
      <c r="AD58" s="38"/>
      <c r="AE58" s="34" t="str">
        <f t="shared" si="7"/>
        <v>FALSE</v>
      </c>
      <c r="AF58" s="34" t="str">
        <f t="shared" si="8"/>
        <v>FALSE</v>
      </c>
      <c r="AG58" s="35">
        <f t="shared" si="1"/>
        <v>0</v>
      </c>
      <c r="AH58" s="36" t="str">
        <f t="shared" si="2"/>
        <v/>
      </c>
    </row>
    <row r="59" spans="1:34" ht="1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29" t="str">
        <f t="shared" si="3"/>
        <v/>
      </c>
      <c r="Q59" s="30"/>
      <c r="R59" s="31"/>
      <c r="S59" s="68"/>
      <c r="T59" s="40"/>
      <c r="U59" s="38"/>
      <c r="V59" s="74"/>
      <c r="W59" s="34" t="str">
        <f t="shared" si="4"/>
        <v>FALSE</v>
      </c>
      <c r="X59" s="34" t="str">
        <f t="shared" si="0"/>
        <v>FALSE</v>
      </c>
      <c r="Y59" s="35">
        <f t="shared" si="5"/>
        <v>0</v>
      </c>
      <c r="Z59" s="36" t="str">
        <f t="shared" si="6"/>
        <v/>
      </c>
      <c r="AA59" s="6"/>
      <c r="AB59" s="41"/>
      <c r="AC59" s="38"/>
      <c r="AD59" s="38"/>
      <c r="AE59" s="34" t="str">
        <f t="shared" si="7"/>
        <v>FALSE</v>
      </c>
      <c r="AF59" s="34" t="str">
        <f t="shared" si="8"/>
        <v>FALSE</v>
      </c>
      <c r="AG59" s="35">
        <f t="shared" si="1"/>
        <v>0</v>
      </c>
      <c r="AH59" s="36" t="str">
        <f t="shared" si="2"/>
        <v/>
      </c>
    </row>
    <row r="60" spans="1:34" ht="1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29" t="str">
        <f t="shared" si="3"/>
        <v/>
      </c>
      <c r="Q60" s="30"/>
      <c r="R60" s="31"/>
      <c r="S60" s="68"/>
      <c r="T60" s="40"/>
      <c r="U60" s="38"/>
      <c r="V60" s="74"/>
      <c r="W60" s="34" t="str">
        <f t="shared" si="4"/>
        <v>FALSE</v>
      </c>
      <c r="X60" s="34" t="str">
        <f t="shared" si="0"/>
        <v>FALSE</v>
      </c>
      <c r="Y60" s="35">
        <f t="shared" si="5"/>
        <v>0</v>
      </c>
      <c r="Z60" s="36" t="str">
        <f t="shared" si="6"/>
        <v/>
      </c>
      <c r="AA60" s="6"/>
      <c r="AB60" s="41"/>
      <c r="AC60" s="38"/>
      <c r="AD60" s="38"/>
      <c r="AE60" s="34" t="str">
        <f t="shared" si="7"/>
        <v>FALSE</v>
      </c>
      <c r="AF60" s="34" t="str">
        <f t="shared" si="8"/>
        <v>FALSE</v>
      </c>
      <c r="AG60" s="35">
        <f t="shared" si="1"/>
        <v>0</v>
      </c>
      <c r="AH60" s="36" t="str">
        <f t="shared" si="2"/>
        <v/>
      </c>
    </row>
    <row r="61" spans="1:34" ht="1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29" t="str">
        <f t="shared" si="3"/>
        <v/>
      </c>
      <c r="Q61" s="30"/>
      <c r="R61" s="31"/>
      <c r="S61" s="68"/>
      <c r="T61" s="40"/>
      <c r="U61" s="38"/>
      <c r="V61" s="74"/>
      <c r="W61" s="34" t="str">
        <f t="shared" si="4"/>
        <v>FALSE</v>
      </c>
      <c r="X61" s="34" t="str">
        <f t="shared" si="0"/>
        <v>FALSE</v>
      </c>
      <c r="Y61" s="35">
        <f t="shared" si="5"/>
        <v>0</v>
      </c>
      <c r="Z61" s="36" t="str">
        <f t="shared" si="6"/>
        <v/>
      </c>
      <c r="AA61" s="6"/>
      <c r="AB61" s="41"/>
      <c r="AC61" s="38"/>
      <c r="AD61" s="38"/>
      <c r="AE61" s="34" t="str">
        <f t="shared" si="7"/>
        <v>FALSE</v>
      </c>
      <c r="AF61" s="34" t="str">
        <f t="shared" si="8"/>
        <v>FALSE</v>
      </c>
      <c r="AG61" s="35">
        <f t="shared" si="1"/>
        <v>0</v>
      </c>
      <c r="AH61" s="36" t="str">
        <f t="shared" si="2"/>
        <v/>
      </c>
    </row>
    <row r="62" spans="1:34" ht="1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29" t="str">
        <f t="shared" si="3"/>
        <v/>
      </c>
      <c r="Q62" s="30"/>
      <c r="R62" s="31"/>
      <c r="S62" s="68"/>
      <c r="T62" s="40"/>
      <c r="U62" s="38"/>
      <c r="V62" s="74"/>
      <c r="W62" s="34" t="str">
        <f t="shared" si="4"/>
        <v>FALSE</v>
      </c>
      <c r="X62" s="34" t="str">
        <f t="shared" si="0"/>
        <v>FALSE</v>
      </c>
      <c r="Y62" s="35">
        <f t="shared" si="5"/>
        <v>0</v>
      </c>
      <c r="Z62" s="36" t="str">
        <f t="shared" si="6"/>
        <v/>
      </c>
      <c r="AA62" s="6"/>
      <c r="AB62" s="41"/>
      <c r="AC62" s="38"/>
      <c r="AD62" s="38"/>
      <c r="AE62" s="34"/>
      <c r="AF62" s="34" t="str">
        <f t="shared" si="8"/>
        <v>FALSE</v>
      </c>
      <c r="AG62" s="35">
        <f t="shared" si="1"/>
        <v>0</v>
      </c>
      <c r="AH62" s="36" t="str">
        <f t="shared" si="2"/>
        <v/>
      </c>
    </row>
    <row r="63" spans="1:34" ht="1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29" t="str">
        <f t="shared" si="3"/>
        <v/>
      </c>
      <c r="Q63" s="30"/>
      <c r="R63" s="31"/>
      <c r="S63" s="68"/>
      <c r="T63" s="40"/>
      <c r="U63" s="38"/>
      <c r="V63" s="74"/>
      <c r="W63" s="34" t="str">
        <f t="shared" si="4"/>
        <v>FALSE</v>
      </c>
      <c r="X63" s="34" t="str">
        <f t="shared" si="0"/>
        <v>FALSE</v>
      </c>
      <c r="Y63" s="35">
        <f t="shared" si="5"/>
        <v>0</v>
      </c>
      <c r="Z63" s="36" t="str">
        <f t="shared" si="6"/>
        <v/>
      </c>
      <c r="AA63" s="6"/>
      <c r="AB63" s="41"/>
      <c r="AC63" s="38"/>
      <c r="AD63" s="38"/>
      <c r="AE63" s="34"/>
      <c r="AF63" s="34" t="str">
        <f t="shared" si="8"/>
        <v>FALSE</v>
      </c>
      <c r="AG63" s="35">
        <f t="shared" si="1"/>
        <v>0</v>
      </c>
      <c r="AH63" s="36" t="str">
        <f t="shared" si="2"/>
        <v/>
      </c>
    </row>
    <row r="64" spans="1:34" ht="1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29" t="str">
        <f t="shared" si="3"/>
        <v/>
      </c>
      <c r="Q64" s="30"/>
      <c r="R64" s="31"/>
      <c r="S64" s="68"/>
      <c r="T64" s="40"/>
      <c r="U64" s="38"/>
      <c r="V64" s="74"/>
      <c r="W64" s="34" t="str">
        <f t="shared" si="4"/>
        <v>FALSE</v>
      </c>
      <c r="X64" s="34" t="str">
        <f t="shared" si="0"/>
        <v>FALSE</v>
      </c>
      <c r="Y64" s="35">
        <f t="shared" si="5"/>
        <v>0</v>
      </c>
      <c r="Z64" s="36" t="str">
        <f t="shared" si="6"/>
        <v/>
      </c>
      <c r="AA64" s="6"/>
      <c r="AB64" s="41"/>
      <c r="AC64" s="38"/>
      <c r="AD64" s="38"/>
      <c r="AE64" s="34"/>
      <c r="AF64" s="34" t="str">
        <f t="shared" si="8"/>
        <v>FALSE</v>
      </c>
      <c r="AG64" s="35">
        <f t="shared" si="1"/>
        <v>0</v>
      </c>
      <c r="AH64" s="36" t="str">
        <f t="shared" si="2"/>
        <v/>
      </c>
    </row>
    <row r="65" spans="1:34" ht="1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29" t="str">
        <f t="shared" si="3"/>
        <v/>
      </c>
      <c r="Q65" s="30"/>
      <c r="R65" s="31"/>
      <c r="S65" s="68"/>
      <c r="T65" s="40"/>
      <c r="U65" s="38"/>
      <c r="V65" s="74"/>
      <c r="W65" s="34" t="str">
        <f t="shared" si="4"/>
        <v>FALSE</v>
      </c>
      <c r="X65" s="34" t="str">
        <f t="shared" si="0"/>
        <v>FALSE</v>
      </c>
      <c r="Y65" s="35">
        <f t="shared" si="5"/>
        <v>0</v>
      </c>
      <c r="Z65" s="36" t="str">
        <f t="shared" si="6"/>
        <v/>
      </c>
      <c r="AA65" s="6"/>
      <c r="AB65" s="41"/>
      <c r="AC65" s="38"/>
      <c r="AD65" s="38"/>
      <c r="AE65" s="34"/>
      <c r="AF65" s="34" t="str">
        <f t="shared" si="8"/>
        <v>FALSE</v>
      </c>
      <c r="AG65" s="35">
        <f t="shared" si="1"/>
        <v>0</v>
      </c>
      <c r="AH65" s="36" t="str">
        <f t="shared" si="2"/>
        <v/>
      </c>
    </row>
    <row r="66" spans="1:34" ht="1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29" t="str">
        <f t="shared" si="3"/>
        <v/>
      </c>
      <c r="Q66" s="30"/>
      <c r="R66" s="31"/>
      <c r="S66" s="68"/>
      <c r="T66" s="40"/>
      <c r="U66" s="38"/>
      <c r="V66" s="74"/>
      <c r="W66" s="34" t="str">
        <f t="shared" si="4"/>
        <v>FALSE</v>
      </c>
      <c r="X66" s="34" t="str">
        <f t="shared" si="0"/>
        <v>FALSE</v>
      </c>
      <c r="Y66" s="35">
        <f t="shared" si="5"/>
        <v>0</v>
      </c>
      <c r="Z66" s="36" t="str">
        <f t="shared" si="6"/>
        <v/>
      </c>
      <c r="AA66" s="6"/>
      <c r="AB66" s="41"/>
      <c r="AC66" s="38"/>
      <c r="AD66" s="38"/>
      <c r="AE66" s="34"/>
      <c r="AF66" s="34" t="str">
        <f t="shared" si="8"/>
        <v>FALSE</v>
      </c>
      <c r="AG66" s="35">
        <f t="shared" si="1"/>
        <v>0</v>
      </c>
      <c r="AH66" s="36" t="str">
        <f t="shared" si="2"/>
        <v/>
      </c>
    </row>
    <row r="67" spans="1:34" ht="1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29" t="str">
        <f t="shared" si="3"/>
        <v/>
      </c>
      <c r="Q67" s="30"/>
      <c r="R67" s="31"/>
      <c r="S67" s="68"/>
      <c r="T67" s="40"/>
      <c r="U67" s="38"/>
      <c r="V67" s="74"/>
      <c r="W67" s="34" t="str">
        <f t="shared" si="4"/>
        <v>FALSE</v>
      </c>
      <c r="X67" s="34" t="str">
        <f t="shared" si="0"/>
        <v>FALSE</v>
      </c>
      <c r="Y67" s="35">
        <f t="shared" si="5"/>
        <v>0</v>
      </c>
      <c r="Z67" s="36" t="str">
        <f t="shared" si="6"/>
        <v/>
      </c>
      <c r="AA67" s="6"/>
      <c r="AB67" s="41"/>
      <c r="AC67" s="38"/>
      <c r="AD67" s="38"/>
      <c r="AE67" s="34"/>
      <c r="AF67" s="34" t="str">
        <f t="shared" si="8"/>
        <v>FALSE</v>
      </c>
      <c r="AG67" s="35">
        <f t="shared" si="1"/>
        <v>0</v>
      </c>
      <c r="AH67" s="36" t="str">
        <f t="shared" si="2"/>
        <v/>
      </c>
    </row>
    <row r="68" spans="1:34" ht="1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29" t="str">
        <f t="shared" si="3"/>
        <v/>
      </c>
      <c r="Q68" s="30"/>
      <c r="R68" s="31"/>
      <c r="S68" s="68"/>
      <c r="T68" s="40"/>
      <c r="U68" s="38"/>
      <c r="V68" s="74"/>
      <c r="W68" s="34" t="str">
        <f t="shared" si="4"/>
        <v>FALSE</v>
      </c>
      <c r="X68" s="34" t="str">
        <f t="shared" si="0"/>
        <v>FALSE</v>
      </c>
      <c r="Y68" s="35">
        <f t="shared" si="5"/>
        <v>0</v>
      </c>
      <c r="Z68" s="36" t="str">
        <f t="shared" si="6"/>
        <v/>
      </c>
      <c r="AA68" s="6"/>
      <c r="AB68" s="41"/>
      <c r="AC68" s="38"/>
      <c r="AD68" s="38"/>
      <c r="AE68" s="34"/>
      <c r="AF68" s="34" t="str">
        <f t="shared" si="8"/>
        <v>FALSE</v>
      </c>
      <c r="AG68" s="35">
        <f t="shared" si="1"/>
        <v>0</v>
      </c>
      <c r="AH68" s="36" t="str">
        <f t="shared" si="2"/>
        <v/>
      </c>
    </row>
    <row r="69" spans="1:34" ht="1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29" t="str">
        <f t="shared" si="3"/>
        <v/>
      </c>
      <c r="Q69" s="30"/>
      <c r="R69" s="31"/>
      <c r="S69" s="68"/>
      <c r="T69" s="40"/>
      <c r="U69" s="38"/>
      <c r="V69" s="74"/>
      <c r="W69" s="34" t="str">
        <f t="shared" si="4"/>
        <v>FALSE</v>
      </c>
      <c r="X69" s="34" t="str">
        <f t="shared" si="0"/>
        <v>FALSE</v>
      </c>
      <c r="Y69" s="35">
        <f t="shared" si="5"/>
        <v>0</v>
      </c>
      <c r="Z69" s="36" t="str">
        <f t="shared" si="6"/>
        <v/>
      </c>
      <c r="AA69" s="6"/>
      <c r="AB69" s="41"/>
      <c r="AC69" s="38"/>
      <c r="AD69" s="38"/>
      <c r="AE69" s="34"/>
      <c r="AF69" s="34" t="str">
        <f t="shared" si="8"/>
        <v>FALSE</v>
      </c>
      <c r="AG69" s="35">
        <f t="shared" si="1"/>
        <v>0</v>
      </c>
      <c r="AH69" s="36" t="str">
        <f t="shared" si="2"/>
        <v/>
      </c>
    </row>
    <row r="70" spans="1:34" ht="1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29" t="str">
        <f t="shared" si="3"/>
        <v/>
      </c>
      <c r="Q70" s="30"/>
      <c r="R70" s="31"/>
      <c r="S70" s="68"/>
      <c r="T70" s="40"/>
      <c r="U70" s="38"/>
      <c r="V70" s="74"/>
      <c r="W70" s="34" t="str">
        <f t="shared" si="4"/>
        <v>FALSE</v>
      </c>
      <c r="X70" s="34" t="str">
        <f t="shared" si="0"/>
        <v>FALSE</v>
      </c>
      <c r="Y70" s="35">
        <f t="shared" si="5"/>
        <v>0</v>
      </c>
      <c r="Z70" s="36" t="str">
        <f t="shared" si="6"/>
        <v/>
      </c>
      <c r="AA70" s="6"/>
      <c r="AB70" s="41"/>
      <c r="AC70" s="38"/>
      <c r="AD70" s="38"/>
      <c r="AE70" s="34"/>
      <c r="AF70" s="34" t="str">
        <f t="shared" si="8"/>
        <v>FALSE</v>
      </c>
      <c r="AG70" s="35">
        <f t="shared" si="1"/>
        <v>0</v>
      </c>
      <c r="AH70" s="36" t="str">
        <f t="shared" si="2"/>
        <v/>
      </c>
    </row>
    <row r="71" spans="1:34" ht="1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29" t="str">
        <f t="shared" si="3"/>
        <v/>
      </c>
      <c r="Q71" s="30"/>
      <c r="R71" s="31"/>
      <c r="S71" s="68"/>
      <c r="T71" s="40"/>
      <c r="U71" s="38"/>
      <c r="V71" s="74"/>
      <c r="W71" s="34" t="str">
        <f t="shared" si="4"/>
        <v>FALSE</v>
      </c>
      <c r="X71" s="34" t="str">
        <f t="shared" si="0"/>
        <v>FALSE</v>
      </c>
      <c r="Y71" s="35">
        <f t="shared" si="5"/>
        <v>0</v>
      </c>
      <c r="Z71" s="36" t="str">
        <f t="shared" si="6"/>
        <v/>
      </c>
      <c r="AA71" s="6"/>
      <c r="AB71" s="41"/>
      <c r="AC71" s="38"/>
      <c r="AD71" s="38"/>
      <c r="AE71" s="34"/>
      <c r="AF71" s="34" t="str">
        <f t="shared" si="8"/>
        <v>FALSE</v>
      </c>
      <c r="AG71" s="35">
        <f t="shared" si="1"/>
        <v>0</v>
      </c>
      <c r="AH71" s="36" t="str">
        <f t="shared" si="2"/>
        <v/>
      </c>
    </row>
    <row r="72" spans="1:34" ht="1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29" t="str">
        <f t="shared" si="3"/>
        <v/>
      </c>
      <c r="Q72" s="30"/>
      <c r="R72" s="31"/>
      <c r="S72" s="68"/>
      <c r="T72" s="40"/>
      <c r="U72" s="38"/>
      <c r="V72" s="74"/>
      <c r="W72" s="34" t="str">
        <f t="shared" si="4"/>
        <v>FALSE</v>
      </c>
      <c r="X72" s="34" t="str">
        <f t="shared" si="0"/>
        <v>FALSE</v>
      </c>
      <c r="Y72" s="35">
        <f t="shared" si="5"/>
        <v>0</v>
      </c>
      <c r="Z72" s="36" t="str">
        <f t="shared" si="6"/>
        <v/>
      </c>
      <c r="AA72" s="6"/>
      <c r="AB72" s="41"/>
      <c r="AC72" s="38"/>
      <c r="AD72" s="38"/>
      <c r="AE72" s="34"/>
      <c r="AF72" s="34" t="str">
        <f t="shared" si="8"/>
        <v>FALSE</v>
      </c>
      <c r="AG72" s="35">
        <f t="shared" si="1"/>
        <v>0</v>
      </c>
      <c r="AH72" s="36" t="str">
        <f t="shared" si="2"/>
        <v/>
      </c>
    </row>
    <row r="73" spans="1:34" ht="1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29" t="str">
        <f t="shared" si="3"/>
        <v/>
      </c>
      <c r="Q73" s="30"/>
      <c r="R73" s="31"/>
      <c r="S73" s="68"/>
      <c r="T73" s="40"/>
      <c r="U73" s="38"/>
      <c r="V73" s="74"/>
      <c r="W73" s="34" t="str">
        <f t="shared" si="4"/>
        <v>FALSE</v>
      </c>
      <c r="X73" s="34" t="str">
        <f t="shared" si="0"/>
        <v>FALSE</v>
      </c>
      <c r="Y73" s="35">
        <f t="shared" si="5"/>
        <v>0</v>
      </c>
      <c r="Z73" s="36" t="str">
        <f t="shared" si="6"/>
        <v/>
      </c>
      <c r="AA73" s="6"/>
      <c r="AB73" s="41"/>
      <c r="AC73" s="38"/>
      <c r="AD73" s="38"/>
      <c r="AE73" s="34"/>
      <c r="AF73" s="34" t="str">
        <f t="shared" si="8"/>
        <v>FALSE</v>
      </c>
      <c r="AG73" s="35">
        <f t="shared" si="1"/>
        <v>0</v>
      </c>
      <c r="AH73" s="36" t="str">
        <f t="shared" si="2"/>
        <v/>
      </c>
    </row>
    <row r="74" spans="1:34" ht="1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29" t="str">
        <f t="shared" si="3"/>
        <v/>
      </c>
      <c r="Q74" s="30"/>
      <c r="R74" s="31"/>
      <c r="S74" s="68"/>
      <c r="T74" s="40"/>
      <c r="U74" s="38"/>
      <c r="V74" s="74"/>
      <c r="W74" s="34" t="str">
        <f t="shared" si="4"/>
        <v>FALSE</v>
      </c>
      <c r="X74" s="34" t="str">
        <f t="shared" si="0"/>
        <v>FALSE</v>
      </c>
      <c r="Y74" s="35">
        <f t="shared" si="5"/>
        <v>0</v>
      </c>
      <c r="Z74" s="36" t="str">
        <f t="shared" si="6"/>
        <v/>
      </c>
      <c r="AA74" s="6"/>
      <c r="AB74" s="41"/>
      <c r="AC74" s="38"/>
      <c r="AD74" s="38"/>
      <c r="AE74" s="34"/>
      <c r="AF74" s="34" t="str">
        <f t="shared" si="8"/>
        <v>FALSE</v>
      </c>
      <c r="AG74" s="35">
        <f t="shared" si="1"/>
        <v>0</v>
      </c>
      <c r="AH74" s="36" t="str">
        <f t="shared" si="2"/>
        <v/>
      </c>
    </row>
    <row r="75" spans="1:34" ht="1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29" t="str">
        <f t="shared" si="3"/>
        <v/>
      </c>
      <c r="Q75" s="30"/>
      <c r="R75" s="31"/>
      <c r="S75" s="68"/>
      <c r="T75" s="40"/>
      <c r="U75" s="38"/>
      <c r="V75" s="74"/>
      <c r="W75" s="34" t="str">
        <f t="shared" si="4"/>
        <v>FALSE</v>
      </c>
      <c r="X75" s="34" t="str">
        <f t="shared" si="0"/>
        <v>FALSE</v>
      </c>
      <c r="Y75" s="35">
        <f t="shared" si="5"/>
        <v>0</v>
      </c>
      <c r="Z75" s="36" t="str">
        <f t="shared" si="6"/>
        <v/>
      </c>
      <c r="AA75" s="6"/>
      <c r="AB75" s="41"/>
      <c r="AC75" s="38"/>
      <c r="AD75" s="38"/>
      <c r="AE75" s="34"/>
      <c r="AF75" s="34" t="str">
        <f t="shared" si="8"/>
        <v>FALSE</v>
      </c>
      <c r="AG75" s="35">
        <f t="shared" si="1"/>
        <v>0</v>
      </c>
      <c r="AH75" s="36" t="str">
        <f t="shared" si="2"/>
        <v/>
      </c>
    </row>
    <row r="76" spans="1:34" ht="1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29" t="str">
        <f t="shared" si="3"/>
        <v/>
      </c>
      <c r="Q76" s="30"/>
      <c r="R76" s="31"/>
      <c r="S76" s="68"/>
      <c r="T76" s="40"/>
      <c r="U76" s="38"/>
      <c r="V76" s="74"/>
      <c r="W76" s="34" t="str">
        <f t="shared" si="4"/>
        <v>FALSE</v>
      </c>
      <c r="X76" s="34" t="str">
        <f t="shared" si="0"/>
        <v>FALSE</v>
      </c>
      <c r="Y76" s="35">
        <f t="shared" si="5"/>
        <v>0</v>
      </c>
      <c r="Z76" s="36" t="str">
        <f t="shared" si="6"/>
        <v/>
      </c>
      <c r="AA76" s="6"/>
      <c r="AB76" s="41"/>
      <c r="AC76" s="38"/>
      <c r="AD76" s="38"/>
      <c r="AE76" s="34"/>
      <c r="AF76" s="34" t="str">
        <f t="shared" si="8"/>
        <v>FALSE</v>
      </c>
      <c r="AG76" s="35">
        <f t="shared" si="1"/>
        <v>0</v>
      </c>
      <c r="AH76" s="36" t="str">
        <f t="shared" si="2"/>
        <v/>
      </c>
    </row>
    <row r="77" spans="1:34" ht="1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29" t="str">
        <f t="shared" si="3"/>
        <v/>
      </c>
      <c r="Q77" s="30"/>
      <c r="R77" s="31"/>
      <c r="S77" s="68"/>
      <c r="T77" s="40"/>
      <c r="U77" s="38"/>
      <c r="V77" s="74"/>
      <c r="W77" s="34" t="str">
        <f t="shared" si="4"/>
        <v>FALSE</v>
      </c>
      <c r="X77" s="34" t="str">
        <f t="shared" si="0"/>
        <v>FALSE</v>
      </c>
      <c r="Y77" s="35">
        <f t="shared" si="5"/>
        <v>0</v>
      </c>
      <c r="Z77" s="36" t="str">
        <f t="shared" si="6"/>
        <v/>
      </c>
      <c r="AA77" s="6"/>
      <c r="AB77" s="41"/>
      <c r="AC77" s="38"/>
      <c r="AD77" s="38"/>
      <c r="AE77" s="34"/>
      <c r="AF77" s="34" t="str">
        <f t="shared" si="8"/>
        <v>FALSE</v>
      </c>
      <c r="AG77" s="35">
        <f t="shared" si="1"/>
        <v>0</v>
      </c>
      <c r="AH77" s="36" t="str">
        <f t="shared" si="2"/>
        <v/>
      </c>
    </row>
    <row r="78" spans="1:34" ht="1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29" t="str">
        <f t="shared" si="3"/>
        <v/>
      </c>
      <c r="Q78" s="30"/>
      <c r="R78" s="31"/>
      <c r="S78" s="68"/>
      <c r="T78" s="40"/>
      <c r="U78" s="38"/>
      <c r="V78" s="74"/>
      <c r="W78" s="34" t="str">
        <f t="shared" si="4"/>
        <v>FALSE</v>
      </c>
      <c r="X78" s="34" t="str">
        <f t="shared" ref="X78:X120" si="9">IF(U78="","FALSE",ABS((U78-AVERAGE($U$14:$U$120))/_xlfn.STDEV.S($U$14:$U$104)))</f>
        <v>FALSE</v>
      </c>
      <c r="Y78" s="35">
        <f t="shared" si="5"/>
        <v>0</v>
      </c>
      <c r="Z78" s="36" t="str">
        <f t="shared" si="6"/>
        <v/>
      </c>
      <c r="AA78" s="6"/>
      <c r="AB78" s="41"/>
      <c r="AC78" s="38"/>
      <c r="AD78" s="38"/>
      <c r="AE78" s="34"/>
      <c r="AF78" s="34" t="str">
        <f t="shared" si="8"/>
        <v>FALSE</v>
      </c>
      <c r="AG78" s="35">
        <f t="shared" ref="AG78:AG120" si="10">IF(OR(AC78&gt;$AG$11,AC78&lt;$AF$11),AC78,"")</f>
        <v>0</v>
      </c>
      <c r="AH78" s="36" t="str">
        <f t="shared" ref="AH78:AH120" si="11">IF(AC78="","",AC78/AB78)</f>
        <v/>
      </c>
    </row>
    <row r="79" spans="1:34" ht="1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29" t="str">
        <f t="shared" ref="P79:P120" si="12">IF(R79&lt;&gt;"",P78+1,"")</f>
        <v/>
      </c>
      <c r="Q79" s="30"/>
      <c r="R79" s="31"/>
      <c r="S79" s="68"/>
      <c r="T79" s="40"/>
      <c r="U79" s="38"/>
      <c r="V79" s="74"/>
      <c r="W79" s="34" t="str">
        <f t="shared" ref="W79:W120" si="13">IF(X79&gt;3,"FALSE",U79)</f>
        <v>FALSE</v>
      </c>
      <c r="X79" s="34" t="str">
        <f t="shared" si="9"/>
        <v>FALSE</v>
      </c>
      <c r="Y79" s="35">
        <f t="shared" ref="Y79:Y120" si="14">IF(OR(U79&gt;$Y$11,U79&lt;$X$11),U79,"")</f>
        <v>0</v>
      </c>
      <c r="Z79" s="36" t="str">
        <f t="shared" ref="Z79:Z120" si="15">IF(U79="","",U79/T79)</f>
        <v/>
      </c>
      <c r="AA79" s="6"/>
      <c r="AB79" s="41"/>
      <c r="AC79" s="38"/>
      <c r="AD79" s="38"/>
      <c r="AE79" s="34"/>
      <c r="AF79" s="34" t="str">
        <f t="shared" ref="AF79:AF120" si="16">IF(AC79="","FALSE",ABS((AC79-AVERAGE($AC$14:$AC$120))/_xlfn.STDEV.S($AC$14:$AC$104)))</f>
        <v>FALSE</v>
      </c>
      <c r="AG79" s="35">
        <f t="shared" si="10"/>
        <v>0</v>
      </c>
      <c r="AH79" s="36" t="str">
        <f t="shared" si="11"/>
        <v/>
      </c>
    </row>
    <row r="80" spans="1:34" ht="1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29" t="str">
        <f t="shared" si="12"/>
        <v/>
      </c>
      <c r="Q80" s="30"/>
      <c r="R80" s="31"/>
      <c r="S80" s="68"/>
      <c r="T80" s="40"/>
      <c r="U80" s="38"/>
      <c r="V80" s="74"/>
      <c r="W80" s="34" t="str">
        <f t="shared" si="13"/>
        <v>FALSE</v>
      </c>
      <c r="X80" s="34" t="str">
        <f t="shared" si="9"/>
        <v>FALSE</v>
      </c>
      <c r="Y80" s="35">
        <f t="shared" si="14"/>
        <v>0</v>
      </c>
      <c r="Z80" s="36" t="str">
        <f t="shared" si="15"/>
        <v/>
      </c>
      <c r="AA80" s="6"/>
      <c r="AB80" s="41"/>
      <c r="AC80" s="38"/>
      <c r="AD80" s="38"/>
      <c r="AE80" s="34"/>
      <c r="AF80" s="34" t="str">
        <f t="shared" si="16"/>
        <v>FALSE</v>
      </c>
      <c r="AG80" s="35">
        <f t="shared" si="10"/>
        <v>0</v>
      </c>
      <c r="AH80" s="36" t="str">
        <f t="shared" si="11"/>
        <v/>
      </c>
    </row>
    <row r="81" spans="1:34" ht="1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29" t="str">
        <f t="shared" si="12"/>
        <v/>
      </c>
      <c r="Q81" s="30"/>
      <c r="R81" s="31"/>
      <c r="S81" s="68"/>
      <c r="T81" s="40"/>
      <c r="U81" s="38"/>
      <c r="V81" s="74"/>
      <c r="W81" s="34" t="str">
        <f t="shared" si="13"/>
        <v>FALSE</v>
      </c>
      <c r="X81" s="34" t="str">
        <f t="shared" si="9"/>
        <v>FALSE</v>
      </c>
      <c r="Y81" s="35">
        <f t="shared" si="14"/>
        <v>0</v>
      </c>
      <c r="Z81" s="36" t="str">
        <f t="shared" si="15"/>
        <v/>
      </c>
      <c r="AA81" s="6"/>
      <c r="AB81" s="41"/>
      <c r="AC81" s="38"/>
      <c r="AD81" s="38"/>
      <c r="AE81" s="34"/>
      <c r="AF81" s="34" t="str">
        <f t="shared" si="16"/>
        <v>FALSE</v>
      </c>
      <c r="AG81" s="35">
        <f t="shared" si="10"/>
        <v>0</v>
      </c>
      <c r="AH81" s="36" t="str">
        <f t="shared" si="11"/>
        <v/>
      </c>
    </row>
    <row r="82" spans="1:34" ht="1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29" t="str">
        <f t="shared" si="12"/>
        <v/>
      </c>
      <c r="Q82" s="30"/>
      <c r="R82" s="31"/>
      <c r="S82" s="68"/>
      <c r="T82" s="40"/>
      <c r="U82" s="38"/>
      <c r="V82" s="74"/>
      <c r="W82" s="34" t="str">
        <f t="shared" si="13"/>
        <v>FALSE</v>
      </c>
      <c r="X82" s="34" t="str">
        <f t="shared" si="9"/>
        <v>FALSE</v>
      </c>
      <c r="Y82" s="35">
        <f t="shared" si="14"/>
        <v>0</v>
      </c>
      <c r="Z82" s="36" t="str">
        <f t="shared" si="15"/>
        <v/>
      </c>
      <c r="AA82" s="6"/>
      <c r="AB82" s="41"/>
      <c r="AC82" s="38"/>
      <c r="AD82" s="38"/>
      <c r="AE82" s="34"/>
      <c r="AF82" s="34" t="str">
        <f t="shared" si="16"/>
        <v>FALSE</v>
      </c>
      <c r="AG82" s="35">
        <f t="shared" si="10"/>
        <v>0</v>
      </c>
      <c r="AH82" s="36" t="str">
        <f t="shared" si="11"/>
        <v/>
      </c>
    </row>
    <row r="83" spans="1:34" ht="1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29" t="str">
        <f t="shared" si="12"/>
        <v/>
      </c>
      <c r="Q83" s="30"/>
      <c r="R83" s="31"/>
      <c r="S83" s="68"/>
      <c r="T83" s="40"/>
      <c r="U83" s="38"/>
      <c r="V83" s="74"/>
      <c r="W83" s="34" t="str">
        <f t="shared" si="13"/>
        <v>FALSE</v>
      </c>
      <c r="X83" s="34" t="str">
        <f t="shared" si="9"/>
        <v>FALSE</v>
      </c>
      <c r="Y83" s="35">
        <f t="shared" si="14"/>
        <v>0</v>
      </c>
      <c r="Z83" s="36" t="str">
        <f t="shared" si="15"/>
        <v/>
      </c>
      <c r="AA83" s="6"/>
      <c r="AB83" s="41"/>
      <c r="AC83" s="38"/>
      <c r="AD83" s="38"/>
      <c r="AE83" s="34"/>
      <c r="AF83" s="34" t="str">
        <f t="shared" si="16"/>
        <v>FALSE</v>
      </c>
      <c r="AG83" s="35">
        <f t="shared" si="10"/>
        <v>0</v>
      </c>
      <c r="AH83" s="36" t="str">
        <f t="shared" si="11"/>
        <v/>
      </c>
    </row>
    <row r="84" spans="1:34" ht="1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29" t="str">
        <f t="shared" si="12"/>
        <v/>
      </c>
      <c r="Q84" s="30"/>
      <c r="R84" s="31"/>
      <c r="S84" s="68"/>
      <c r="T84" s="40"/>
      <c r="U84" s="38"/>
      <c r="V84" s="74"/>
      <c r="W84" s="34" t="str">
        <f t="shared" si="13"/>
        <v>FALSE</v>
      </c>
      <c r="X84" s="34" t="str">
        <f t="shared" si="9"/>
        <v>FALSE</v>
      </c>
      <c r="Y84" s="35">
        <f t="shared" si="14"/>
        <v>0</v>
      </c>
      <c r="Z84" s="36" t="str">
        <f t="shared" si="15"/>
        <v/>
      </c>
      <c r="AA84" s="6"/>
      <c r="AB84" s="41"/>
      <c r="AC84" s="38"/>
      <c r="AD84" s="38"/>
      <c r="AE84" s="34"/>
      <c r="AF84" s="34" t="str">
        <f t="shared" si="16"/>
        <v>FALSE</v>
      </c>
      <c r="AG84" s="35">
        <f t="shared" si="10"/>
        <v>0</v>
      </c>
      <c r="AH84" s="36" t="str">
        <f t="shared" si="11"/>
        <v/>
      </c>
    </row>
    <row r="85" spans="1:34" ht="1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29" t="str">
        <f t="shared" si="12"/>
        <v/>
      </c>
      <c r="Q85" s="30"/>
      <c r="R85" s="31"/>
      <c r="S85" s="68"/>
      <c r="T85" s="40"/>
      <c r="U85" s="38"/>
      <c r="V85" s="74"/>
      <c r="W85" s="34" t="str">
        <f t="shared" si="13"/>
        <v>FALSE</v>
      </c>
      <c r="X85" s="34" t="str">
        <f t="shared" si="9"/>
        <v>FALSE</v>
      </c>
      <c r="Y85" s="35">
        <f t="shared" si="14"/>
        <v>0</v>
      </c>
      <c r="Z85" s="36" t="str">
        <f t="shared" si="15"/>
        <v/>
      </c>
      <c r="AA85" s="6"/>
      <c r="AB85" s="41"/>
      <c r="AC85" s="38"/>
      <c r="AD85" s="38"/>
      <c r="AE85" s="34"/>
      <c r="AF85" s="34" t="str">
        <f t="shared" si="16"/>
        <v>FALSE</v>
      </c>
      <c r="AG85" s="35">
        <f t="shared" si="10"/>
        <v>0</v>
      </c>
      <c r="AH85" s="36" t="str">
        <f t="shared" si="11"/>
        <v/>
      </c>
    </row>
    <row r="86" spans="1:34" ht="1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29" t="str">
        <f t="shared" si="12"/>
        <v/>
      </c>
      <c r="Q86" s="30"/>
      <c r="R86" s="31"/>
      <c r="S86" s="68"/>
      <c r="T86" s="40"/>
      <c r="U86" s="38"/>
      <c r="V86" s="74"/>
      <c r="W86" s="34" t="str">
        <f t="shared" si="13"/>
        <v>FALSE</v>
      </c>
      <c r="X86" s="34" t="str">
        <f t="shared" si="9"/>
        <v>FALSE</v>
      </c>
      <c r="Y86" s="35">
        <f t="shared" si="14"/>
        <v>0</v>
      </c>
      <c r="Z86" s="36" t="str">
        <f t="shared" si="15"/>
        <v/>
      </c>
      <c r="AA86" s="6"/>
      <c r="AB86" s="41"/>
      <c r="AC86" s="38"/>
      <c r="AD86" s="38"/>
      <c r="AE86" s="34"/>
      <c r="AF86" s="34" t="str">
        <f t="shared" si="16"/>
        <v>FALSE</v>
      </c>
      <c r="AG86" s="35">
        <f t="shared" si="10"/>
        <v>0</v>
      </c>
      <c r="AH86" s="36" t="str">
        <f t="shared" si="11"/>
        <v/>
      </c>
    </row>
    <row r="87" spans="1:34" ht="1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29" t="str">
        <f t="shared" si="12"/>
        <v/>
      </c>
      <c r="Q87" s="30"/>
      <c r="R87" s="31"/>
      <c r="S87" s="68"/>
      <c r="T87" s="40"/>
      <c r="U87" s="38"/>
      <c r="V87" s="74"/>
      <c r="W87" s="34" t="str">
        <f t="shared" si="13"/>
        <v>FALSE</v>
      </c>
      <c r="X87" s="34" t="str">
        <f t="shared" si="9"/>
        <v>FALSE</v>
      </c>
      <c r="Y87" s="35">
        <f t="shared" si="14"/>
        <v>0</v>
      </c>
      <c r="Z87" s="36" t="str">
        <f t="shared" si="15"/>
        <v/>
      </c>
      <c r="AA87" s="6"/>
      <c r="AB87" s="41"/>
      <c r="AC87" s="38"/>
      <c r="AD87" s="38"/>
      <c r="AE87" s="34"/>
      <c r="AF87" s="34" t="str">
        <f t="shared" si="16"/>
        <v>FALSE</v>
      </c>
      <c r="AG87" s="35">
        <f t="shared" si="10"/>
        <v>0</v>
      </c>
      <c r="AH87" s="36" t="str">
        <f t="shared" si="11"/>
        <v/>
      </c>
    </row>
    <row r="88" spans="1:34" ht="1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29" t="str">
        <f t="shared" si="12"/>
        <v/>
      </c>
      <c r="Q88" s="30"/>
      <c r="R88" s="31"/>
      <c r="S88" s="68"/>
      <c r="T88" s="40"/>
      <c r="U88" s="38"/>
      <c r="V88" s="74"/>
      <c r="W88" s="34" t="str">
        <f t="shared" si="13"/>
        <v>FALSE</v>
      </c>
      <c r="X88" s="34" t="str">
        <f t="shared" si="9"/>
        <v>FALSE</v>
      </c>
      <c r="Y88" s="35">
        <f t="shared" si="14"/>
        <v>0</v>
      </c>
      <c r="Z88" s="36" t="str">
        <f t="shared" si="15"/>
        <v/>
      </c>
      <c r="AA88" s="6"/>
      <c r="AB88" s="41"/>
      <c r="AC88" s="38"/>
      <c r="AD88" s="38"/>
      <c r="AE88" s="34"/>
      <c r="AF88" s="34" t="str">
        <f t="shared" si="16"/>
        <v>FALSE</v>
      </c>
      <c r="AG88" s="35">
        <f t="shared" si="10"/>
        <v>0</v>
      </c>
      <c r="AH88" s="36" t="str">
        <f t="shared" si="11"/>
        <v/>
      </c>
    </row>
    <row r="89" spans="1:34" ht="1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29" t="str">
        <f t="shared" si="12"/>
        <v/>
      </c>
      <c r="Q89" s="30"/>
      <c r="R89" s="31"/>
      <c r="S89" s="68"/>
      <c r="T89" s="40"/>
      <c r="U89" s="38"/>
      <c r="V89" s="74"/>
      <c r="W89" s="34" t="str">
        <f t="shared" si="13"/>
        <v>FALSE</v>
      </c>
      <c r="X89" s="34" t="str">
        <f t="shared" si="9"/>
        <v>FALSE</v>
      </c>
      <c r="Y89" s="35">
        <f t="shared" si="14"/>
        <v>0</v>
      </c>
      <c r="Z89" s="36" t="str">
        <f t="shared" si="15"/>
        <v/>
      </c>
      <c r="AA89" s="6"/>
      <c r="AB89" s="41"/>
      <c r="AC89" s="38"/>
      <c r="AD89" s="38"/>
      <c r="AE89" s="34"/>
      <c r="AF89" s="34" t="str">
        <f t="shared" si="16"/>
        <v>FALSE</v>
      </c>
      <c r="AG89" s="35">
        <f t="shared" si="10"/>
        <v>0</v>
      </c>
      <c r="AH89" s="36" t="str">
        <f t="shared" si="11"/>
        <v/>
      </c>
    </row>
    <row r="90" spans="1:34" ht="1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29" t="str">
        <f t="shared" si="12"/>
        <v/>
      </c>
      <c r="Q90" s="30"/>
      <c r="R90" s="31"/>
      <c r="S90" s="68"/>
      <c r="T90" s="40"/>
      <c r="U90" s="38"/>
      <c r="V90" s="74"/>
      <c r="W90" s="34" t="str">
        <f t="shared" si="13"/>
        <v>FALSE</v>
      </c>
      <c r="X90" s="34" t="str">
        <f t="shared" si="9"/>
        <v>FALSE</v>
      </c>
      <c r="Y90" s="35">
        <f t="shared" si="14"/>
        <v>0</v>
      </c>
      <c r="Z90" s="36" t="str">
        <f t="shared" si="15"/>
        <v/>
      </c>
      <c r="AA90" s="6"/>
      <c r="AB90" s="41"/>
      <c r="AC90" s="38"/>
      <c r="AD90" s="38"/>
      <c r="AE90" s="34"/>
      <c r="AF90" s="34" t="str">
        <f t="shared" si="16"/>
        <v>FALSE</v>
      </c>
      <c r="AG90" s="35">
        <f t="shared" si="10"/>
        <v>0</v>
      </c>
      <c r="AH90" s="36" t="str">
        <f t="shared" si="11"/>
        <v/>
      </c>
    </row>
    <row r="91" spans="1:34" ht="1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29" t="str">
        <f t="shared" si="12"/>
        <v/>
      </c>
      <c r="Q91" s="30"/>
      <c r="R91" s="31"/>
      <c r="S91" s="68"/>
      <c r="T91" s="40"/>
      <c r="U91" s="38"/>
      <c r="V91" s="74"/>
      <c r="W91" s="34" t="str">
        <f t="shared" si="13"/>
        <v>FALSE</v>
      </c>
      <c r="X91" s="34" t="str">
        <f t="shared" si="9"/>
        <v>FALSE</v>
      </c>
      <c r="Y91" s="35">
        <f t="shared" si="14"/>
        <v>0</v>
      </c>
      <c r="Z91" s="36" t="str">
        <f t="shared" si="15"/>
        <v/>
      </c>
      <c r="AA91" s="6"/>
      <c r="AB91" s="41"/>
      <c r="AC91" s="38"/>
      <c r="AD91" s="38"/>
      <c r="AE91" s="34"/>
      <c r="AF91" s="34" t="str">
        <f t="shared" si="16"/>
        <v>FALSE</v>
      </c>
      <c r="AG91" s="35">
        <f t="shared" si="10"/>
        <v>0</v>
      </c>
      <c r="AH91" s="36" t="str">
        <f t="shared" si="11"/>
        <v/>
      </c>
    </row>
    <row r="92" spans="1:34" ht="1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29" t="str">
        <f t="shared" si="12"/>
        <v/>
      </c>
      <c r="Q92" s="30"/>
      <c r="R92" s="31"/>
      <c r="S92" s="68"/>
      <c r="T92" s="40"/>
      <c r="U92" s="38"/>
      <c r="V92" s="74"/>
      <c r="W92" s="34" t="str">
        <f t="shared" si="13"/>
        <v>FALSE</v>
      </c>
      <c r="X92" s="34" t="str">
        <f t="shared" si="9"/>
        <v>FALSE</v>
      </c>
      <c r="Y92" s="35">
        <f t="shared" si="14"/>
        <v>0</v>
      </c>
      <c r="Z92" s="36" t="str">
        <f t="shared" si="15"/>
        <v/>
      </c>
      <c r="AA92" s="6"/>
      <c r="AB92" s="41"/>
      <c r="AC92" s="38"/>
      <c r="AD92" s="38"/>
      <c r="AE92" s="34"/>
      <c r="AF92" s="34" t="str">
        <f t="shared" si="16"/>
        <v>FALSE</v>
      </c>
      <c r="AG92" s="35">
        <f t="shared" si="10"/>
        <v>0</v>
      </c>
      <c r="AH92" s="36" t="str">
        <f t="shared" si="11"/>
        <v/>
      </c>
    </row>
    <row r="93" spans="1:34" ht="1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29" t="str">
        <f t="shared" si="12"/>
        <v/>
      </c>
      <c r="Q93" s="30"/>
      <c r="R93" s="31"/>
      <c r="S93" s="68"/>
      <c r="T93" s="40"/>
      <c r="U93" s="38"/>
      <c r="V93" s="74"/>
      <c r="W93" s="34" t="str">
        <f t="shared" si="13"/>
        <v>FALSE</v>
      </c>
      <c r="X93" s="34" t="str">
        <f t="shared" si="9"/>
        <v>FALSE</v>
      </c>
      <c r="Y93" s="35">
        <f t="shared" si="14"/>
        <v>0</v>
      </c>
      <c r="Z93" s="36" t="str">
        <f t="shared" si="15"/>
        <v/>
      </c>
      <c r="AA93" s="6"/>
      <c r="AB93" s="41"/>
      <c r="AC93" s="38"/>
      <c r="AD93" s="38"/>
      <c r="AE93" s="34"/>
      <c r="AF93" s="34" t="str">
        <f t="shared" si="16"/>
        <v>FALSE</v>
      </c>
      <c r="AG93" s="35">
        <f t="shared" si="10"/>
        <v>0</v>
      </c>
      <c r="AH93" s="36" t="str">
        <f t="shared" si="11"/>
        <v/>
      </c>
    </row>
    <row r="94" spans="1:34" ht="1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29" t="str">
        <f t="shared" si="12"/>
        <v/>
      </c>
      <c r="Q94" s="30"/>
      <c r="R94" s="31"/>
      <c r="S94" s="68"/>
      <c r="T94" s="40"/>
      <c r="U94" s="38"/>
      <c r="V94" s="74"/>
      <c r="W94" s="34" t="str">
        <f t="shared" si="13"/>
        <v>FALSE</v>
      </c>
      <c r="X94" s="34" t="str">
        <f t="shared" si="9"/>
        <v>FALSE</v>
      </c>
      <c r="Y94" s="35">
        <f t="shared" si="14"/>
        <v>0</v>
      </c>
      <c r="Z94" s="36" t="str">
        <f t="shared" si="15"/>
        <v/>
      </c>
      <c r="AA94" s="6"/>
      <c r="AB94" s="41"/>
      <c r="AC94" s="38"/>
      <c r="AD94" s="38"/>
      <c r="AE94" s="34"/>
      <c r="AF94" s="34" t="str">
        <f t="shared" si="16"/>
        <v>FALSE</v>
      </c>
      <c r="AG94" s="35">
        <f t="shared" si="10"/>
        <v>0</v>
      </c>
      <c r="AH94" s="36" t="str">
        <f t="shared" si="11"/>
        <v/>
      </c>
    </row>
    <row r="95" spans="1:34" ht="1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29" t="str">
        <f t="shared" si="12"/>
        <v/>
      </c>
      <c r="Q95" s="30"/>
      <c r="R95" s="31"/>
      <c r="S95" s="68"/>
      <c r="T95" s="40"/>
      <c r="U95" s="38"/>
      <c r="V95" s="74"/>
      <c r="W95" s="34" t="str">
        <f t="shared" si="13"/>
        <v>FALSE</v>
      </c>
      <c r="X95" s="34" t="str">
        <f t="shared" si="9"/>
        <v>FALSE</v>
      </c>
      <c r="Y95" s="35">
        <f t="shared" si="14"/>
        <v>0</v>
      </c>
      <c r="Z95" s="36" t="str">
        <f t="shared" si="15"/>
        <v/>
      </c>
      <c r="AA95" s="6"/>
      <c r="AB95" s="41"/>
      <c r="AC95" s="38"/>
      <c r="AD95" s="38"/>
      <c r="AE95" s="34"/>
      <c r="AF95" s="34" t="str">
        <f t="shared" si="16"/>
        <v>FALSE</v>
      </c>
      <c r="AG95" s="35">
        <f t="shared" si="10"/>
        <v>0</v>
      </c>
      <c r="AH95" s="36" t="str">
        <f t="shared" si="11"/>
        <v/>
      </c>
    </row>
    <row r="96" spans="1:34" ht="1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29" t="str">
        <f t="shared" si="12"/>
        <v/>
      </c>
      <c r="Q96" s="30"/>
      <c r="R96" s="31"/>
      <c r="S96" s="68"/>
      <c r="T96" s="40"/>
      <c r="U96" s="38"/>
      <c r="V96" s="74"/>
      <c r="W96" s="34" t="str">
        <f t="shared" si="13"/>
        <v>FALSE</v>
      </c>
      <c r="X96" s="34" t="str">
        <f t="shared" si="9"/>
        <v>FALSE</v>
      </c>
      <c r="Y96" s="35">
        <f t="shared" si="14"/>
        <v>0</v>
      </c>
      <c r="Z96" s="36" t="str">
        <f t="shared" si="15"/>
        <v/>
      </c>
      <c r="AA96" s="6"/>
      <c r="AB96" s="41"/>
      <c r="AC96" s="38"/>
      <c r="AD96" s="38"/>
      <c r="AE96" s="34"/>
      <c r="AF96" s="34" t="str">
        <f t="shared" si="16"/>
        <v>FALSE</v>
      </c>
      <c r="AG96" s="35">
        <f t="shared" si="10"/>
        <v>0</v>
      </c>
      <c r="AH96" s="36" t="str">
        <f t="shared" si="11"/>
        <v/>
      </c>
    </row>
    <row r="97" spans="1:34" ht="1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29" t="str">
        <f t="shared" si="12"/>
        <v/>
      </c>
      <c r="Q97" s="30"/>
      <c r="R97" s="31"/>
      <c r="S97" s="68"/>
      <c r="T97" s="40"/>
      <c r="U97" s="38"/>
      <c r="V97" s="74"/>
      <c r="W97" s="34" t="str">
        <f t="shared" si="13"/>
        <v>FALSE</v>
      </c>
      <c r="X97" s="34" t="str">
        <f t="shared" si="9"/>
        <v>FALSE</v>
      </c>
      <c r="Y97" s="35">
        <f t="shared" si="14"/>
        <v>0</v>
      </c>
      <c r="Z97" s="36" t="str">
        <f t="shared" si="15"/>
        <v/>
      </c>
      <c r="AA97" s="6"/>
      <c r="AB97" s="41"/>
      <c r="AC97" s="38"/>
      <c r="AD97" s="38"/>
      <c r="AE97" s="34"/>
      <c r="AF97" s="34" t="str">
        <f t="shared" si="16"/>
        <v>FALSE</v>
      </c>
      <c r="AG97" s="35">
        <f t="shared" si="10"/>
        <v>0</v>
      </c>
      <c r="AH97" s="36" t="str">
        <f t="shared" si="11"/>
        <v/>
      </c>
    </row>
    <row r="98" spans="1:34" ht="1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29" t="str">
        <f t="shared" si="12"/>
        <v/>
      </c>
      <c r="Q98" s="30"/>
      <c r="R98" s="31"/>
      <c r="S98" s="68"/>
      <c r="T98" s="40"/>
      <c r="U98" s="38"/>
      <c r="V98" s="74"/>
      <c r="W98" s="34" t="str">
        <f t="shared" si="13"/>
        <v>FALSE</v>
      </c>
      <c r="X98" s="34" t="str">
        <f t="shared" si="9"/>
        <v>FALSE</v>
      </c>
      <c r="Y98" s="35">
        <f t="shared" si="14"/>
        <v>0</v>
      </c>
      <c r="Z98" s="36" t="str">
        <f t="shared" si="15"/>
        <v/>
      </c>
      <c r="AA98" s="6"/>
      <c r="AB98" s="41"/>
      <c r="AC98" s="38"/>
      <c r="AD98" s="38"/>
      <c r="AE98" s="34"/>
      <c r="AF98" s="34" t="str">
        <f t="shared" si="16"/>
        <v>FALSE</v>
      </c>
      <c r="AG98" s="35">
        <f t="shared" si="10"/>
        <v>0</v>
      </c>
      <c r="AH98" s="36" t="str">
        <f t="shared" si="11"/>
        <v/>
      </c>
    </row>
    <row r="99" spans="1:34" ht="1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29" t="str">
        <f t="shared" si="12"/>
        <v/>
      </c>
      <c r="Q99" s="30"/>
      <c r="R99" s="31"/>
      <c r="S99" s="68"/>
      <c r="T99" s="40"/>
      <c r="U99" s="38"/>
      <c r="V99" s="74"/>
      <c r="W99" s="34" t="str">
        <f t="shared" si="13"/>
        <v>FALSE</v>
      </c>
      <c r="X99" s="34" t="str">
        <f t="shared" si="9"/>
        <v>FALSE</v>
      </c>
      <c r="Y99" s="35">
        <f t="shared" si="14"/>
        <v>0</v>
      </c>
      <c r="Z99" s="36" t="str">
        <f t="shared" si="15"/>
        <v/>
      </c>
      <c r="AA99" s="6"/>
      <c r="AB99" s="41"/>
      <c r="AC99" s="38"/>
      <c r="AD99" s="38"/>
      <c r="AE99" s="34"/>
      <c r="AF99" s="34" t="str">
        <f t="shared" si="16"/>
        <v>FALSE</v>
      </c>
      <c r="AG99" s="35">
        <f t="shared" si="10"/>
        <v>0</v>
      </c>
      <c r="AH99" s="36" t="str">
        <f t="shared" si="11"/>
        <v/>
      </c>
    </row>
    <row r="100" spans="1:34" ht="1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29" t="str">
        <f t="shared" si="12"/>
        <v/>
      </c>
      <c r="Q100" s="30"/>
      <c r="R100" s="31"/>
      <c r="S100" s="68"/>
      <c r="T100" s="40"/>
      <c r="U100" s="38"/>
      <c r="V100" s="74"/>
      <c r="W100" s="34" t="str">
        <f t="shared" si="13"/>
        <v>FALSE</v>
      </c>
      <c r="X100" s="34" t="str">
        <f t="shared" si="9"/>
        <v>FALSE</v>
      </c>
      <c r="Y100" s="35">
        <f t="shared" si="14"/>
        <v>0</v>
      </c>
      <c r="Z100" s="36" t="str">
        <f t="shared" si="15"/>
        <v/>
      </c>
      <c r="AA100" s="6"/>
      <c r="AB100" s="41"/>
      <c r="AC100" s="38"/>
      <c r="AD100" s="38"/>
      <c r="AE100" s="34"/>
      <c r="AF100" s="34" t="str">
        <f t="shared" si="16"/>
        <v>FALSE</v>
      </c>
      <c r="AG100" s="35">
        <f t="shared" si="10"/>
        <v>0</v>
      </c>
      <c r="AH100" s="36" t="str">
        <f t="shared" si="11"/>
        <v/>
      </c>
    </row>
    <row r="101" spans="1:34" ht="1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29" t="str">
        <f t="shared" si="12"/>
        <v/>
      </c>
      <c r="Q101" s="30"/>
      <c r="R101" s="31"/>
      <c r="S101" s="68"/>
      <c r="T101" s="40"/>
      <c r="U101" s="38"/>
      <c r="V101" s="74"/>
      <c r="W101" s="34" t="str">
        <f t="shared" si="13"/>
        <v>FALSE</v>
      </c>
      <c r="X101" s="34" t="str">
        <f t="shared" si="9"/>
        <v>FALSE</v>
      </c>
      <c r="Y101" s="35">
        <f t="shared" si="14"/>
        <v>0</v>
      </c>
      <c r="Z101" s="36" t="str">
        <f t="shared" si="15"/>
        <v/>
      </c>
      <c r="AA101" s="6"/>
      <c r="AB101" s="41"/>
      <c r="AC101" s="38"/>
      <c r="AD101" s="38"/>
      <c r="AE101" s="34"/>
      <c r="AF101" s="34" t="str">
        <f t="shared" si="16"/>
        <v>FALSE</v>
      </c>
      <c r="AG101" s="35">
        <f t="shared" si="10"/>
        <v>0</v>
      </c>
      <c r="AH101" s="36" t="str">
        <f t="shared" si="11"/>
        <v/>
      </c>
    </row>
    <row r="102" spans="1:34" ht="1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29" t="str">
        <f t="shared" si="12"/>
        <v/>
      </c>
      <c r="Q102" s="30"/>
      <c r="R102" s="31"/>
      <c r="S102" s="68"/>
      <c r="T102" s="40"/>
      <c r="U102" s="38"/>
      <c r="V102" s="74"/>
      <c r="W102" s="34" t="str">
        <f t="shared" si="13"/>
        <v>FALSE</v>
      </c>
      <c r="X102" s="34" t="str">
        <f t="shared" si="9"/>
        <v>FALSE</v>
      </c>
      <c r="Y102" s="35">
        <f t="shared" si="14"/>
        <v>0</v>
      </c>
      <c r="Z102" s="36" t="str">
        <f t="shared" si="15"/>
        <v/>
      </c>
      <c r="AA102" s="6"/>
      <c r="AB102" s="41"/>
      <c r="AC102" s="38"/>
      <c r="AD102" s="38"/>
      <c r="AE102" s="34"/>
      <c r="AF102" s="34" t="str">
        <f t="shared" si="16"/>
        <v>FALSE</v>
      </c>
      <c r="AG102" s="35">
        <f t="shared" si="10"/>
        <v>0</v>
      </c>
      <c r="AH102" s="36" t="str">
        <f t="shared" si="11"/>
        <v/>
      </c>
    </row>
    <row r="103" spans="1:34" ht="1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29" t="str">
        <f t="shared" si="12"/>
        <v/>
      </c>
      <c r="Q103" s="30"/>
      <c r="R103" s="31"/>
      <c r="S103" s="68"/>
      <c r="T103" s="40"/>
      <c r="U103" s="38"/>
      <c r="V103" s="74"/>
      <c r="W103" s="34" t="str">
        <f t="shared" si="13"/>
        <v>FALSE</v>
      </c>
      <c r="X103" s="34" t="str">
        <f t="shared" si="9"/>
        <v>FALSE</v>
      </c>
      <c r="Y103" s="35">
        <f t="shared" si="14"/>
        <v>0</v>
      </c>
      <c r="Z103" s="36" t="str">
        <f t="shared" si="15"/>
        <v/>
      </c>
      <c r="AA103" s="6"/>
      <c r="AB103" s="41"/>
      <c r="AC103" s="38"/>
      <c r="AD103" s="38"/>
      <c r="AE103" s="34"/>
      <c r="AF103" s="34" t="str">
        <f t="shared" si="16"/>
        <v>FALSE</v>
      </c>
      <c r="AG103" s="35">
        <f t="shared" si="10"/>
        <v>0</v>
      </c>
      <c r="AH103" s="36" t="str">
        <f t="shared" si="11"/>
        <v/>
      </c>
    </row>
    <row r="104" spans="1:34" ht="1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29" t="str">
        <f t="shared" si="12"/>
        <v/>
      </c>
      <c r="Q104" s="30"/>
      <c r="R104" s="31"/>
      <c r="S104" s="68"/>
      <c r="T104" s="40"/>
      <c r="U104" s="38"/>
      <c r="V104" s="74"/>
      <c r="W104" s="34" t="str">
        <f t="shared" si="13"/>
        <v>FALSE</v>
      </c>
      <c r="X104" s="34" t="str">
        <f t="shared" si="9"/>
        <v>FALSE</v>
      </c>
      <c r="Y104" s="35">
        <f t="shared" si="14"/>
        <v>0</v>
      </c>
      <c r="Z104" s="36" t="str">
        <f t="shared" si="15"/>
        <v/>
      </c>
      <c r="AA104" s="6"/>
      <c r="AB104" s="41"/>
      <c r="AC104" s="38"/>
      <c r="AD104" s="38"/>
      <c r="AE104" s="34"/>
      <c r="AF104" s="34" t="str">
        <f t="shared" si="16"/>
        <v>FALSE</v>
      </c>
      <c r="AG104" s="35">
        <f t="shared" si="10"/>
        <v>0</v>
      </c>
      <c r="AH104" s="36" t="str">
        <f t="shared" si="11"/>
        <v/>
      </c>
    </row>
    <row r="105" spans="1:34" ht="1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29" t="str">
        <f t="shared" si="12"/>
        <v/>
      </c>
      <c r="Q105" s="30"/>
      <c r="R105" s="31"/>
      <c r="S105" s="68"/>
      <c r="T105" s="40"/>
      <c r="U105" s="38"/>
      <c r="V105" s="74"/>
      <c r="W105" s="34" t="str">
        <f t="shared" si="13"/>
        <v>FALSE</v>
      </c>
      <c r="X105" s="34" t="str">
        <f t="shared" si="9"/>
        <v>FALSE</v>
      </c>
      <c r="Y105" s="35">
        <f t="shared" si="14"/>
        <v>0</v>
      </c>
      <c r="Z105" s="36" t="str">
        <f t="shared" si="15"/>
        <v/>
      </c>
      <c r="AA105" s="6"/>
      <c r="AB105" s="41"/>
      <c r="AC105" s="38"/>
      <c r="AD105" s="38"/>
      <c r="AE105" s="34"/>
      <c r="AF105" s="34" t="str">
        <f t="shared" si="16"/>
        <v>FALSE</v>
      </c>
      <c r="AG105" s="35">
        <f t="shared" si="10"/>
        <v>0</v>
      </c>
      <c r="AH105" s="36" t="str">
        <f t="shared" si="11"/>
        <v/>
      </c>
    </row>
    <row r="106" spans="1:34" ht="1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29" t="str">
        <f t="shared" si="12"/>
        <v/>
      </c>
      <c r="Q106" s="30"/>
      <c r="R106" s="31"/>
      <c r="S106" s="68"/>
      <c r="T106" s="40"/>
      <c r="U106" s="38"/>
      <c r="V106" s="74"/>
      <c r="W106" s="34" t="str">
        <f t="shared" si="13"/>
        <v>FALSE</v>
      </c>
      <c r="X106" s="34" t="str">
        <f t="shared" si="9"/>
        <v>FALSE</v>
      </c>
      <c r="Y106" s="35">
        <f t="shared" si="14"/>
        <v>0</v>
      </c>
      <c r="Z106" s="36" t="str">
        <f t="shared" si="15"/>
        <v/>
      </c>
      <c r="AA106" s="6"/>
      <c r="AB106" s="41"/>
      <c r="AC106" s="38"/>
      <c r="AD106" s="38"/>
      <c r="AE106" s="34"/>
      <c r="AF106" s="34" t="str">
        <f t="shared" si="16"/>
        <v>FALSE</v>
      </c>
      <c r="AG106" s="35">
        <f t="shared" si="10"/>
        <v>0</v>
      </c>
      <c r="AH106" s="36" t="str">
        <f t="shared" si="11"/>
        <v/>
      </c>
    </row>
    <row r="107" spans="1:34" ht="1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29" t="str">
        <f t="shared" si="12"/>
        <v/>
      </c>
      <c r="Q107" s="30"/>
      <c r="R107" s="31"/>
      <c r="S107" s="68"/>
      <c r="T107" s="40"/>
      <c r="U107" s="38"/>
      <c r="V107" s="74"/>
      <c r="W107" s="34" t="str">
        <f t="shared" si="13"/>
        <v>FALSE</v>
      </c>
      <c r="X107" s="34" t="str">
        <f t="shared" si="9"/>
        <v>FALSE</v>
      </c>
      <c r="Y107" s="35">
        <f t="shared" si="14"/>
        <v>0</v>
      </c>
      <c r="Z107" s="36" t="str">
        <f t="shared" si="15"/>
        <v/>
      </c>
      <c r="AA107" s="6"/>
      <c r="AB107" s="41"/>
      <c r="AC107" s="38"/>
      <c r="AD107" s="38"/>
      <c r="AE107" s="34"/>
      <c r="AF107" s="34" t="str">
        <f t="shared" si="16"/>
        <v>FALSE</v>
      </c>
      <c r="AG107" s="35">
        <f t="shared" si="10"/>
        <v>0</v>
      </c>
      <c r="AH107" s="36" t="str">
        <f t="shared" si="11"/>
        <v/>
      </c>
    </row>
    <row r="108" spans="1:34" ht="1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29" t="str">
        <f t="shared" si="12"/>
        <v/>
      </c>
      <c r="Q108" s="30"/>
      <c r="R108" s="31"/>
      <c r="S108" s="68"/>
      <c r="T108" s="40"/>
      <c r="U108" s="38"/>
      <c r="V108" s="74"/>
      <c r="W108" s="34" t="str">
        <f t="shared" si="13"/>
        <v>FALSE</v>
      </c>
      <c r="X108" s="34" t="str">
        <f t="shared" si="9"/>
        <v>FALSE</v>
      </c>
      <c r="Y108" s="35">
        <f t="shared" si="14"/>
        <v>0</v>
      </c>
      <c r="Z108" s="36" t="str">
        <f t="shared" si="15"/>
        <v/>
      </c>
      <c r="AA108" s="6"/>
      <c r="AB108" s="41"/>
      <c r="AC108" s="38"/>
      <c r="AD108" s="38"/>
      <c r="AE108" s="34"/>
      <c r="AF108" s="34" t="str">
        <f t="shared" si="16"/>
        <v>FALSE</v>
      </c>
      <c r="AG108" s="35">
        <f t="shared" si="10"/>
        <v>0</v>
      </c>
      <c r="AH108" s="36" t="str">
        <f t="shared" si="11"/>
        <v/>
      </c>
    </row>
    <row r="109" spans="1:34" ht="1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29" t="str">
        <f t="shared" si="12"/>
        <v/>
      </c>
      <c r="Q109" s="30"/>
      <c r="R109" s="31"/>
      <c r="S109" s="68"/>
      <c r="T109" s="40"/>
      <c r="U109" s="38"/>
      <c r="V109" s="74"/>
      <c r="W109" s="34" t="str">
        <f t="shared" si="13"/>
        <v>FALSE</v>
      </c>
      <c r="X109" s="34" t="str">
        <f t="shared" si="9"/>
        <v>FALSE</v>
      </c>
      <c r="Y109" s="35">
        <f t="shared" si="14"/>
        <v>0</v>
      </c>
      <c r="Z109" s="36" t="str">
        <f t="shared" si="15"/>
        <v/>
      </c>
      <c r="AA109" s="6"/>
      <c r="AB109" s="41"/>
      <c r="AC109" s="38"/>
      <c r="AD109" s="38"/>
      <c r="AE109" s="34"/>
      <c r="AF109" s="34" t="str">
        <f t="shared" si="16"/>
        <v>FALSE</v>
      </c>
      <c r="AG109" s="35">
        <f t="shared" si="10"/>
        <v>0</v>
      </c>
      <c r="AH109" s="36" t="str">
        <f t="shared" si="11"/>
        <v/>
      </c>
    </row>
    <row r="110" spans="1:34" ht="1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29" t="str">
        <f t="shared" si="12"/>
        <v/>
      </c>
      <c r="Q110" s="30"/>
      <c r="R110" s="31"/>
      <c r="S110" s="68"/>
      <c r="T110" s="40"/>
      <c r="U110" s="38"/>
      <c r="V110" s="74"/>
      <c r="W110" s="34" t="str">
        <f t="shared" si="13"/>
        <v>FALSE</v>
      </c>
      <c r="X110" s="34" t="str">
        <f t="shared" si="9"/>
        <v>FALSE</v>
      </c>
      <c r="Y110" s="35">
        <f t="shared" si="14"/>
        <v>0</v>
      </c>
      <c r="Z110" s="36" t="str">
        <f t="shared" si="15"/>
        <v/>
      </c>
      <c r="AA110" s="6"/>
      <c r="AB110" s="41"/>
      <c r="AC110" s="38"/>
      <c r="AD110" s="38"/>
      <c r="AE110" s="34"/>
      <c r="AF110" s="34" t="str">
        <f t="shared" si="16"/>
        <v>FALSE</v>
      </c>
      <c r="AG110" s="35">
        <f t="shared" si="10"/>
        <v>0</v>
      </c>
      <c r="AH110" s="36" t="str">
        <f t="shared" si="11"/>
        <v/>
      </c>
    </row>
    <row r="111" spans="1:34" ht="1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29" t="str">
        <f t="shared" si="12"/>
        <v/>
      </c>
      <c r="Q111" s="30"/>
      <c r="R111" s="31"/>
      <c r="S111" s="68"/>
      <c r="T111" s="40"/>
      <c r="U111" s="38"/>
      <c r="V111" s="74"/>
      <c r="W111" s="34" t="str">
        <f t="shared" si="13"/>
        <v>FALSE</v>
      </c>
      <c r="X111" s="34" t="str">
        <f t="shared" si="9"/>
        <v>FALSE</v>
      </c>
      <c r="Y111" s="35">
        <f t="shared" si="14"/>
        <v>0</v>
      </c>
      <c r="Z111" s="36" t="str">
        <f t="shared" si="15"/>
        <v/>
      </c>
      <c r="AA111" s="6"/>
      <c r="AB111" s="41"/>
      <c r="AC111" s="38"/>
      <c r="AD111" s="38"/>
      <c r="AE111" s="34"/>
      <c r="AF111" s="34" t="str">
        <f t="shared" si="16"/>
        <v>FALSE</v>
      </c>
      <c r="AG111" s="35">
        <f t="shared" si="10"/>
        <v>0</v>
      </c>
      <c r="AH111" s="36" t="str">
        <f t="shared" si="11"/>
        <v/>
      </c>
    </row>
    <row r="112" spans="1:34" ht="1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29" t="str">
        <f t="shared" si="12"/>
        <v/>
      </c>
      <c r="Q112" s="30"/>
      <c r="R112" s="31"/>
      <c r="S112" s="68"/>
      <c r="T112" s="40"/>
      <c r="U112" s="38"/>
      <c r="V112" s="74"/>
      <c r="W112" s="34" t="str">
        <f t="shared" si="13"/>
        <v>FALSE</v>
      </c>
      <c r="X112" s="34" t="str">
        <f t="shared" si="9"/>
        <v>FALSE</v>
      </c>
      <c r="Y112" s="35">
        <f t="shared" si="14"/>
        <v>0</v>
      </c>
      <c r="Z112" s="36" t="str">
        <f t="shared" si="15"/>
        <v/>
      </c>
      <c r="AA112" s="6"/>
      <c r="AB112" s="41"/>
      <c r="AC112" s="38"/>
      <c r="AD112" s="38"/>
      <c r="AE112" s="34"/>
      <c r="AF112" s="34" t="str">
        <f t="shared" si="16"/>
        <v>FALSE</v>
      </c>
      <c r="AG112" s="35">
        <f t="shared" si="10"/>
        <v>0</v>
      </c>
      <c r="AH112" s="36" t="str">
        <f t="shared" si="11"/>
        <v/>
      </c>
    </row>
    <row r="113" spans="1:34" ht="1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29" t="str">
        <f t="shared" si="12"/>
        <v/>
      </c>
      <c r="Q113" s="30"/>
      <c r="R113" s="31"/>
      <c r="S113" s="68"/>
      <c r="T113" s="40"/>
      <c r="U113" s="38"/>
      <c r="V113" s="74"/>
      <c r="W113" s="34" t="str">
        <f t="shared" si="13"/>
        <v>FALSE</v>
      </c>
      <c r="X113" s="34" t="str">
        <f t="shared" si="9"/>
        <v>FALSE</v>
      </c>
      <c r="Y113" s="35">
        <f t="shared" si="14"/>
        <v>0</v>
      </c>
      <c r="Z113" s="36" t="str">
        <f t="shared" si="15"/>
        <v/>
      </c>
      <c r="AA113" s="6"/>
      <c r="AB113" s="41"/>
      <c r="AC113" s="38"/>
      <c r="AD113" s="38"/>
      <c r="AE113" s="34"/>
      <c r="AF113" s="34" t="str">
        <f t="shared" si="16"/>
        <v>FALSE</v>
      </c>
      <c r="AG113" s="35">
        <f t="shared" si="10"/>
        <v>0</v>
      </c>
      <c r="AH113" s="36" t="str">
        <f t="shared" si="11"/>
        <v/>
      </c>
    </row>
    <row r="114" spans="1:34" ht="1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29" t="str">
        <f t="shared" si="12"/>
        <v/>
      </c>
      <c r="Q114" s="30"/>
      <c r="R114" s="31"/>
      <c r="S114" s="68"/>
      <c r="T114" s="40"/>
      <c r="U114" s="38"/>
      <c r="V114" s="74"/>
      <c r="W114" s="34" t="str">
        <f t="shared" si="13"/>
        <v>FALSE</v>
      </c>
      <c r="X114" s="34" t="str">
        <f t="shared" si="9"/>
        <v>FALSE</v>
      </c>
      <c r="Y114" s="35">
        <f t="shared" si="14"/>
        <v>0</v>
      </c>
      <c r="Z114" s="36" t="str">
        <f t="shared" si="15"/>
        <v/>
      </c>
      <c r="AA114" s="6"/>
      <c r="AB114" s="41"/>
      <c r="AC114" s="38"/>
      <c r="AD114" s="38"/>
      <c r="AE114" s="34"/>
      <c r="AF114" s="34" t="str">
        <f t="shared" si="16"/>
        <v>FALSE</v>
      </c>
      <c r="AG114" s="35">
        <f t="shared" si="10"/>
        <v>0</v>
      </c>
      <c r="AH114" s="36" t="str">
        <f t="shared" si="11"/>
        <v/>
      </c>
    </row>
    <row r="115" spans="1:34" ht="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29" t="str">
        <f t="shared" si="12"/>
        <v/>
      </c>
      <c r="Q115" s="30"/>
      <c r="R115" s="31"/>
      <c r="S115" s="68"/>
      <c r="T115" s="40"/>
      <c r="U115" s="38"/>
      <c r="V115" s="74"/>
      <c r="W115" s="34" t="str">
        <f t="shared" si="13"/>
        <v>FALSE</v>
      </c>
      <c r="X115" s="34" t="str">
        <f t="shared" si="9"/>
        <v>FALSE</v>
      </c>
      <c r="Y115" s="35">
        <f t="shared" si="14"/>
        <v>0</v>
      </c>
      <c r="Z115" s="36" t="str">
        <f t="shared" si="15"/>
        <v/>
      </c>
      <c r="AA115" s="6"/>
      <c r="AB115" s="41"/>
      <c r="AC115" s="38"/>
      <c r="AD115" s="38"/>
      <c r="AE115" s="34"/>
      <c r="AF115" s="34" t="str">
        <f t="shared" si="16"/>
        <v>FALSE</v>
      </c>
      <c r="AG115" s="35">
        <f t="shared" si="10"/>
        <v>0</v>
      </c>
      <c r="AH115" s="36" t="str">
        <f t="shared" si="11"/>
        <v/>
      </c>
    </row>
    <row r="116" spans="1:34" ht="1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29" t="str">
        <f t="shared" si="12"/>
        <v/>
      </c>
      <c r="Q116" s="30"/>
      <c r="R116" s="31"/>
      <c r="S116" s="68"/>
      <c r="T116" s="40"/>
      <c r="U116" s="38"/>
      <c r="V116" s="74"/>
      <c r="W116" s="34" t="str">
        <f t="shared" si="13"/>
        <v>FALSE</v>
      </c>
      <c r="X116" s="34" t="str">
        <f t="shared" si="9"/>
        <v>FALSE</v>
      </c>
      <c r="Y116" s="35">
        <f t="shared" si="14"/>
        <v>0</v>
      </c>
      <c r="Z116" s="36" t="str">
        <f t="shared" si="15"/>
        <v/>
      </c>
      <c r="AA116" s="6"/>
      <c r="AB116" s="41"/>
      <c r="AC116" s="38"/>
      <c r="AD116" s="38"/>
      <c r="AE116" s="34"/>
      <c r="AF116" s="34" t="str">
        <f t="shared" si="16"/>
        <v>FALSE</v>
      </c>
      <c r="AG116" s="35">
        <f t="shared" si="10"/>
        <v>0</v>
      </c>
      <c r="AH116" s="36" t="str">
        <f t="shared" si="11"/>
        <v/>
      </c>
    </row>
    <row r="117" spans="1:34" ht="1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29" t="str">
        <f t="shared" si="12"/>
        <v/>
      </c>
      <c r="Q117" s="30"/>
      <c r="R117" s="31"/>
      <c r="S117" s="68"/>
      <c r="T117" s="40"/>
      <c r="U117" s="38"/>
      <c r="V117" s="74"/>
      <c r="W117" s="34" t="str">
        <f t="shared" si="13"/>
        <v>FALSE</v>
      </c>
      <c r="X117" s="34" t="str">
        <f t="shared" si="9"/>
        <v>FALSE</v>
      </c>
      <c r="Y117" s="35">
        <f t="shared" si="14"/>
        <v>0</v>
      </c>
      <c r="Z117" s="36" t="str">
        <f t="shared" si="15"/>
        <v/>
      </c>
      <c r="AA117" s="6"/>
      <c r="AB117" s="41"/>
      <c r="AC117" s="38"/>
      <c r="AD117" s="38"/>
      <c r="AE117" s="34"/>
      <c r="AF117" s="34" t="str">
        <f t="shared" si="16"/>
        <v>FALSE</v>
      </c>
      <c r="AG117" s="35">
        <f t="shared" si="10"/>
        <v>0</v>
      </c>
      <c r="AH117" s="36" t="str">
        <f t="shared" si="11"/>
        <v/>
      </c>
    </row>
    <row r="118" spans="1:34" ht="1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29" t="str">
        <f t="shared" si="12"/>
        <v/>
      </c>
      <c r="Q118" s="30"/>
      <c r="R118" s="31"/>
      <c r="S118" s="68"/>
      <c r="T118" s="40"/>
      <c r="U118" s="38"/>
      <c r="V118" s="74"/>
      <c r="W118" s="34" t="str">
        <f t="shared" si="13"/>
        <v>FALSE</v>
      </c>
      <c r="X118" s="34" t="str">
        <f t="shared" si="9"/>
        <v>FALSE</v>
      </c>
      <c r="Y118" s="35">
        <f t="shared" si="14"/>
        <v>0</v>
      </c>
      <c r="Z118" s="36" t="str">
        <f t="shared" si="15"/>
        <v/>
      </c>
      <c r="AA118" s="6"/>
      <c r="AB118" s="41"/>
      <c r="AC118" s="38"/>
      <c r="AD118" s="38"/>
      <c r="AE118" s="34"/>
      <c r="AF118" s="34" t="str">
        <f t="shared" si="16"/>
        <v>FALSE</v>
      </c>
      <c r="AG118" s="35">
        <f t="shared" si="10"/>
        <v>0</v>
      </c>
      <c r="AH118" s="36" t="str">
        <f t="shared" si="11"/>
        <v/>
      </c>
    </row>
    <row r="119" spans="1:34" ht="1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29" t="str">
        <f t="shared" si="12"/>
        <v/>
      </c>
      <c r="Q119" s="30"/>
      <c r="R119" s="31"/>
      <c r="S119" s="68"/>
      <c r="T119" s="40"/>
      <c r="U119" s="38"/>
      <c r="V119" s="74"/>
      <c r="W119" s="34" t="str">
        <f t="shared" si="13"/>
        <v>FALSE</v>
      </c>
      <c r="X119" s="34" t="str">
        <f t="shared" si="9"/>
        <v>FALSE</v>
      </c>
      <c r="Y119" s="35">
        <f t="shared" si="14"/>
        <v>0</v>
      </c>
      <c r="Z119" s="36" t="str">
        <f t="shared" si="15"/>
        <v/>
      </c>
      <c r="AA119" s="6"/>
      <c r="AB119" s="41"/>
      <c r="AC119" s="38"/>
      <c r="AD119" s="38"/>
      <c r="AE119" s="34"/>
      <c r="AF119" s="34" t="str">
        <f t="shared" si="16"/>
        <v>FALSE</v>
      </c>
      <c r="AG119" s="35">
        <f t="shared" si="10"/>
        <v>0</v>
      </c>
      <c r="AH119" s="36" t="str">
        <f t="shared" si="11"/>
        <v/>
      </c>
    </row>
    <row r="120" spans="1:34" ht="1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29" t="str">
        <f t="shared" si="12"/>
        <v/>
      </c>
      <c r="Q120" s="30"/>
      <c r="R120" s="31"/>
      <c r="S120" s="68"/>
      <c r="T120" s="40"/>
      <c r="U120" s="38"/>
      <c r="V120" s="74"/>
      <c r="W120" s="34" t="str">
        <f t="shared" si="13"/>
        <v>FALSE</v>
      </c>
      <c r="X120" s="34" t="str">
        <f t="shared" si="9"/>
        <v>FALSE</v>
      </c>
      <c r="Y120" s="35">
        <f t="shared" si="14"/>
        <v>0</v>
      </c>
      <c r="Z120" s="36" t="str">
        <f t="shared" si="15"/>
        <v/>
      </c>
      <c r="AA120" s="6"/>
      <c r="AB120" s="41"/>
      <c r="AC120" s="38"/>
      <c r="AD120" s="38"/>
      <c r="AE120" s="34"/>
      <c r="AF120" s="34" t="str">
        <f t="shared" si="16"/>
        <v>FALSE</v>
      </c>
      <c r="AG120" s="35">
        <f t="shared" si="10"/>
        <v>0</v>
      </c>
      <c r="AH120" s="36" t="str">
        <f t="shared" si="11"/>
        <v/>
      </c>
    </row>
  </sheetData>
  <mergeCells count="11">
    <mergeCell ref="P6:U6"/>
    <mergeCell ref="X6:AA6"/>
    <mergeCell ref="Q8:Z8"/>
    <mergeCell ref="AB8:AH8"/>
    <mergeCell ref="D1:L2"/>
    <mergeCell ref="X2:AA2"/>
    <mergeCell ref="AC2:AG2"/>
    <mergeCell ref="P3:R3"/>
    <mergeCell ref="T3:U3"/>
    <mergeCell ref="X3:AA3"/>
    <mergeCell ref="AC3:AG3"/>
  </mergeCells>
  <conditionalFormatting sqref="U14:U120">
    <cfRule type="containsBlanks" dxfId="119" priority="1">
      <formula>LEN(TRIM(U14))=0</formula>
    </cfRule>
    <cfRule type="expression" dxfId="118" priority="2">
      <formula>AND(X14&gt;=2,X14&lt;3)</formula>
    </cfRule>
    <cfRule type="expression" dxfId="117" priority="3">
      <formula>X14&gt;3</formula>
    </cfRule>
  </conditionalFormatting>
  <conditionalFormatting sqref="W14:W120">
    <cfRule type="expression" dxfId="116" priority="15">
      <formula>X14="FALSE"</formula>
    </cfRule>
  </conditionalFormatting>
  <conditionalFormatting sqref="X14:X120">
    <cfRule type="expression" dxfId="115" priority="14">
      <formula>X14="FALSE"</formula>
    </cfRule>
    <cfRule type="expression" dxfId="114" priority="16">
      <formula>AND(X14&gt;2,X14&lt;3)</formula>
    </cfRule>
  </conditionalFormatting>
  <conditionalFormatting sqref="X14:Y50 X51:X120">
    <cfRule type="expression" dxfId="113" priority="20">
      <formula>X14&gt;=3</formula>
    </cfRule>
  </conditionalFormatting>
  <conditionalFormatting sqref="Y14:Y50">
    <cfRule type="expression" dxfId="112" priority="19">
      <formula>AND(X14&gt;=2,X14&lt;3)</formula>
    </cfRule>
  </conditionalFormatting>
  <conditionalFormatting sqref="Z14:Z120">
    <cfRule type="cellIs" dxfId="111" priority="17" operator="notBetween">
      <formula>0.8</formula>
      <formula>1.15</formula>
    </cfRule>
  </conditionalFormatting>
  <conditionalFormatting sqref="AC14:AC120">
    <cfRule type="containsBlanks" dxfId="110" priority="4">
      <formula>LEN(TRIM(AC14))=0</formula>
    </cfRule>
    <cfRule type="expression" dxfId="109" priority="5">
      <formula>AND(AF14&gt;=2,AF14&lt;3)</formula>
    </cfRule>
    <cfRule type="expression" dxfId="108" priority="6">
      <formula>AF14&gt;3</formula>
    </cfRule>
  </conditionalFormatting>
  <conditionalFormatting sqref="AE14:AE120">
    <cfRule type="expression" dxfId="107" priority="13">
      <formula>AF14="FALSE"</formula>
    </cfRule>
  </conditionalFormatting>
  <conditionalFormatting sqref="AF14:AF120">
    <cfRule type="expression" dxfId="106" priority="10">
      <formula>AF14="FALSE"</formula>
    </cfRule>
    <cfRule type="expression" dxfId="105" priority="11">
      <formula>AND(AF14&gt;2,AF14&lt;3)</formula>
    </cfRule>
    <cfRule type="expression" dxfId="104" priority="12">
      <formula>AF14&gt;=3</formula>
    </cfRule>
  </conditionalFormatting>
  <conditionalFormatting sqref="AG14:AG120">
    <cfRule type="expression" dxfId="103" priority="7">
      <formula>AF14=0</formula>
    </cfRule>
    <cfRule type="expression" dxfId="102" priority="8">
      <formula>AND(AF14&gt;=2,AF14&lt;3)</formula>
    </cfRule>
    <cfRule type="expression" dxfId="101" priority="9">
      <formula>AG14&gt;=3</formula>
    </cfRule>
  </conditionalFormatting>
  <conditionalFormatting sqref="AH14:AH120">
    <cfRule type="cellIs" dxfId="100" priority="18" operator="notBetween">
      <formula>0.8</formula>
      <formula>1.15</formula>
    </cfRule>
  </conditionalFormatting>
  <pageMargins left="0.4" right="0.4" top="0.4" bottom="0.4" header="0" footer="0"/>
  <pageSetup scale="10" fitToHeight="0" orientation="landscape" horizontalDpi="4294967292" verticalDpi="4294967292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30A81-6AB1-42EE-AD16-B37C6270F170}">
  <sheetPr>
    <tabColor rgb="FFFFFFFF"/>
    <pageSetUpPr fitToPage="1"/>
  </sheetPr>
  <dimension ref="A1:AH120"/>
  <sheetViews>
    <sheetView showGridLines="0" topLeftCell="A22" zoomScale="70" zoomScaleNormal="70" workbookViewId="0">
      <selection activeCell="AB56" sqref="AB56"/>
    </sheetView>
  </sheetViews>
  <sheetFormatPr defaultColWidth="11" defaultRowHeight="13.5" customHeight="1"/>
  <cols>
    <col min="1" max="2" width="3.125" style="12" customWidth="1"/>
    <col min="3" max="8" width="11" style="12"/>
    <col min="9" max="9" width="9" style="12" customWidth="1"/>
    <col min="10" max="13" width="11" style="12"/>
    <col min="14" max="15" width="4" style="12" customWidth="1"/>
    <col min="16" max="16" width="6.125" style="43" customWidth="1"/>
    <col min="17" max="17" width="13" style="12" customWidth="1"/>
    <col min="18" max="18" width="12.875" style="44" customWidth="1"/>
    <col min="19" max="19" width="3" style="44" customWidth="1"/>
    <col min="20" max="20" width="12" style="45" customWidth="1"/>
    <col min="21" max="21" width="14.875" style="8" customWidth="1"/>
    <col min="22" max="22" width="2.375" style="12" customWidth="1"/>
    <col min="23" max="23" width="12.875" style="6" customWidth="1"/>
    <col min="24" max="24" width="11.5" style="6" customWidth="1"/>
    <col min="25" max="25" width="13" style="12" customWidth="1"/>
    <col min="26" max="26" width="11.625" style="12" customWidth="1"/>
    <col min="27" max="27" width="9.125" style="12" customWidth="1"/>
    <col min="28" max="28" width="13.375" style="8" customWidth="1"/>
    <col min="29" max="29" width="13.75" style="12" customWidth="1"/>
    <col min="30" max="30" width="2" style="12" customWidth="1"/>
    <col min="31" max="31" width="12.75" style="12" customWidth="1"/>
    <col min="32" max="32" width="12.375" style="12" customWidth="1"/>
    <col min="33" max="33" width="13.125" style="12" customWidth="1"/>
    <col min="34" max="34" width="15.25" style="12" customWidth="1"/>
    <col min="35" max="16384" width="11" style="12"/>
  </cols>
  <sheetData>
    <row r="1" spans="1:34" s="7" customFormat="1" ht="31.5" customHeight="1">
      <c r="A1" s="1"/>
      <c r="B1" s="1"/>
      <c r="C1" s="1"/>
      <c r="D1" s="162" t="s">
        <v>32</v>
      </c>
      <c r="E1" s="162"/>
      <c r="F1" s="162"/>
      <c r="G1" s="162"/>
      <c r="H1" s="162"/>
      <c r="I1" s="162"/>
      <c r="J1" s="162"/>
      <c r="K1" s="162"/>
      <c r="L1" s="162"/>
      <c r="M1" s="1"/>
      <c r="N1" s="1"/>
      <c r="O1" s="1"/>
      <c r="P1" s="2"/>
      <c r="Q1" s="3" t="s">
        <v>74</v>
      </c>
      <c r="R1" s="4"/>
      <c r="S1" s="4"/>
      <c r="T1" s="4"/>
      <c r="U1" s="5"/>
      <c r="V1" s="6"/>
      <c r="W1" s="6"/>
      <c r="X1" s="6"/>
      <c r="Y1" s="5"/>
      <c r="Z1" s="5"/>
      <c r="AA1" s="5"/>
      <c r="AB1" s="5"/>
      <c r="AC1" s="5"/>
      <c r="AD1" s="5"/>
      <c r="AE1" s="5"/>
      <c r="AF1" s="5"/>
      <c r="AG1" s="5"/>
      <c r="AH1"/>
    </row>
    <row r="2" spans="1:34" ht="15.75" customHeight="1">
      <c r="A2" s="8"/>
      <c r="B2" s="8"/>
      <c r="C2" s="8"/>
      <c r="D2" s="162"/>
      <c r="E2" s="162"/>
      <c r="F2" s="162"/>
      <c r="G2" s="162"/>
      <c r="H2" s="162"/>
      <c r="I2" s="162"/>
      <c r="J2" s="162"/>
      <c r="K2" s="162"/>
      <c r="L2" s="162"/>
      <c r="M2" s="8"/>
      <c r="N2" s="8"/>
      <c r="O2" s="8"/>
      <c r="P2" s="9"/>
      <c r="Q2" s="10" t="s">
        <v>75</v>
      </c>
      <c r="R2" s="11"/>
      <c r="S2" s="11"/>
      <c r="T2" s="10" t="s">
        <v>76</v>
      </c>
      <c r="X2" s="163" t="s">
        <v>77</v>
      </c>
      <c r="Y2" s="163"/>
      <c r="Z2" s="163"/>
      <c r="AA2" s="163"/>
      <c r="AC2" s="163" t="s">
        <v>78</v>
      </c>
      <c r="AD2" s="163"/>
      <c r="AE2" s="163"/>
      <c r="AF2" s="163"/>
      <c r="AG2" s="163"/>
      <c r="AH2"/>
    </row>
    <row r="3" spans="1:34" ht="26.2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164">
        <f>MIN(R14:R16)</f>
        <v>45677</v>
      </c>
      <c r="Q3" s="165"/>
      <c r="R3" s="166"/>
      <c r="S3" s="65"/>
      <c r="T3" s="167">
        <f>MAX(R14:R116)</f>
        <v>46065</v>
      </c>
      <c r="U3" s="168"/>
      <c r="X3" s="164" t="s">
        <v>79</v>
      </c>
      <c r="Y3" s="165"/>
      <c r="Z3" s="165"/>
      <c r="AA3" s="168"/>
      <c r="AC3" s="169" t="s">
        <v>80</v>
      </c>
      <c r="AD3" s="170"/>
      <c r="AE3" s="170"/>
      <c r="AF3" s="170"/>
      <c r="AG3" s="171"/>
      <c r="AH3"/>
    </row>
    <row r="4" spans="1:34" ht="15.7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13"/>
      <c r="Q4" s="14"/>
      <c r="R4" s="15">
        <f>MIN(P14:P120)</f>
        <v>1</v>
      </c>
      <c r="S4" s="15"/>
      <c r="T4" s="16">
        <f>MAX(P14:P120)</f>
        <v>42</v>
      </c>
      <c r="U4" s="14"/>
      <c r="V4" s="6"/>
      <c r="X4" s="14"/>
      <c r="Y4" s="14"/>
      <c r="Z4" s="14"/>
      <c r="AA4" s="14"/>
      <c r="AB4"/>
      <c r="AC4" s="14"/>
      <c r="AD4" s="14"/>
      <c r="AE4" s="14"/>
      <c r="AF4" s="14"/>
      <c r="AH4" s="8"/>
    </row>
    <row r="5" spans="1:34" ht="20.2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17"/>
      <c r="Q5" s="17" t="s">
        <v>81</v>
      </c>
      <c r="R5" s="11"/>
      <c r="S5" s="11"/>
      <c r="T5" s="18"/>
      <c r="U5" s="17"/>
      <c r="V5" s="6"/>
      <c r="X5" s="17" t="s">
        <v>82</v>
      </c>
      <c r="Y5" s="17"/>
      <c r="Z5" s="17"/>
      <c r="AA5" s="14"/>
      <c r="AB5"/>
      <c r="AC5" s="10"/>
      <c r="AD5" s="10"/>
    </row>
    <row r="6" spans="1:34" ht="25.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158" t="s">
        <v>83</v>
      </c>
      <c r="Q6" s="158"/>
      <c r="R6" s="158"/>
      <c r="S6" s="158"/>
      <c r="T6" s="158"/>
      <c r="U6" s="158"/>
      <c r="V6" s="6"/>
      <c r="X6" s="159"/>
      <c r="Y6" s="159"/>
      <c r="Z6" s="159"/>
      <c r="AA6" s="159"/>
      <c r="AB6"/>
      <c r="AC6" s="6"/>
      <c r="AD6" s="6"/>
    </row>
    <row r="7" spans="1:34" ht="23.2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19"/>
      <c r="Q7" s="20" t="s">
        <v>84</v>
      </c>
      <c r="R7" s="21"/>
      <c r="S7" s="21"/>
      <c r="T7" s="22"/>
      <c r="V7" s="8"/>
      <c r="Y7" s="8"/>
      <c r="Z7" s="8"/>
      <c r="AA7" s="8"/>
      <c r="AC7" s="8"/>
      <c r="AD7" s="8"/>
      <c r="AE7" s="8"/>
      <c r="AF7" s="8"/>
      <c r="AG7" s="8"/>
      <c r="AH7" s="8"/>
    </row>
    <row r="8" spans="1:34" ht="31.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19"/>
      <c r="Q8" s="160" t="s">
        <v>85</v>
      </c>
      <c r="R8" s="160"/>
      <c r="S8" s="160"/>
      <c r="T8" s="160"/>
      <c r="U8" s="160"/>
      <c r="V8" s="160"/>
      <c r="W8" s="160"/>
      <c r="X8" s="160"/>
      <c r="Y8" s="160"/>
      <c r="Z8" s="160"/>
      <c r="AA8" s="6"/>
      <c r="AB8" s="161" t="s">
        <v>86</v>
      </c>
      <c r="AC8" s="161"/>
      <c r="AD8" s="161"/>
      <c r="AE8" s="161"/>
      <c r="AF8" s="161"/>
      <c r="AG8" s="161"/>
      <c r="AH8" s="161"/>
    </row>
    <row r="9" spans="1:34" customFormat="1" ht="11.25" customHeight="1"/>
    <row r="10" spans="1:34" s="52" customFormat="1" ht="27.75" customHeight="1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Q10" s="73" t="s">
        <v>87</v>
      </c>
      <c r="R10" s="73" t="s">
        <v>88</v>
      </c>
      <c r="S10" s="66"/>
      <c r="T10" s="49" t="s">
        <v>89</v>
      </c>
      <c r="U10" s="46" t="s">
        <v>90</v>
      </c>
      <c r="V10" s="50"/>
      <c r="W10" s="47" t="s">
        <v>91</v>
      </c>
      <c r="X10" s="61" t="s">
        <v>92</v>
      </c>
      <c r="Y10" s="61" t="s">
        <v>93</v>
      </c>
      <c r="Z10" s="48" t="s">
        <v>94</v>
      </c>
      <c r="AA10" s="53"/>
      <c r="AB10" s="49" t="s">
        <v>95</v>
      </c>
      <c r="AC10" s="46" t="s">
        <v>90</v>
      </c>
      <c r="AE10" s="47" t="s">
        <v>91</v>
      </c>
      <c r="AF10" s="61" t="s">
        <v>92</v>
      </c>
      <c r="AG10" s="61" t="s">
        <v>93</v>
      </c>
      <c r="AH10" s="48" t="s">
        <v>94</v>
      </c>
    </row>
    <row r="11" spans="1:34" s="55" customFormat="1" ht="27.75" customHeight="1" thickBot="1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Q11" s="64">
        <f>IF(U11="","",1.15)</f>
        <v>1.1499999999999999</v>
      </c>
      <c r="R11" s="64">
        <f>IF(U11="","",0.8)</f>
        <v>0.8</v>
      </c>
      <c r="S11" s="67"/>
      <c r="T11" s="62">
        <f>_xlfn.STDEV.P($U$14:$U$120)/$U$11</f>
        <v>0.10099902020424066</v>
      </c>
      <c r="U11" s="63">
        <f>AVERAGE($W$14:$W$120)</f>
        <v>27.775317073170733</v>
      </c>
      <c r="V11" s="56"/>
      <c r="W11" s="60">
        <f>$U$11-(3*_xlfn.STDEV.S($W$14:$W$120))</f>
        <v>20.576010660358385</v>
      </c>
      <c r="X11" s="59">
        <f>$U$11-(2*_xlfn.STDEV.S($W$14:$W$120))</f>
        <v>22.97577946462917</v>
      </c>
      <c r="Y11" s="59">
        <f>$U$11+(2*_xlfn.STDEV.S($W$14:$W$120))</f>
        <v>32.574854681712296</v>
      </c>
      <c r="Z11" s="58">
        <f>$U$11+(3*_xlfn.STDEV.S($W$14:$W$120))</f>
        <v>34.974623485983081</v>
      </c>
      <c r="AA11" s="57"/>
      <c r="AB11" s="62">
        <f>_xlfn.STDEV.P($AC$14:$AC$120)/$AC$11</f>
        <v>9.8359235669679024E-2</v>
      </c>
      <c r="AC11" s="63">
        <f>AVERAGE($AC$14:$AC$120)</f>
        <v>1.5497023809523807</v>
      </c>
      <c r="AE11" s="60">
        <f>$AC$11-(3*_xlfn.STDEV.S($AE$14:$AE$120))</f>
        <v>1.0868767337548288</v>
      </c>
      <c r="AF11" s="59">
        <f>$AC$11-(2*_xlfn.STDEV.S($AE$14:$AE$120))</f>
        <v>1.2411519494873462</v>
      </c>
      <c r="AG11" s="59">
        <f>$AC$11+(2*_xlfn.STDEV.S($AE$14:$AE$120))</f>
        <v>1.8582528124174151</v>
      </c>
      <c r="AH11" s="58">
        <f>$AC$11+(3*_xlfn.STDEV.S($AE$14:$AE$120))</f>
        <v>2.0125280281499327</v>
      </c>
    </row>
    <row r="12" spans="1:34" ht="11.2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19"/>
      <c r="Q12" s="20"/>
      <c r="R12" s="21"/>
      <c r="S12" s="21"/>
      <c r="T12" s="22"/>
      <c r="V12" s="8"/>
      <c r="Y12" s="8"/>
      <c r="Z12" s="8"/>
      <c r="AA12" s="6"/>
      <c r="AC12" s="8"/>
      <c r="AD12" s="8"/>
      <c r="AE12" s="8"/>
      <c r="AF12" s="8"/>
      <c r="AG12" s="8"/>
      <c r="AH12" s="8"/>
    </row>
    <row r="13" spans="1:34" ht="4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70" t="s">
        <v>96</v>
      </c>
      <c r="Q13" s="71" t="s">
        <v>97</v>
      </c>
      <c r="R13" s="71" t="s">
        <v>98</v>
      </c>
      <c r="S13" s="69"/>
      <c r="T13" s="72" t="s">
        <v>99</v>
      </c>
      <c r="U13" s="71" t="s">
        <v>100</v>
      </c>
      <c r="V13" s="69"/>
      <c r="W13" s="75" t="s">
        <v>101</v>
      </c>
      <c r="X13" s="75" t="s">
        <v>102</v>
      </c>
      <c r="Y13" s="76" t="s">
        <v>103</v>
      </c>
      <c r="Z13" s="77" t="s">
        <v>104</v>
      </c>
      <c r="AA13" s="6"/>
      <c r="AB13" s="26" t="s">
        <v>99</v>
      </c>
      <c r="AC13" s="27" t="s">
        <v>100</v>
      </c>
      <c r="AD13" s="28"/>
      <c r="AE13" s="23" t="s">
        <v>101</v>
      </c>
      <c r="AF13" s="23" t="s">
        <v>102</v>
      </c>
      <c r="AG13" s="24" t="s">
        <v>105</v>
      </c>
      <c r="AH13" s="25" t="s">
        <v>104</v>
      </c>
    </row>
    <row r="14" spans="1:34" ht="1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29">
        <v>1</v>
      </c>
      <c r="Q14" s="30" t="s">
        <v>106</v>
      </c>
      <c r="R14" s="31">
        <v>45677</v>
      </c>
      <c r="S14" s="68"/>
      <c r="T14" s="145">
        <v>27.14</v>
      </c>
      <c r="U14" s="38">
        <v>27.896999999999998</v>
      </c>
      <c r="V14" s="74"/>
      <c r="W14" s="34">
        <f>IF(X14&gt;3,"FALSE",U14)</f>
        <v>27.896999999999998</v>
      </c>
      <c r="X14" s="34">
        <f t="shared" ref="X14:X77" si="0">IF(U14="","FALSE",ABS((U14-AVERAGE($U$14:$U$120))/_xlfn.STDEV.S($U$14:$U$104)))</f>
        <v>4.2088069152885502E-2</v>
      </c>
      <c r="Y14" s="35" t="str">
        <f>IF(OR(U14&gt;$Y$11,U14&lt;$X$11),U14,"")</f>
        <v/>
      </c>
      <c r="Z14" s="36">
        <f>IF(U14="","",U14/T14)</f>
        <v>1.0278924097273396</v>
      </c>
      <c r="AA14" s="6"/>
      <c r="AB14" s="37">
        <v>1.532</v>
      </c>
      <c r="AC14" s="38">
        <v>1.4810000000000001</v>
      </c>
      <c r="AD14" s="38"/>
      <c r="AE14" s="34">
        <f>IF(AF14&gt;3,"FALSE",AC14)</f>
        <v>1.4810000000000001</v>
      </c>
      <c r="AF14" s="34">
        <f>IF(AC14="","FALSE",ABS((AC14-AVERAGE($AC$14:$AC$120))/_xlfn.STDEV.S($AC$14:$AC$104)))</f>
        <v>0.44532351243959317</v>
      </c>
      <c r="AG14" s="35" t="str">
        <f t="shared" ref="AG14:AG77" si="1">IF(OR(AC14&gt;$AG$11,AC14&lt;$AF$11),AC14,"")</f>
        <v/>
      </c>
      <c r="AH14" s="36">
        <f t="shared" ref="AH14:AH77" si="2">IF(AC14="","",AC14/AB14)</f>
        <v>0.9667101827676241</v>
      </c>
    </row>
    <row r="15" spans="1:34" ht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29">
        <f t="shared" ref="P15:P78" si="3">IF(R15&lt;&gt;"",P14+1,"")</f>
        <v>2</v>
      </c>
      <c r="Q15" s="30" t="s">
        <v>106</v>
      </c>
      <c r="R15" s="31">
        <v>45677</v>
      </c>
      <c r="S15" s="68"/>
      <c r="T15" s="145">
        <v>27.14</v>
      </c>
      <c r="U15" s="38">
        <v>27.757999999999999</v>
      </c>
      <c r="V15" s="74"/>
      <c r="W15" s="34">
        <f t="shared" ref="W15:W78" si="4">IF(X15&gt;3,"FALSE",U15)</f>
        <v>27.757999999999999</v>
      </c>
      <c r="X15" s="34">
        <f t="shared" si="0"/>
        <v>9.1044065908123598E-2</v>
      </c>
      <c r="Y15" s="35" t="str">
        <f t="shared" ref="Y15:Y78" si="5">IF(OR(U15&gt;$Y$11,U15&lt;$X$11),U15,"")</f>
        <v/>
      </c>
      <c r="Z15" s="36">
        <f t="shared" ref="Z15:Z78" si="6">IF(U15="","",U15/T15)</f>
        <v>1.0227708179808401</v>
      </c>
      <c r="AA15" s="6"/>
      <c r="AB15" s="37">
        <v>1.532</v>
      </c>
      <c r="AC15" s="38">
        <v>1.6719999999999999</v>
      </c>
      <c r="AD15" s="38"/>
      <c r="AE15" s="34">
        <f t="shared" ref="AE15:AE58" si="7">IF(AF15&gt;3,"FALSE",AC15)</f>
        <v>1.6719999999999999</v>
      </c>
      <c r="AF15" s="34">
        <f t="shared" ref="AF15:AF78" si="8">IF(AC15="","FALSE",ABS((AC15-AVERAGE($AC$14:$AC$120))/_xlfn.STDEV.S($AC$14:$AC$104)))</f>
        <v>0.79272369490417161</v>
      </c>
      <c r="AG15" s="35" t="str">
        <f t="shared" si="1"/>
        <v/>
      </c>
      <c r="AH15" s="36">
        <f t="shared" si="2"/>
        <v>1.0913838120104438</v>
      </c>
    </row>
    <row r="16" spans="1:34" ht="1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29">
        <f t="shared" si="3"/>
        <v>3</v>
      </c>
      <c r="Q16" s="30" t="s">
        <v>106</v>
      </c>
      <c r="R16" s="31">
        <v>45677</v>
      </c>
      <c r="S16" s="68"/>
      <c r="T16" s="145">
        <v>27.14</v>
      </c>
      <c r="U16" s="38">
        <v>26.821000000000002</v>
      </c>
      <c r="V16" s="74"/>
      <c r="W16" s="34">
        <f t="shared" si="4"/>
        <v>26.821000000000002</v>
      </c>
      <c r="X16" s="34">
        <f t="shared" si="0"/>
        <v>0.42105679223659975</v>
      </c>
      <c r="Y16" s="35" t="str">
        <f t="shared" si="5"/>
        <v/>
      </c>
      <c r="Z16" s="36">
        <f t="shared" si="6"/>
        <v>0.98824613117170235</v>
      </c>
      <c r="AA16" s="6"/>
      <c r="AB16" s="37">
        <v>1.532</v>
      </c>
      <c r="AC16" s="38">
        <v>1.26</v>
      </c>
      <c r="AD16" s="38"/>
      <c r="AE16" s="34">
        <f t="shared" si="7"/>
        <v>1.26</v>
      </c>
      <c r="AF16" s="34">
        <f t="shared" si="8"/>
        <v>1.8778283963295008</v>
      </c>
      <c r="AG16" s="35" t="str">
        <f t="shared" si="1"/>
        <v/>
      </c>
      <c r="AH16" s="36">
        <f t="shared" si="2"/>
        <v>0.82245430809399478</v>
      </c>
    </row>
    <row r="17" spans="1:34" ht="1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29">
        <f t="shared" si="3"/>
        <v>4</v>
      </c>
      <c r="Q17" s="30" t="s">
        <v>106</v>
      </c>
      <c r="R17" s="31">
        <v>45677</v>
      </c>
      <c r="S17" s="68"/>
      <c r="T17" s="145">
        <v>27.14</v>
      </c>
      <c r="U17" s="38">
        <v>28.792999999999999</v>
      </c>
      <c r="V17" s="74"/>
      <c r="W17" s="34">
        <f t="shared" si="4"/>
        <v>28.792999999999999</v>
      </c>
      <c r="X17" s="34">
        <f t="shared" si="0"/>
        <v>0.27348439913987405</v>
      </c>
      <c r="Y17" s="35" t="str">
        <f t="shared" si="5"/>
        <v/>
      </c>
      <c r="Z17" s="36">
        <f t="shared" si="6"/>
        <v>1.060906411201179</v>
      </c>
      <c r="AA17" s="6"/>
      <c r="AB17" s="37">
        <v>1.532</v>
      </c>
      <c r="AC17" s="38">
        <v>1.516</v>
      </c>
      <c r="AD17" s="38"/>
      <c r="AE17" s="34">
        <f t="shared" si="7"/>
        <v>1.516</v>
      </c>
      <c r="AF17" s="34">
        <f t="shared" si="8"/>
        <v>0.21845622313576227</v>
      </c>
      <c r="AG17" s="35" t="str">
        <f t="shared" si="1"/>
        <v/>
      </c>
      <c r="AH17" s="36">
        <f t="shared" si="2"/>
        <v>0.98955613577023493</v>
      </c>
    </row>
    <row r="18" spans="1:34" ht="1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29">
        <f t="shared" si="3"/>
        <v>5</v>
      </c>
      <c r="Q18" s="30" t="s">
        <v>106</v>
      </c>
      <c r="R18" s="31">
        <v>45677</v>
      </c>
      <c r="S18" s="68"/>
      <c r="T18" s="145">
        <v>27.14</v>
      </c>
      <c r="U18" s="38">
        <v>31.052</v>
      </c>
      <c r="V18" s="74"/>
      <c r="W18" s="34">
        <f t="shared" si="4"/>
        <v>31.052</v>
      </c>
      <c r="X18" s="34">
        <f t="shared" si="0"/>
        <v>1.0691073967663731</v>
      </c>
      <c r="Y18" s="35" t="str">
        <f t="shared" si="5"/>
        <v/>
      </c>
      <c r="Z18" s="36">
        <f t="shared" si="6"/>
        <v>1.144141488577745</v>
      </c>
      <c r="AA18" s="6"/>
      <c r="AB18" s="37">
        <v>1.532</v>
      </c>
      <c r="AC18" s="38">
        <v>1.712</v>
      </c>
      <c r="AD18" s="38"/>
      <c r="AE18" s="34">
        <f t="shared" si="7"/>
        <v>1.712</v>
      </c>
      <c r="AF18" s="34">
        <f t="shared" si="8"/>
        <v>1.0520005969656934</v>
      </c>
      <c r="AG18" s="35" t="str">
        <f t="shared" si="1"/>
        <v/>
      </c>
      <c r="AH18" s="36">
        <f t="shared" si="2"/>
        <v>1.1174934725848564</v>
      </c>
    </row>
    <row r="19" spans="1:34" ht="1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29">
        <f t="shared" si="3"/>
        <v>6</v>
      </c>
      <c r="Q19" s="30" t="s">
        <v>106</v>
      </c>
      <c r="R19" s="31">
        <v>45678</v>
      </c>
      <c r="S19" s="68"/>
      <c r="T19" s="145">
        <v>27.14</v>
      </c>
      <c r="U19" s="38">
        <v>29.710999999999999</v>
      </c>
      <c r="V19" s="74"/>
      <c r="W19" s="34">
        <f t="shared" si="4"/>
        <v>29.710999999999999</v>
      </c>
      <c r="X19" s="34">
        <f t="shared" si="0"/>
        <v>0.59680529857374987</v>
      </c>
      <c r="Y19" s="35" t="str">
        <f t="shared" si="5"/>
        <v/>
      </c>
      <c r="Z19" s="36">
        <f t="shared" si="6"/>
        <v>1.0947310243183492</v>
      </c>
      <c r="AA19" s="6"/>
      <c r="AB19" s="37">
        <v>1.532</v>
      </c>
      <c r="AC19" s="38">
        <v>1.548</v>
      </c>
      <c r="AD19" s="38"/>
      <c r="AE19" s="34">
        <f t="shared" si="7"/>
        <v>1.548</v>
      </c>
      <c r="AF19" s="34">
        <f t="shared" si="8"/>
        <v>1.1034701486544762E-2</v>
      </c>
      <c r="AG19" s="35" t="str">
        <f t="shared" si="1"/>
        <v/>
      </c>
      <c r="AH19" s="36">
        <f t="shared" si="2"/>
        <v>1.0104438642297651</v>
      </c>
    </row>
    <row r="20" spans="1:34" ht="1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29">
        <f t="shared" si="3"/>
        <v>7</v>
      </c>
      <c r="Q20" s="30" t="s">
        <v>106</v>
      </c>
      <c r="R20" s="31">
        <v>45678</v>
      </c>
      <c r="S20" s="68"/>
      <c r="T20" s="145">
        <v>27.14</v>
      </c>
      <c r="U20" s="38">
        <v>28.957000000000001</v>
      </c>
      <c r="V20" s="74"/>
      <c r="W20" s="34">
        <f t="shared" si="4"/>
        <v>28.957000000000001</v>
      </c>
      <c r="X20" s="34">
        <f t="shared" si="0"/>
        <v>0.33124543128274564</v>
      </c>
      <c r="Y20" s="35" t="str">
        <f t="shared" si="5"/>
        <v/>
      </c>
      <c r="Z20" s="36">
        <f t="shared" si="6"/>
        <v>1.0669491525423729</v>
      </c>
      <c r="AA20" s="6"/>
      <c r="AB20" s="37">
        <v>1.532</v>
      </c>
      <c r="AC20" s="38">
        <v>1.28</v>
      </c>
      <c r="AD20" s="38"/>
      <c r="AE20" s="34">
        <f t="shared" si="7"/>
        <v>1.28</v>
      </c>
      <c r="AF20" s="34">
        <f t="shared" si="8"/>
        <v>1.7481899452987397</v>
      </c>
      <c r="AG20" s="35" t="str">
        <f t="shared" si="1"/>
        <v/>
      </c>
      <c r="AH20" s="36">
        <f t="shared" si="2"/>
        <v>0.835509138381201</v>
      </c>
    </row>
    <row r="21" spans="1:34" ht="1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29">
        <f t="shared" si="3"/>
        <v>8</v>
      </c>
      <c r="Q21" s="30" t="s">
        <v>106</v>
      </c>
      <c r="R21" s="31">
        <v>45678</v>
      </c>
      <c r="S21" s="68"/>
      <c r="T21" s="145">
        <v>27.14</v>
      </c>
      <c r="U21" s="38">
        <v>29.338000000000001</v>
      </c>
      <c r="V21" s="74"/>
      <c r="W21" s="34">
        <f t="shared" si="4"/>
        <v>29.338000000000001</v>
      </c>
      <c r="X21" s="34">
        <f t="shared" si="0"/>
        <v>0.46543417059026948</v>
      </c>
      <c r="Y21" s="35" t="str">
        <f t="shared" si="5"/>
        <v/>
      </c>
      <c r="Z21" s="36">
        <f t="shared" si="6"/>
        <v>1.0809874723655122</v>
      </c>
      <c r="AA21" s="6"/>
      <c r="AB21" s="37">
        <v>1.532</v>
      </c>
      <c r="AC21" s="38">
        <v>1.3680000000000001</v>
      </c>
      <c r="AD21" s="38"/>
      <c r="AE21" s="34">
        <f t="shared" si="7"/>
        <v>1.3680000000000001</v>
      </c>
      <c r="AF21" s="34">
        <f t="shared" si="8"/>
        <v>1.1777807607633917</v>
      </c>
      <c r="AG21" s="35" t="str">
        <f t="shared" si="1"/>
        <v/>
      </c>
      <c r="AH21" s="36">
        <f t="shared" si="2"/>
        <v>0.89295039164490864</v>
      </c>
    </row>
    <row r="22" spans="1:34" ht="1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29">
        <f t="shared" si="3"/>
        <v>9</v>
      </c>
      <c r="Q22" s="30" t="s">
        <v>106</v>
      </c>
      <c r="R22" s="31">
        <v>45678</v>
      </c>
      <c r="S22" s="68"/>
      <c r="T22" s="145">
        <v>27.14</v>
      </c>
      <c r="U22" s="38">
        <v>32.35</v>
      </c>
      <c r="V22" s="74"/>
      <c r="W22" s="34">
        <f t="shared" si="4"/>
        <v>32.35</v>
      </c>
      <c r="X22" s="34">
        <f t="shared" si="0"/>
        <v>1.5262648340922684</v>
      </c>
      <c r="Y22" s="35" t="str">
        <f t="shared" si="5"/>
        <v/>
      </c>
      <c r="Z22" s="36">
        <f t="shared" si="6"/>
        <v>1.1919675755342667</v>
      </c>
      <c r="AA22" s="6"/>
      <c r="AB22" s="37">
        <v>1.532</v>
      </c>
      <c r="AC22" s="38">
        <v>1.6339999999999999</v>
      </c>
      <c r="AD22" s="38"/>
      <c r="AE22" s="34">
        <f t="shared" si="7"/>
        <v>1.6339999999999999</v>
      </c>
      <c r="AF22" s="34">
        <f t="shared" si="8"/>
        <v>0.54641063794572586</v>
      </c>
      <c r="AG22" s="35" t="str">
        <f t="shared" si="1"/>
        <v/>
      </c>
      <c r="AH22" s="36">
        <f t="shared" si="2"/>
        <v>1.0665796344647518</v>
      </c>
    </row>
    <row r="23" spans="1:34" ht="1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29">
        <f t="shared" si="3"/>
        <v>10</v>
      </c>
      <c r="Q23" s="30" t="s">
        <v>106</v>
      </c>
      <c r="R23" s="31">
        <v>45678</v>
      </c>
      <c r="S23" s="68"/>
      <c r="T23" s="145">
        <v>27.14</v>
      </c>
      <c r="U23" s="38">
        <v>28.812000000000001</v>
      </c>
      <c r="V23" s="74"/>
      <c r="W23" s="34">
        <f t="shared" si="4"/>
        <v>28.812000000000001</v>
      </c>
      <c r="X23" s="34">
        <f t="shared" si="0"/>
        <v>0.28017622603447562</v>
      </c>
      <c r="Y23" s="35" t="str">
        <f t="shared" si="5"/>
        <v/>
      </c>
      <c r="Z23" s="36">
        <f t="shared" si="6"/>
        <v>1.0616064848931466</v>
      </c>
      <c r="AA23" s="6"/>
      <c r="AB23" s="37">
        <v>1.532</v>
      </c>
      <c r="AC23" s="38">
        <v>1.635</v>
      </c>
      <c r="AD23" s="38"/>
      <c r="AE23" s="34">
        <f t="shared" si="7"/>
        <v>1.635</v>
      </c>
      <c r="AF23" s="34">
        <f t="shared" si="8"/>
        <v>0.55289256049726454</v>
      </c>
      <c r="AG23" s="35" t="str">
        <f t="shared" si="1"/>
        <v/>
      </c>
      <c r="AH23" s="36">
        <f t="shared" si="2"/>
        <v>1.0672323759791122</v>
      </c>
    </row>
    <row r="24" spans="1:34" ht="1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29">
        <f t="shared" si="3"/>
        <v>11</v>
      </c>
      <c r="Q24" s="30" t="s">
        <v>106</v>
      </c>
      <c r="R24" s="31">
        <v>45679</v>
      </c>
      <c r="S24" s="68"/>
      <c r="T24" s="145">
        <v>27.14</v>
      </c>
      <c r="U24" s="38">
        <v>28.015999999999998</v>
      </c>
      <c r="V24" s="74"/>
      <c r="W24" s="34">
        <f t="shared" si="4"/>
        <v>28.015999999999998</v>
      </c>
      <c r="X24" s="34">
        <f t="shared" si="0"/>
        <v>1.7610070775349668E-4</v>
      </c>
      <c r="Y24" s="35" t="str">
        <f t="shared" si="5"/>
        <v/>
      </c>
      <c r="Z24" s="36">
        <f t="shared" si="6"/>
        <v>1.032277081798084</v>
      </c>
      <c r="AA24" s="6"/>
      <c r="AB24" s="37">
        <v>1.532</v>
      </c>
      <c r="AC24" s="38">
        <v>1.621</v>
      </c>
      <c r="AD24" s="38"/>
      <c r="AE24" s="34">
        <f t="shared" si="7"/>
        <v>1.621</v>
      </c>
      <c r="AF24" s="34">
        <f t="shared" si="8"/>
        <v>0.46214564477573195</v>
      </c>
      <c r="AG24" s="35" t="str">
        <f t="shared" si="1"/>
        <v/>
      </c>
      <c r="AH24" s="36">
        <f t="shared" si="2"/>
        <v>1.0580939947780679</v>
      </c>
    </row>
    <row r="25" spans="1:34" ht="1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29">
        <f t="shared" si="3"/>
        <v>12</v>
      </c>
      <c r="Q25" s="30" t="s">
        <v>106</v>
      </c>
      <c r="R25" s="31">
        <v>45679</v>
      </c>
      <c r="S25" s="68"/>
      <c r="T25" s="145">
        <v>27.14</v>
      </c>
      <c r="U25" s="38">
        <v>26.667000000000002</v>
      </c>
      <c r="V25" s="74"/>
      <c r="W25" s="34">
        <f t="shared" si="4"/>
        <v>26.667000000000002</v>
      </c>
      <c r="X25" s="34">
        <f t="shared" si="0"/>
        <v>0.47529581022441775</v>
      </c>
      <c r="Y25" s="35" t="str">
        <f t="shared" si="5"/>
        <v/>
      </c>
      <c r="Z25" s="36">
        <f t="shared" si="6"/>
        <v>0.98257184966838618</v>
      </c>
      <c r="AA25" s="6"/>
      <c r="AB25" s="37">
        <v>1.532</v>
      </c>
      <c r="AC25" s="38">
        <v>1.5660000000000001</v>
      </c>
      <c r="AD25" s="38"/>
      <c r="AE25" s="34">
        <f t="shared" si="7"/>
        <v>1.5660000000000001</v>
      </c>
      <c r="AF25" s="34">
        <f t="shared" si="8"/>
        <v>0.10563990444114008</v>
      </c>
      <c r="AG25" s="35" t="str">
        <f t="shared" si="1"/>
        <v/>
      </c>
      <c r="AH25" s="36">
        <f t="shared" si="2"/>
        <v>1.0221932114882506</v>
      </c>
    </row>
    <row r="26" spans="1:34" ht="1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29">
        <f t="shared" si="3"/>
        <v>13</v>
      </c>
      <c r="Q26" s="30" t="s">
        <v>106</v>
      </c>
      <c r="R26" s="31">
        <v>45679</v>
      </c>
      <c r="S26" s="68"/>
      <c r="T26" s="145">
        <v>27.14</v>
      </c>
      <c r="U26" s="38">
        <v>27.152999999999999</v>
      </c>
      <c r="V26" s="74"/>
      <c r="W26" s="34">
        <f t="shared" si="4"/>
        <v>27.152999999999999</v>
      </c>
      <c r="X26" s="34">
        <f t="shared" si="0"/>
        <v>0.30412592228883728</v>
      </c>
      <c r="Y26" s="35" t="str">
        <f t="shared" si="5"/>
        <v/>
      </c>
      <c r="Z26" s="36">
        <f t="shared" si="6"/>
        <v>1.000478997789241</v>
      </c>
      <c r="AA26" s="6"/>
      <c r="AB26" s="37">
        <v>1.532</v>
      </c>
      <c r="AC26" s="38">
        <v>1.849</v>
      </c>
      <c r="AD26" s="38"/>
      <c r="AE26" s="34">
        <f t="shared" si="7"/>
        <v>1.849</v>
      </c>
      <c r="AF26" s="34">
        <f t="shared" si="8"/>
        <v>1.9400239865264051</v>
      </c>
      <c r="AG26" s="35" t="str">
        <f t="shared" si="1"/>
        <v/>
      </c>
      <c r="AH26" s="36">
        <f t="shared" si="2"/>
        <v>1.2069190600522193</v>
      </c>
    </row>
    <row r="27" spans="1:34" ht="1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29">
        <f t="shared" si="3"/>
        <v>14</v>
      </c>
      <c r="Q27" s="30" t="s">
        <v>106</v>
      </c>
      <c r="R27" s="31">
        <v>45679</v>
      </c>
      <c r="S27" s="68"/>
      <c r="T27" s="145">
        <v>27.14</v>
      </c>
      <c r="U27" s="38">
        <v>25.504999999999999</v>
      </c>
      <c r="V27" s="74"/>
      <c r="W27" s="34">
        <f t="shared" si="4"/>
        <v>25.504999999999999</v>
      </c>
      <c r="X27" s="34">
        <f t="shared" si="0"/>
        <v>0.88455385504159079</v>
      </c>
      <c r="Y27" s="35" t="str">
        <f t="shared" si="5"/>
        <v/>
      </c>
      <c r="Z27" s="36">
        <f t="shared" si="6"/>
        <v>0.93975681650700071</v>
      </c>
      <c r="AA27" s="6"/>
      <c r="AB27" s="37">
        <v>1.532</v>
      </c>
      <c r="AC27" s="38">
        <v>1.526</v>
      </c>
      <c r="AD27" s="38"/>
      <c r="AE27" s="34">
        <f t="shared" si="7"/>
        <v>1.526</v>
      </c>
      <c r="AF27" s="34">
        <f t="shared" si="8"/>
        <v>0.1536369976203818</v>
      </c>
      <c r="AG27" s="35" t="str">
        <f t="shared" si="1"/>
        <v/>
      </c>
      <c r="AH27" s="36">
        <f t="shared" si="2"/>
        <v>0.99608355091383816</v>
      </c>
    </row>
    <row r="28" spans="1:34" ht="1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29">
        <f t="shared" si="3"/>
        <v>15</v>
      </c>
      <c r="Q28" s="30" t="s">
        <v>106</v>
      </c>
      <c r="R28" s="31">
        <v>45679</v>
      </c>
      <c r="S28" s="68"/>
      <c r="T28" s="145">
        <v>27.14</v>
      </c>
      <c r="U28" s="38">
        <v>26.167000000000002</v>
      </c>
      <c r="V28" s="74"/>
      <c r="W28" s="34">
        <f t="shared" si="4"/>
        <v>26.167000000000002</v>
      </c>
      <c r="X28" s="34">
        <f t="shared" si="0"/>
        <v>0.65139651797707354</v>
      </c>
      <c r="Y28" s="35" t="str">
        <f t="shared" si="5"/>
        <v/>
      </c>
      <c r="Z28" s="36">
        <f t="shared" si="6"/>
        <v>0.96414885777450265</v>
      </c>
      <c r="AA28" s="6"/>
      <c r="AB28" s="37">
        <v>1.532</v>
      </c>
      <c r="AC28" s="38">
        <v>1.821</v>
      </c>
      <c r="AD28" s="38"/>
      <c r="AE28" s="34">
        <f t="shared" si="7"/>
        <v>1.821</v>
      </c>
      <c r="AF28" s="34">
        <f t="shared" si="8"/>
        <v>1.7585301550833399</v>
      </c>
      <c r="AG28" s="35" t="str">
        <f t="shared" si="1"/>
        <v/>
      </c>
      <c r="AH28" s="36">
        <f t="shared" si="2"/>
        <v>1.1886422976501305</v>
      </c>
    </row>
    <row r="29" spans="1:34" ht="1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 t="s">
        <v>107</v>
      </c>
      <c r="O29" s="8"/>
      <c r="P29" s="29">
        <f t="shared" si="3"/>
        <v>16</v>
      </c>
      <c r="Q29" s="30" t="s">
        <v>106</v>
      </c>
      <c r="R29" s="31">
        <v>45681</v>
      </c>
      <c r="S29" s="68"/>
      <c r="T29" s="145">
        <v>27.14</v>
      </c>
      <c r="U29" s="38">
        <v>25.933</v>
      </c>
      <c r="V29" s="74"/>
      <c r="W29" s="34">
        <f t="shared" si="4"/>
        <v>25.933</v>
      </c>
      <c r="X29" s="34">
        <f t="shared" si="0"/>
        <v>0.73381164920531716</v>
      </c>
      <c r="Y29" s="35" t="str">
        <f t="shared" si="5"/>
        <v/>
      </c>
      <c r="Z29" s="36">
        <f t="shared" si="6"/>
        <v>0.955526897568165</v>
      </c>
      <c r="AA29" s="6"/>
      <c r="AB29" s="37">
        <v>1.532</v>
      </c>
      <c r="AC29" s="38">
        <v>1.5</v>
      </c>
      <c r="AD29" s="38"/>
      <c r="AE29" s="34">
        <f t="shared" si="7"/>
        <v>1.5</v>
      </c>
      <c r="AF29" s="34">
        <f t="shared" si="8"/>
        <v>0.32216698396037102</v>
      </c>
      <c r="AG29" s="35" t="str">
        <f t="shared" si="1"/>
        <v/>
      </c>
      <c r="AH29" s="36">
        <f t="shared" si="2"/>
        <v>0.97911227154046998</v>
      </c>
    </row>
    <row r="30" spans="1:34" ht="1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29">
        <f t="shared" si="3"/>
        <v>17</v>
      </c>
      <c r="Q30" s="30" t="s">
        <v>106</v>
      </c>
      <c r="R30" s="31">
        <v>45681</v>
      </c>
      <c r="S30" s="68"/>
      <c r="T30" s="145">
        <v>27.14</v>
      </c>
      <c r="U30" s="38">
        <v>25.484999999999999</v>
      </c>
      <c r="V30" s="74"/>
      <c r="W30" s="34">
        <f t="shared" si="4"/>
        <v>25.484999999999999</v>
      </c>
      <c r="X30" s="34">
        <f t="shared" si="0"/>
        <v>0.89159788335169687</v>
      </c>
      <c r="Y30" s="35" t="str">
        <f t="shared" si="5"/>
        <v/>
      </c>
      <c r="Z30" s="36">
        <f t="shared" si="6"/>
        <v>0.93901989683124532</v>
      </c>
      <c r="AA30" s="6"/>
      <c r="AB30" s="37">
        <v>1.532</v>
      </c>
      <c r="AC30" s="38">
        <v>1.3380000000000001</v>
      </c>
      <c r="AD30" s="38"/>
      <c r="AE30" s="34">
        <f t="shared" si="7"/>
        <v>1.3380000000000001</v>
      </c>
      <c r="AF30" s="34">
        <f t="shared" si="8"/>
        <v>1.3722384373095331</v>
      </c>
      <c r="AG30" s="35" t="str">
        <f t="shared" si="1"/>
        <v/>
      </c>
      <c r="AH30" s="36">
        <f t="shared" si="2"/>
        <v>0.87336814621409931</v>
      </c>
    </row>
    <row r="31" spans="1:34" ht="1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29">
        <f t="shared" si="3"/>
        <v>18</v>
      </c>
      <c r="Q31" s="30" t="s">
        <v>106</v>
      </c>
      <c r="R31" s="31">
        <v>45681</v>
      </c>
      <c r="S31" s="68"/>
      <c r="T31" s="145">
        <v>27.14</v>
      </c>
      <c r="U31" s="38">
        <v>26.38</v>
      </c>
      <c r="V31" s="74"/>
      <c r="W31" s="34">
        <f t="shared" si="4"/>
        <v>26.38</v>
      </c>
      <c r="X31" s="34">
        <f t="shared" si="0"/>
        <v>0.57637761647444308</v>
      </c>
      <c r="Y31" s="35" t="str">
        <f t="shared" si="5"/>
        <v/>
      </c>
      <c r="Z31" s="36">
        <f t="shared" si="6"/>
        <v>0.97199705232129696</v>
      </c>
      <c r="AA31" s="6"/>
      <c r="AB31" s="37">
        <v>1.532</v>
      </c>
      <c r="AC31" s="38">
        <v>1.381</v>
      </c>
      <c r="AD31" s="38"/>
      <c r="AE31" s="34">
        <f t="shared" si="7"/>
        <v>1.381</v>
      </c>
      <c r="AF31" s="34">
        <f t="shared" si="8"/>
        <v>1.0935157675933977</v>
      </c>
      <c r="AG31" s="35" t="str">
        <f t="shared" si="1"/>
        <v/>
      </c>
      <c r="AH31" s="36">
        <f t="shared" si="2"/>
        <v>0.90143603133159267</v>
      </c>
    </row>
    <row r="32" spans="1:34" ht="1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29">
        <f t="shared" si="3"/>
        <v>19</v>
      </c>
      <c r="Q32" s="30" t="s">
        <v>106</v>
      </c>
      <c r="R32" s="31">
        <v>45681</v>
      </c>
      <c r="S32" s="68"/>
      <c r="T32" s="145">
        <v>27.14</v>
      </c>
      <c r="U32" s="38">
        <v>29.082999999999998</v>
      </c>
      <c r="V32" s="74"/>
      <c r="W32" s="34">
        <f t="shared" si="4"/>
        <v>29.082999999999998</v>
      </c>
      <c r="X32" s="34">
        <f t="shared" si="0"/>
        <v>0.37562280963641409</v>
      </c>
      <c r="Y32" s="35" t="str">
        <f t="shared" si="5"/>
        <v/>
      </c>
      <c r="Z32" s="36">
        <f t="shared" si="6"/>
        <v>1.0715917464996314</v>
      </c>
      <c r="AA32" s="6"/>
      <c r="AB32" s="37">
        <v>1.532</v>
      </c>
      <c r="AC32" s="38">
        <v>1.599</v>
      </c>
      <c r="AD32" s="38"/>
      <c r="AE32" s="34">
        <f t="shared" si="7"/>
        <v>1.599</v>
      </c>
      <c r="AF32" s="34">
        <f t="shared" si="8"/>
        <v>0.31954334864189488</v>
      </c>
      <c r="AG32" s="35" t="str">
        <f t="shared" si="1"/>
        <v/>
      </c>
      <c r="AH32" s="36">
        <f t="shared" si="2"/>
        <v>1.043733681462141</v>
      </c>
    </row>
    <row r="33" spans="1:34" ht="1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29">
        <f t="shared" si="3"/>
        <v>20</v>
      </c>
      <c r="Q33" s="30" t="s">
        <v>106</v>
      </c>
      <c r="R33" s="31">
        <v>45681</v>
      </c>
      <c r="S33" s="68"/>
      <c r="T33" s="145">
        <v>27.14</v>
      </c>
      <c r="U33" s="38">
        <v>24.617000000000001</v>
      </c>
      <c r="V33" s="74"/>
      <c r="W33" s="34">
        <f t="shared" si="4"/>
        <v>24.617000000000001</v>
      </c>
      <c r="X33" s="34">
        <f t="shared" si="0"/>
        <v>1.197308712010307</v>
      </c>
      <c r="Y33" s="35" t="str">
        <f t="shared" si="5"/>
        <v/>
      </c>
      <c r="Z33" s="36">
        <f t="shared" si="6"/>
        <v>0.90703758290346359</v>
      </c>
      <c r="AA33" s="6"/>
      <c r="AB33" s="37">
        <v>1.532</v>
      </c>
      <c r="AC33" s="38">
        <v>1.359</v>
      </c>
      <c r="AD33" s="38"/>
      <c r="AE33" s="34">
        <f t="shared" si="7"/>
        <v>1.359</v>
      </c>
      <c r="AF33" s="34">
        <f t="shared" si="8"/>
        <v>1.2361180637272349</v>
      </c>
      <c r="AG33" s="35" t="str">
        <f t="shared" si="1"/>
        <v/>
      </c>
      <c r="AH33" s="36">
        <f t="shared" si="2"/>
        <v>0.88707571801566576</v>
      </c>
    </row>
    <row r="34" spans="1:34" ht="1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29">
        <f t="shared" si="3"/>
        <v>21</v>
      </c>
      <c r="Q34" s="30" t="s">
        <v>108</v>
      </c>
      <c r="R34" s="31">
        <v>45743</v>
      </c>
      <c r="S34" s="68"/>
      <c r="T34" s="146">
        <v>27.92</v>
      </c>
      <c r="U34" s="38">
        <v>28.753</v>
      </c>
      <c r="V34" s="74"/>
      <c r="W34" s="34">
        <f t="shared" si="4"/>
        <v>28.753</v>
      </c>
      <c r="X34" s="34">
        <f t="shared" si="0"/>
        <v>0.25939634251966187</v>
      </c>
      <c r="Y34" s="35" t="str">
        <f t="shared" si="5"/>
        <v/>
      </c>
      <c r="Z34" s="36">
        <f t="shared" si="6"/>
        <v>1.0298352435530085</v>
      </c>
      <c r="AA34" s="6"/>
      <c r="AB34" s="37">
        <v>1.53</v>
      </c>
      <c r="AC34" s="38">
        <v>1.631</v>
      </c>
      <c r="AD34" s="38"/>
      <c r="AE34" s="34">
        <f t="shared" si="7"/>
        <v>1.631</v>
      </c>
      <c r="AF34" s="34">
        <f t="shared" si="8"/>
        <v>0.52696487029111239</v>
      </c>
      <c r="AG34" s="35" t="str">
        <f t="shared" si="1"/>
        <v/>
      </c>
      <c r="AH34" s="36">
        <f t="shared" si="2"/>
        <v>1.0660130718954248</v>
      </c>
    </row>
    <row r="35" spans="1:34" ht="1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29">
        <f t="shared" si="3"/>
        <v>22</v>
      </c>
      <c r="Q35" s="30" t="s">
        <v>108</v>
      </c>
      <c r="R35" s="31">
        <v>45743</v>
      </c>
      <c r="S35" s="68"/>
      <c r="T35" s="146">
        <v>27.92</v>
      </c>
      <c r="U35" s="38">
        <v>29.513999999999999</v>
      </c>
      <c r="V35" s="74"/>
      <c r="W35" s="34">
        <f t="shared" si="4"/>
        <v>29.513999999999999</v>
      </c>
      <c r="X35" s="34">
        <f t="shared" si="0"/>
        <v>0.52742161971920376</v>
      </c>
      <c r="Y35" s="35" t="str">
        <f t="shared" si="5"/>
        <v/>
      </c>
      <c r="Z35" s="36">
        <f t="shared" si="6"/>
        <v>1.0570916905444125</v>
      </c>
      <c r="AA35" s="6"/>
      <c r="AB35" s="37">
        <v>1.53</v>
      </c>
      <c r="AC35" s="38">
        <v>1.63</v>
      </c>
      <c r="AD35" s="38"/>
      <c r="AE35" s="34">
        <f t="shared" si="7"/>
        <v>1.63</v>
      </c>
      <c r="AF35" s="34">
        <f t="shared" si="8"/>
        <v>0.5204829477395736</v>
      </c>
      <c r="AG35" s="35" t="str">
        <f t="shared" si="1"/>
        <v/>
      </c>
      <c r="AH35" s="36">
        <f t="shared" si="2"/>
        <v>1.065359477124183</v>
      </c>
    </row>
    <row r="36" spans="1:34" ht="1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29">
        <f t="shared" si="3"/>
        <v>23</v>
      </c>
      <c r="Q36" s="30" t="s">
        <v>108</v>
      </c>
      <c r="R36" s="31">
        <v>45772</v>
      </c>
      <c r="S36" s="68"/>
      <c r="T36" s="146">
        <v>27.92</v>
      </c>
      <c r="U36" s="38">
        <v>25.492000000000001</v>
      </c>
      <c r="V36" s="74"/>
      <c r="W36" s="34">
        <f t="shared" si="4"/>
        <v>25.492000000000001</v>
      </c>
      <c r="X36" s="34">
        <f t="shared" si="0"/>
        <v>0.88913247344315915</v>
      </c>
      <c r="Y36" s="35" t="str">
        <f t="shared" si="5"/>
        <v/>
      </c>
      <c r="Z36" s="36">
        <f t="shared" si="6"/>
        <v>0.91303724928366758</v>
      </c>
      <c r="AA36" s="6"/>
      <c r="AB36" s="37">
        <v>1.53</v>
      </c>
      <c r="AC36" s="38">
        <v>1.7010000000000001</v>
      </c>
      <c r="AD36" s="38"/>
      <c r="AE36" s="34">
        <f t="shared" si="7"/>
        <v>1.7010000000000001</v>
      </c>
      <c r="AF36" s="34">
        <f t="shared" si="8"/>
        <v>0.98069944889877569</v>
      </c>
      <c r="AG36" s="35" t="str">
        <f t="shared" si="1"/>
        <v/>
      </c>
      <c r="AH36" s="36">
        <f t="shared" si="2"/>
        <v>1.111764705882353</v>
      </c>
    </row>
    <row r="37" spans="1:34" ht="1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29">
        <f t="shared" si="3"/>
        <v>24</v>
      </c>
      <c r="Q37" s="30" t="s">
        <v>108</v>
      </c>
      <c r="R37" s="31">
        <v>45772</v>
      </c>
      <c r="S37" s="68"/>
      <c r="T37" s="146">
        <v>27.92</v>
      </c>
      <c r="U37" s="38">
        <v>28.635000000000002</v>
      </c>
      <c r="V37" s="74"/>
      <c r="W37" s="34">
        <f t="shared" si="4"/>
        <v>28.635000000000002</v>
      </c>
      <c r="X37" s="34">
        <f t="shared" si="0"/>
        <v>0.2178365754900356</v>
      </c>
      <c r="Y37" s="35" t="str">
        <f t="shared" si="5"/>
        <v/>
      </c>
      <c r="Z37" s="36">
        <f t="shared" si="6"/>
        <v>1.02560888252149</v>
      </c>
      <c r="AA37" s="6"/>
      <c r="AB37" s="37">
        <v>1.53</v>
      </c>
      <c r="AC37" s="38">
        <v>1.41</v>
      </c>
      <c r="AD37" s="38"/>
      <c r="AE37" s="34">
        <f t="shared" si="7"/>
        <v>1.41</v>
      </c>
      <c r="AF37" s="34">
        <f t="shared" si="8"/>
        <v>0.90554001359879521</v>
      </c>
      <c r="AG37" s="35" t="str">
        <f t="shared" si="1"/>
        <v/>
      </c>
      <c r="AH37" s="36">
        <f t="shared" si="2"/>
        <v>0.92156862745098034</v>
      </c>
    </row>
    <row r="38" spans="1:34" ht="1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29">
        <f t="shared" si="3"/>
        <v>25</v>
      </c>
      <c r="Q38" s="30" t="s">
        <v>108</v>
      </c>
      <c r="R38" s="31">
        <v>45785</v>
      </c>
      <c r="S38" s="68"/>
      <c r="T38" s="146">
        <v>27.92</v>
      </c>
      <c r="U38" s="38">
        <v>22.597200000000001</v>
      </c>
      <c r="V38" s="74"/>
      <c r="W38" s="34">
        <f t="shared" si="4"/>
        <v>22.597200000000001</v>
      </c>
      <c r="X38" s="34">
        <f t="shared" si="0"/>
        <v>1.9086851310479354</v>
      </c>
      <c r="Y38" s="35">
        <f t="shared" si="5"/>
        <v>22.597200000000001</v>
      </c>
      <c r="Z38" s="36">
        <f t="shared" si="6"/>
        <v>0.80935530085959884</v>
      </c>
      <c r="AA38" s="6"/>
      <c r="AB38" s="37">
        <v>1.53</v>
      </c>
      <c r="AC38" s="38">
        <v>1.6675</v>
      </c>
      <c r="AD38" s="38"/>
      <c r="AE38" s="34">
        <f t="shared" si="7"/>
        <v>1.6675</v>
      </c>
      <c r="AF38" s="34">
        <f t="shared" si="8"/>
        <v>0.76355504342225078</v>
      </c>
      <c r="AG38" s="35" t="str">
        <f t="shared" si="1"/>
        <v/>
      </c>
      <c r="AH38" s="36">
        <f t="shared" si="2"/>
        <v>1.0898692810457515</v>
      </c>
    </row>
    <row r="39" spans="1:34" ht="1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29">
        <f t="shared" si="3"/>
        <v>26</v>
      </c>
      <c r="Q39" s="30" t="s">
        <v>108</v>
      </c>
      <c r="R39" s="31">
        <v>45785</v>
      </c>
      <c r="S39" s="68"/>
      <c r="T39" s="146">
        <v>27.92</v>
      </c>
      <c r="U39" s="38">
        <v>29.102799999999998</v>
      </c>
      <c r="V39" s="74"/>
      <c r="W39" s="34">
        <f t="shared" si="4"/>
        <v>29.102799999999998</v>
      </c>
      <c r="X39" s="34">
        <f t="shared" si="0"/>
        <v>0.3825963976634193</v>
      </c>
      <c r="Y39" s="35" t="str">
        <f t="shared" si="5"/>
        <v/>
      </c>
      <c r="Z39" s="36">
        <f t="shared" si="6"/>
        <v>1.0423638968481375</v>
      </c>
      <c r="AA39" s="6"/>
      <c r="AB39" s="37">
        <v>1.53</v>
      </c>
      <c r="AC39" s="38">
        <v>1.532</v>
      </c>
      <c r="AD39" s="38"/>
      <c r="AE39" s="34">
        <f t="shared" si="7"/>
        <v>1.532</v>
      </c>
      <c r="AF39" s="34">
        <f t="shared" si="8"/>
        <v>0.11474546231115351</v>
      </c>
      <c r="AG39" s="35" t="str">
        <f t="shared" si="1"/>
        <v/>
      </c>
      <c r="AH39" s="36">
        <f t="shared" si="2"/>
        <v>1.0013071895424837</v>
      </c>
    </row>
    <row r="40" spans="1:34" ht="1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29">
        <f t="shared" si="3"/>
        <v>27</v>
      </c>
      <c r="Q40" s="30" t="s">
        <v>109</v>
      </c>
      <c r="R40" s="31">
        <v>45793</v>
      </c>
      <c r="S40" s="68"/>
      <c r="T40" s="146">
        <v>27.92</v>
      </c>
      <c r="U40" s="38">
        <v>24.635999999999999</v>
      </c>
      <c r="V40" s="74"/>
      <c r="W40" s="34">
        <f t="shared" si="4"/>
        <v>24.635999999999999</v>
      </c>
      <c r="X40" s="34">
        <f t="shared" si="0"/>
        <v>1.1906168851157066</v>
      </c>
      <c r="Y40" s="35" t="str">
        <f t="shared" si="5"/>
        <v/>
      </c>
      <c r="Z40" s="36">
        <f t="shared" si="6"/>
        <v>0.88237822349570194</v>
      </c>
      <c r="AA40" s="6"/>
      <c r="AB40" s="37">
        <v>1.53</v>
      </c>
      <c r="AC40" s="38">
        <v>1.5189999999999999</v>
      </c>
      <c r="AD40" s="38"/>
      <c r="AE40" s="34">
        <f t="shared" si="7"/>
        <v>1.5189999999999999</v>
      </c>
      <c r="AF40" s="34">
        <f t="shared" si="8"/>
        <v>0.19901045548114885</v>
      </c>
      <c r="AG40" s="35" t="str">
        <f t="shared" si="1"/>
        <v/>
      </c>
      <c r="AH40" s="36">
        <f t="shared" si="2"/>
        <v>0.99281045751633978</v>
      </c>
    </row>
    <row r="41" spans="1:34" ht="1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29">
        <f t="shared" si="3"/>
        <v>28</v>
      </c>
      <c r="Q41" s="30" t="s">
        <v>109</v>
      </c>
      <c r="R41" s="31">
        <v>45793</v>
      </c>
      <c r="S41" s="68"/>
      <c r="T41" s="146">
        <v>27.92</v>
      </c>
      <c r="U41" s="38">
        <v>37.905000000000001</v>
      </c>
      <c r="V41" s="74"/>
      <c r="W41" s="34" t="str">
        <f t="shared" si="4"/>
        <v>FALSE</v>
      </c>
      <c r="X41" s="34">
        <f t="shared" si="0"/>
        <v>3.4827436972242745</v>
      </c>
      <c r="Y41" s="35">
        <f t="shared" si="5"/>
        <v>37.905000000000001</v>
      </c>
      <c r="Z41" s="36">
        <f t="shared" si="6"/>
        <v>1.3576289398280801</v>
      </c>
      <c r="AA41" s="6"/>
      <c r="AB41" s="37">
        <v>1.53</v>
      </c>
      <c r="AC41" s="38">
        <v>1.7549999999999999</v>
      </c>
      <c r="AD41" s="38"/>
      <c r="AE41" s="34">
        <f t="shared" si="7"/>
        <v>1.7549999999999999</v>
      </c>
      <c r="AF41" s="34">
        <f t="shared" si="8"/>
        <v>1.3307232666818287</v>
      </c>
      <c r="AG41" s="35" t="str">
        <f t="shared" si="1"/>
        <v/>
      </c>
      <c r="AH41" s="36">
        <f t="shared" si="2"/>
        <v>1.1470588235294117</v>
      </c>
    </row>
    <row r="42" spans="1:34" ht="1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29">
        <f t="shared" si="3"/>
        <v>29</v>
      </c>
      <c r="Q42" s="30" t="s">
        <v>108</v>
      </c>
      <c r="R42" s="31">
        <v>45804</v>
      </c>
      <c r="S42" s="68"/>
      <c r="T42" s="146">
        <v>27.92</v>
      </c>
      <c r="U42" s="38">
        <v>26.89</v>
      </c>
      <c r="V42" s="74"/>
      <c r="W42" s="34">
        <f t="shared" si="4"/>
        <v>26.89</v>
      </c>
      <c r="X42" s="34">
        <f t="shared" si="0"/>
        <v>0.39675489456673363</v>
      </c>
      <c r="Y42" s="35" t="str">
        <f t="shared" si="5"/>
        <v/>
      </c>
      <c r="Z42" s="36">
        <f t="shared" si="6"/>
        <v>0.96310888252148996</v>
      </c>
      <c r="AA42" s="6"/>
      <c r="AB42" s="37">
        <v>1.53</v>
      </c>
      <c r="AC42" s="38">
        <v>1.4159999999999999</v>
      </c>
      <c r="AD42" s="38"/>
      <c r="AE42" s="34">
        <f t="shared" si="7"/>
        <v>1.4159999999999999</v>
      </c>
      <c r="AF42" s="34">
        <f t="shared" si="8"/>
        <v>0.86664847828956693</v>
      </c>
      <c r="AG42" s="35" t="str">
        <f t="shared" si="1"/>
        <v/>
      </c>
      <c r="AH42" s="36">
        <f t="shared" si="2"/>
        <v>0.9254901960784313</v>
      </c>
    </row>
    <row r="43" spans="1:34" ht="1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29">
        <f t="shared" si="3"/>
        <v>30</v>
      </c>
      <c r="Q43" s="30" t="s">
        <v>108</v>
      </c>
      <c r="R43" s="31">
        <v>45804</v>
      </c>
      <c r="S43" s="68"/>
      <c r="T43" s="146">
        <v>27.92</v>
      </c>
      <c r="U43" s="38">
        <v>29.491</v>
      </c>
      <c r="V43" s="74"/>
      <c r="W43" s="34">
        <f t="shared" si="4"/>
        <v>29.491</v>
      </c>
      <c r="X43" s="34">
        <f t="shared" si="0"/>
        <v>0.51932098716258168</v>
      </c>
      <c r="Y43" s="35" t="str">
        <f t="shared" si="5"/>
        <v/>
      </c>
      <c r="Z43" s="36">
        <f t="shared" si="6"/>
        <v>1.0562679083094555</v>
      </c>
      <c r="AA43" s="6"/>
      <c r="AB43" s="37">
        <v>1.53</v>
      </c>
      <c r="AC43" s="38">
        <v>1.6970000000000001</v>
      </c>
      <c r="AD43" s="38"/>
      <c r="AE43" s="34">
        <f t="shared" si="7"/>
        <v>1.6970000000000001</v>
      </c>
      <c r="AF43" s="34">
        <f t="shared" si="8"/>
        <v>0.95477175869262343</v>
      </c>
      <c r="AG43" s="35" t="str">
        <f t="shared" si="1"/>
        <v/>
      </c>
      <c r="AH43" s="36">
        <f t="shared" si="2"/>
        <v>1.1091503267973857</v>
      </c>
    </row>
    <row r="44" spans="1:34" ht="1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29">
        <f t="shared" si="3"/>
        <v>31</v>
      </c>
      <c r="Q44" s="30" t="s">
        <v>108</v>
      </c>
      <c r="R44" s="31">
        <v>45825</v>
      </c>
      <c r="S44" s="68"/>
      <c r="T44" s="146">
        <v>27.92</v>
      </c>
      <c r="U44" s="38">
        <v>27.503</v>
      </c>
      <c r="V44" s="74"/>
      <c r="W44" s="34">
        <f t="shared" si="4"/>
        <v>27.503</v>
      </c>
      <c r="X44" s="34">
        <f t="shared" si="0"/>
        <v>0.18085542686197772</v>
      </c>
      <c r="Y44" s="35" t="str">
        <f t="shared" si="5"/>
        <v/>
      </c>
      <c r="Z44" s="36">
        <f t="shared" si="6"/>
        <v>0.98506446991404006</v>
      </c>
      <c r="AA44" s="6"/>
      <c r="AB44" s="37">
        <v>1.53</v>
      </c>
      <c r="AC44" s="38">
        <v>1.3879999999999999</v>
      </c>
      <c r="AD44" s="38"/>
      <c r="AE44" s="34">
        <f t="shared" si="7"/>
        <v>1.3879999999999999</v>
      </c>
      <c r="AF44" s="34">
        <f t="shared" si="8"/>
        <v>1.0481423097326321</v>
      </c>
      <c r="AG44" s="35" t="str">
        <f t="shared" si="1"/>
        <v/>
      </c>
      <c r="AH44" s="36">
        <f t="shared" si="2"/>
        <v>0.90718954248366002</v>
      </c>
    </row>
    <row r="45" spans="1:34" ht="1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29">
        <f t="shared" si="3"/>
        <v>32</v>
      </c>
      <c r="Q45" s="30" t="s">
        <v>108</v>
      </c>
      <c r="R45" s="31">
        <v>45825</v>
      </c>
      <c r="S45" s="68"/>
      <c r="T45" s="146">
        <v>27.92</v>
      </c>
      <c r="U45" s="38">
        <v>27.986999999999998</v>
      </c>
      <c r="V45" s="74"/>
      <c r="W45" s="34">
        <f t="shared" si="4"/>
        <v>27.986999999999998</v>
      </c>
      <c r="X45" s="34">
        <f t="shared" si="0"/>
        <v>1.0389941757407505E-2</v>
      </c>
      <c r="Y45" s="35" t="str">
        <f t="shared" si="5"/>
        <v/>
      </c>
      <c r="Z45" s="36">
        <f t="shared" si="6"/>
        <v>1.0023997134670486</v>
      </c>
      <c r="AA45" s="6"/>
      <c r="AB45" s="37">
        <v>1.53</v>
      </c>
      <c r="AC45" s="38">
        <v>1.62</v>
      </c>
      <c r="AD45" s="38"/>
      <c r="AE45" s="34">
        <f t="shared" si="7"/>
        <v>1.62</v>
      </c>
      <c r="AF45" s="34">
        <f t="shared" si="8"/>
        <v>0.4556637222241946</v>
      </c>
      <c r="AG45" s="35" t="str">
        <f t="shared" si="1"/>
        <v/>
      </c>
      <c r="AH45" s="36">
        <f t="shared" si="2"/>
        <v>1.0588235294117647</v>
      </c>
    </row>
    <row r="46" spans="1:34" ht="1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29">
        <f t="shared" si="3"/>
        <v>33</v>
      </c>
      <c r="Q46" s="30" t="s">
        <v>108</v>
      </c>
      <c r="R46" s="31">
        <v>45825</v>
      </c>
      <c r="S46" s="68"/>
      <c r="T46" s="146">
        <v>27.92</v>
      </c>
      <c r="U46" s="38">
        <v>27.44</v>
      </c>
      <c r="V46" s="74"/>
      <c r="W46" s="34">
        <f t="shared" si="4"/>
        <v>27.44</v>
      </c>
      <c r="X46" s="34">
        <f t="shared" si="0"/>
        <v>0.20304411603881195</v>
      </c>
      <c r="Y46" s="35" t="str">
        <f t="shared" si="5"/>
        <v/>
      </c>
      <c r="Z46" s="36">
        <f t="shared" si="6"/>
        <v>0.98280802292263614</v>
      </c>
      <c r="AA46" s="6"/>
      <c r="AB46" s="37">
        <v>1.53</v>
      </c>
      <c r="AC46" s="38">
        <v>1.6339999999999999</v>
      </c>
      <c r="AD46" s="38"/>
      <c r="AE46" s="34">
        <f t="shared" si="7"/>
        <v>1.6339999999999999</v>
      </c>
      <c r="AF46" s="34">
        <f t="shared" si="8"/>
        <v>0.54641063794572586</v>
      </c>
      <c r="AG46" s="35" t="str">
        <f t="shared" si="1"/>
        <v/>
      </c>
      <c r="AH46" s="36">
        <f t="shared" si="2"/>
        <v>1.0679738562091503</v>
      </c>
    </row>
    <row r="47" spans="1:34" ht="1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29">
        <f t="shared" si="3"/>
        <v>34</v>
      </c>
      <c r="Q47" s="30" t="s">
        <v>108</v>
      </c>
      <c r="R47" s="31">
        <v>45825</v>
      </c>
      <c r="S47" s="68"/>
      <c r="T47" s="146">
        <v>27.92</v>
      </c>
      <c r="U47" s="38">
        <v>31.905000000000001</v>
      </c>
      <c r="V47" s="74"/>
      <c r="W47" s="34">
        <f t="shared" si="4"/>
        <v>31.905000000000001</v>
      </c>
      <c r="X47" s="34">
        <f t="shared" si="0"/>
        <v>1.3695352041924045</v>
      </c>
      <c r="Y47" s="35" t="str">
        <f t="shared" si="5"/>
        <v/>
      </c>
      <c r="Z47" s="36">
        <f t="shared" si="6"/>
        <v>1.1427292263610316</v>
      </c>
      <c r="AA47" s="6"/>
      <c r="AB47" s="37">
        <v>1.53</v>
      </c>
      <c r="AC47" s="38">
        <v>1.5780000000000001</v>
      </c>
      <c r="AD47" s="38"/>
      <c r="AE47" s="34">
        <f t="shared" si="7"/>
        <v>1.5780000000000001</v>
      </c>
      <c r="AF47" s="34">
        <f t="shared" si="8"/>
        <v>0.18342297505959665</v>
      </c>
      <c r="AG47" s="35" t="str">
        <f t="shared" si="1"/>
        <v/>
      </c>
      <c r="AH47" s="36">
        <f t="shared" si="2"/>
        <v>1.031372549019608</v>
      </c>
    </row>
    <row r="48" spans="1:34" ht="1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29">
        <f t="shared" si="3"/>
        <v>35</v>
      </c>
      <c r="Q48" s="30" t="s">
        <v>106</v>
      </c>
      <c r="R48" s="31">
        <v>45860</v>
      </c>
      <c r="S48" s="68"/>
      <c r="T48" s="146">
        <v>27.92</v>
      </c>
      <c r="U48" s="38">
        <v>27.35</v>
      </c>
      <c r="V48" s="74"/>
      <c r="W48" s="34">
        <f t="shared" si="4"/>
        <v>27.35</v>
      </c>
      <c r="X48" s="34">
        <f t="shared" si="0"/>
        <v>0.23474224343428995</v>
      </c>
      <c r="Y48" s="35" t="str">
        <f t="shared" si="5"/>
        <v/>
      </c>
      <c r="Z48" s="36">
        <f t="shared" si="6"/>
        <v>0.97958452722063039</v>
      </c>
      <c r="AA48" s="6"/>
      <c r="AB48" s="37">
        <v>1.53</v>
      </c>
      <c r="AC48" s="38">
        <v>1.2909999999999999</v>
      </c>
      <c r="AD48" s="38"/>
      <c r="AE48" s="34">
        <f t="shared" si="7"/>
        <v>1.2909999999999999</v>
      </c>
      <c r="AF48" s="34">
        <f t="shared" si="8"/>
        <v>1.676888797231822</v>
      </c>
      <c r="AG48" s="35" t="str">
        <f t="shared" si="1"/>
        <v/>
      </c>
      <c r="AH48" s="36">
        <f t="shared" si="2"/>
        <v>0.8437908496732025</v>
      </c>
    </row>
    <row r="49" spans="1:34" ht="1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29">
        <f t="shared" si="3"/>
        <v>36</v>
      </c>
      <c r="Q49" s="30" t="s">
        <v>106</v>
      </c>
      <c r="R49" s="31">
        <v>45860</v>
      </c>
      <c r="S49" s="68"/>
      <c r="T49" s="146">
        <v>27.92</v>
      </c>
      <c r="U49" s="38">
        <v>26.486000000000001</v>
      </c>
      <c r="V49" s="74"/>
      <c r="W49" s="34">
        <f t="shared" si="4"/>
        <v>26.486000000000001</v>
      </c>
      <c r="X49" s="34">
        <f t="shared" si="0"/>
        <v>0.53904426643087944</v>
      </c>
      <c r="Y49" s="35" t="str">
        <f t="shared" si="5"/>
        <v/>
      </c>
      <c r="Z49" s="36">
        <f t="shared" si="6"/>
        <v>0.9486389684813753</v>
      </c>
      <c r="AA49" s="6"/>
      <c r="AB49" s="37">
        <v>1.53</v>
      </c>
      <c r="AC49" s="38">
        <v>1.5780000000000001</v>
      </c>
      <c r="AD49" s="38"/>
      <c r="AE49" s="34">
        <f t="shared" si="7"/>
        <v>1.5780000000000001</v>
      </c>
      <c r="AF49" s="34">
        <f t="shared" si="8"/>
        <v>0.18342297505959665</v>
      </c>
      <c r="AG49" s="35" t="str">
        <f t="shared" si="1"/>
        <v/>
      </c>
      <c r="AH49" s="36">
        <f t="shared" si="2"/>
        <v>1.031372549019608</v>
      </c>
    </row>
    <row r="50" spans="1:34" ht="1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29">
        <f t="shared" si="3"/>
        <v>37</v>
      </c>
      <c r="Q50" s="30" t="s">
        <v>106</v>
      </c>
      <c r="R50" s="31">
        <v>45912</v>
      </c>
      <c r="S50" s="68"/>
      <c r="T50" s="146">
        <v>27.92</v>
      </c>
      <c r="U50" s="38">
        <v>20.268000000000001</v>
      </c>
      <c r="V50" s="74"/>
      <c r="W50" s="34">
        <f t="shared" si="4"/>
        <v>20.268000000000001</v>
      </c>
      <c r="X50" s="34">
        <f t="shared" si="0"/>
        <v>2.7290326680429073</v>
      </c>
      <c r="Y50" s="35">
        <f t="shared" si="5"/>
        <v>20.268000000000001</v>
      </c>
      <c r="Z50" s="36">
        <f t="shared" si="6"/>
        <v>0.72593123209169053</v>
      </c>
      <c r="AA50" s="6"/>
      <c r="AB50" s="37">
        <v>1.53</v>
      </c>
      <c r="AC50" s="38">
        <v>1.4410000000000001</v>
      </c>
      <c r="AD50" s="38"/>
      <c r="AE50" s="34">
        <f t="shared" si="7"/>
        <v>1.4410000000000001</v>
      </c>
      <c r="AF50" s="34">
        <f t="shared" si="8"/>
        <v>0.70460041450111499</v>
      </c>
      <c r="AG50" s="35" t="str">
        <f t="shared" si="1"/>
        <v/>
      </c>
      <c r="AH50" s="36">
        <f t="shared" si="2"/>
        <v>0.94183006535947711</v>
      </c>
    </row>
    <row r="51" spans="1:34" ht="1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29">
        <f t="shared" si="3"/>
        <v>38</v>
      </c>
      <c r="Q51" s="30" t="s">
        <v>106</v>
      </c>
      <c r="R51" s="31">
        <v>46044</v>
      </c>
      <c r="S51" s="68"/>
      <c r="T51" s="146">
        <v>27.92</v>
      </c>
      <c r="U51" s="38">
        <v>27.271000000000001</v>
      </c>
      <c r="V51" s="74"/>
      <c r="W51" s="34">
        <f t="shared" si="4"/>
        <v>27.271000000000001</v>
      </c>
      <c r="X51" s="34">
        <f t="shared" si="0"/>
        <v>0.26256615525920979</v>
      </c>
      <c r="Y51" s="35" t="str">
        <f t="shared" si="5"/>
        <v/>
      </c>
      <c r="Z51" s="36">
        <f t="shared" si="6"/>
        <v>0.97675501432664757</v>
      </c>
      <c r="AA51" s="6"/>
      <c r="AB51" s="37">
        <v>1.53</v>
      </c>
      <c r="AC51" s="38">
        <v>1.4419999999999999</v>
      </c>
      <c r="AD51" s="38"/>
      <c r="AE51" s="34">
        <f t="shared" si="7"/>
        <v>1.4419999999999999</v>
      </c>
      <c r="AF51" s="34">
        <f t="shared" si="8"/>
        <v>0.69811849194957776</v>
      </c>
      <c r="AG51" s="35" t="str">
        <f t="shared" si="1"/>
        <v/>
      </c>
      <c r="AH51" s="36">
        <f t="shared" si="2"/>
        <v>0.94248366013071894</v>
      </c>
    </row>
    <row r="52" spans="1:34" ht="1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29">
        <f t="shared" si="3"/>
        <v>39</v>
      </c>
      <c r="Q52" s="30" t="s">
        <v>106</v>
      </c>
      <c r="R52" s="31">
        <v>46044</v>
      </c>
      <c r="S52" s="68"/>
      <c r="T52" s="146">
        <v>27.92</v>
      </c>
      <c r="U52" s="38">
        <v>29.416</v>
      </c>
      <c r="V52" s="74"/>
      <c r="W52" s="34">
        <f t="shared" si="4"/>
        <v>29.416</v>
      </c>
      <c r="X52" s="34">
        <f t="shared" si="0"/>
        <v>0.49290588099968358</v>
      </c>
      <c r="Y52" s="35" t="str">
        <f t="shared" si="5"/>
        <v/>
      </c>
      <c r="Z52" s="36">
        <f t="shared" si="6"/>
        <v>1.0535816618911173</v>
      </c>
      <c r="AA52" s="6"/>
      <c r="AB52" s="37">
        <v>1.53</v>
      </c>
      <c r="AC52" s="38">
        <v>1.766</v>
      </c>
      <c r="AD52" s="38"/>
      <c r="AE52" s="34">
        <f t="shared" si="7"/>
        <v>1.766</v>
      </c>
      <c r="AF52" s="34">
        <f t="shared" si="8"/>
        <v>1.4020244147487479</v>
      </c>
      <c r="AG52" s="35" t="str">
        <f t="shared" si="1"/>
        <v/>
      </c>
      <c r="AH52" s="36">
        <f t="shared" si="2"/>
        <v>1.1542483660130718</v>
      </c>
    </row>
    <row r="53" spans="1:34" ht="1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29">
        <f t="shared" si="3"/>
        <v>40</v>
      </c>
      <c r="Q53" s="30" t="s">
        <v>106</v>
      </c>
      <c r="R53" s="31">
        <v>46048</v>
      </c>
      <c r="S53" s="68"/>
      <c r="T53" s="146">
        <v>27.92</v>
      </c>
      <c r="U53" s="38">
        <v>30.03</v>
      </c>
      <c r="V53" s="74"/>
      <c r="W53" s="34">
        <f t="shared" si="4"/>
        <v>30.03</v>
      </c>
      <c r="X53" s="34">
        <f t="shared" si="0"/>
        <v>0.70915755011994519</v>
      </c>
      <c r="Y53" s="35" t="str">
        <f t="shared" si="5"/>
        <v/>
      </c>
      <c r="Z53" s="36">
        <f t="shared" si="6"/>
        <v>1.0755730659025788</v>
      </c>
      <c r="AA53" s="6"/>
      <c r="AB53" s="37">
        <v>1.53</v>
      </c>
      <c r="AC53" s="38">
        <v>1.788</v>
      </c>
      <c r="AD53" s="38"/>
      <c r="AE53" s="34">
        <f t="shared" si="7"/>
        <v>1.788</v>
      </c>
      <c r="AF53" s="34">
        <f t="shared" si="8"/>
        <v>1.5446267108825851</v>
      </c>
      <c r="AG53" s="35" t="str">
        <f t="shared" si="1"/>
        <v/>
      </c>
      <c r="AH53" s="36">
        <f t="shared" si="2"/>
        <v>1.1686274509803922</v>
      </c>
    </row>
    <row r="54" spans="1:34" ht="1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29">
        <f t="shared" si="3"/>
        <v>41</v>
      </c>
      <c r="Q54" s="30" t="s">
        <v>106</v>
      </c>
      <c r="R54" s="31">
        <v>46048</v>
      </c>
      <c r="S54" s="68"/>
      <c r="T54" s="146">
        <v>27.92</v>
      </c>
      <c r="U54" s="38">
        <v>29.553999999999998</v>
      </c>
      <c r="V54" s="74"/>
      <c r="W54" s="34">
        <f t="shared" si="4"/>
        <v>29.553999999999998</v>
      </c>
      <c r="X54" s="34">
        <f t="shared" si="0"/>
        <v>0.54150967633941594</v>
      </c>
      <c r="Y54" s="35" t="str">
        <f t="shared" si="5"/>
        <v/>
      </c>
      <c r="Z54" s="36">
        <f t="shared" si="6"/>
        <v>1.0585243553008594</v>
      </c>
      <c r="AA54" s="6"/>
      <c r="AB54" s="37">
        <v>1.53</v>
      </c>
      <c r="AC54" s="38">
        <v>1.613</v>
      </c>
      <c r="AD54" s="38"/>
      <c r="AE54" s="34">
        <f t="shared" si="7"/>
        <v>1.613</v>
      </c>
      <c r="AF54" s="34">
        <f t="shared" si="8"/>
        <v>0.41029026436342753</v>
      </c>
      <c r="AG54" s="35" t="str">
        <f t="shared" si="1"/>
        <v/>
      </c>
      <c r="AH54" s="36">
        <f t="shared" si="2"/>
        <v>1.0542483660130719</v>
      </c>
    </row>
    <row r="55" spans="1:34" ht="1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29">
        <f t="shared" si="3"/>
        <v>42</v>
      </c>
      <c r="Q55" s="30" t="s">
        <v>106</v>
      </c>
      <c r="R55" s="31">
        <v>46065</v>
      </c>
      <c r="S55" s="68"/>
      <c r="T55" s="146">
        <v>27.92</v>
      </c>
      <c r="U55" s="38">
        <v>31.972000000000001</v>
      </c>
      <c r="V55" s="74"/>
      <c r="W55" s="34">
        <f t="shared" si="4"/>
        <v>31.972000000000001</v>
      </c>
      <c r="X55" s="34">
        <f t="shared" si="0"/>
        <v>1.3931326990312605</v>
      </c>
      <c r="Y55" s="35" t="str">
        <f t="shared" si="5"/>
        <v/>
      </c>
      <c r="Z55" s="36">
        <f t="shared" si="6"/>
        <v>1.1451289398280802</v>
      </c>
      <c r="AA55" s="6"/>
      <c r="AB55" s="41">
        <v>1.53</v>
      </c>
      <c r="AC55" s="38">
        <v>1.3240000000000001</v>
      </c>
      <c r="AD55" s="38"/>
      <c r="AE55" s="34">
        <f t="shared" si="7"/>
        <v>1.3240000000000001</v>
      </c>
      <c r="AF55" s="34">
        <f t="shared" si="8"/>
        <v>1.4629853530310657</v>
      </c>
      <c r="AG55" s="35" t="str">
        <f t="shared" si="1"/>
        <v/>
      </c>
      <c r="AH55" s="36">
        <f t="shared" si="2"/>
        <v>0.86535947712418304</v>
      </c>
    </row>
    <row r="56" spans="1:34" ht="1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29" t="str">
        <f t="shared" si="3"/>
        <v/>
      </c>
      <c r="Q56" s="30"/>
      <c r="R56" s="31"/>
      <c r="S56" s="68"/>
      <c r="T56" s="40"/>
      <c r="U56" s="38"/>
      <c r="V56" s="74"/>
      <c r="W56" s="34" t="str">
        <f t="shared" si="4"/>
        <v>FALSE</v>
      </c>
      <c r="X56" s="34" t="str">
        <f t="shared" si="0"/>
        <v>FALSE</v>
      </c>
      <c r="Y56" s="35">
        <f t="shared" si="5"/>
        <v>0</v>
      </c>
      <c r="Z56" s="36" t="str">
        <f t="shared" si="6"/>
        <v/>
      </c>
      <c r="AA56" s="6"/>
      <c r="AB56" s="41"/>
      <c r="AC56" s="38"/>
      <c r="AD56" s="38"/>
      <c r="AE56" s="34" t="str">
        <f t="shared" si="7"/>
        <v>FALSE</v>
      </c>
      <c r="AF56" s="34" t="str">
        <f t="shared" si="8"/>
        <v>FALSE</v>
      </c>
      <c r="AG56" s="35">
        <f t="shared" si="1"/>
        <v>0</v>
      </c>
      <c r="AH56" s="36" t="str">
        <f t="shared" si="2"/>
        <v/>
      </c>
    </row>
    <row r="57" spans="1:34" ht="14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29" t="str">
        <f t="shared" si="3"/>
        <v/>
      </c>
      <c r="Q57" s="30"/>
      <c r="R57" s="31"/>
      <c r="S57" s="68"/>
      <c r="T57" s="40"/>
      <c r="U57" s="38"/>
      <c r="V57" s="74"/>
      <c r="W57" s="34" t="str">
        <f t="shared" si="4"/>
        <v>FALSE</v>
      </c>
      <c r="X57" s="34" t="str">
        <f t="shared" si="0"/>
        <v>FALSE</v>
      </c>
      <c r="Y57" s="35">
        <f t="shared" si="5"/>
        <v>0</v>
      </c>
      <c r="Z57" s="36" t="str">
        <f t="shared" si="6"/>
        <v/>
      </c>
      <c r="AA57" s="42"/>
      <c r="AB57" s="41"/>
      <c r="AC57" s="38"/>
      <c r="AD57" s="38"/>
      <c r="AE57" s="34" t="str">
        <f t="shared" si="7"/>
        <v>FALSE</v>
      </c>
      <c r="AF57" s="34" t="str">
        <f t="shared" si="8"/>
        <v>FALSE</v>
      </c>
      <c r="AG57" s="35">
        <f t="shared" si="1"/>
        <v>0</v>
      </c>
      <c r="AH57" s="36" t="str">
        <f t="shared" si="2"/>
        <v/>
      </c>
    </row>
    <row r="58" spans="1:34" ht="1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29" t="str">
        <f t="shared" si="3"/>
        <v/>
      </c>
      <c r="Q58" s="30"/>
      <c r="R58" s="31"/>
      <c r="S58" s="68"/>
      <c r="T58" s="40"/>
      <c r="U58" s="38"/>
      <c r="V58" s="74"/>
      <c r="W58" s="34" t="str">
        <f t="shared" si="4"/>
        <v>FALSE</v>
      </c>
      <c r="X58" s="34" t="str">
        <f t="shared" si="0"/>
        <v>FALSE</v>
      </c>
      <c r="Y58" s="35">
        <f t="shared" si="5"/>
        <v>0</v>
      </c>
      <c r="Z58" s="36" t="str">
        <f t="shared" si="6"/>
        <v/>
      </c>
      <c r="AA58" s="6"/>
      <c r="AB58" s="41"/>
      <c r="AC58" s="38"/>
      <c r="AD58" s="38"/>
      <c r="AE58" s="34" t="str">
        <f t="shared" si="7"/>
        <v>FALSE</v>
      </c>
      <c r="AF58" s="34" t="str">
        <f t="shared" si="8"/>
        <v>FALSE</v>
      </c>
      <c r="AG58" s="35">
        <f t="shared" si="1"/>
        <v>0</v>
      </c>
      <c r="AH58" s="36" t="str">
        <f t="shared" si="2"/>
        <v/>
      </c>
    </row>
    <row r="59" spans="1:34" ht="1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29" t="str">
        <f t="shared" si="3"/>
        <v/>
      </c>
      <c r="Q59" s="30"/>
      <c r="R59" s="31"/>
      <c r="S59" s="68"/>
      <c r="T59" s="40"/>
      <c r="U59" s="38"/>
      <c r="V59" s="74"/>
      <c r="W59" s="34" t="str">
        <f t="shared" si="4"/>
        <v>FALSE</v>
      </c>
      <c r="X59" s="34" t="str">
        <f t="shared" si="0"/>
        <v>FALSE</v>
      </c>
      <c r="Y59" s="35">
        <f t="shared" si="5"/>
        <v>0</v>
      </c>
      <c r="Z59" s="36" t="str">
        <f t="shared" si="6"/>
        <v/>
      </c>
      <c r="AA59" s="6"/>
      <c r="AB59" s="41"/>
      <c r="AC59" s="38"/>
      <c r="AD59" s="38"/>
      <c r="AE59" s="34"/>
      <c r="AF59" s="34" t="str">
        <f t="shared" si="8"/>
        <v>FALSE</v>
      </c>
      <c r="AG59" s="35">
        <f t="shared" si="1"/>
        <v>0</v>
      </c>
      <c r="AH59" s="36" t="str">
        <f t="shared" si="2"/>
        <v/>
      </c>
    </row>
    <row r="60" spans="1:34" ht="1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29" t="str">
        <f t="shared" si="3"/>
        <v/>
      </c>
      <c r="Q60" s="30"/>
      <c r="R60" s="31"/>
      <c r="S60" s="68"/>
      <c r="T60" s="40"/>
      <c r="U60" s="38"/>
      <c r="V60" s="74"/>
      <c r="W60" s="34" t="str">
        <f t="shared" si="4"/>
        <v>FALSE</v>
      </c>
      <c r="X60" s="34" t="str">
        <f t="shared" si="0"/>
        <v>FALSE</v>
      </c>
      <c r="Y60" s="35">
        <f t="shared" si="5"/>
        <v>0</v>
      </c>
      <c r="Z60" s="36" t="str">
        <f t="shared" si="6"/>
        <v/>
      </c>
      <c r="AA60" s="6"/>
      <c r="AB60" s="41"/>
      <c r="AC60" s="38"/>
      <c r="AD60" s="38"/>
      <c r="AE60" s="34"/>
      <c r="AF60" s="34" t="str">
        <f t="shared" si="8"/>
        <v>FALSE</v>
      </c>
      <c r="AG60" s="35">
        <f t="shared" si="1"/>
        <v>0</v>
      </c>
      <c r="AH60" s="36" t="str">
        <f t="shared" si="2"/>
        <v/>
      </c>
    </row>
    <row r="61" spans="1:34" ht="1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29" t="str">
        <f t="shared" si="3"/>
        <v/>
      </c>
      <c r="Q61" s="30"/>
      <c r="R61" s="31"/>
      <c r="S61" s="68"/>
      <c r="T61" s="40"/>
      <c r="U61" s="38"/>
      <c r="V61" s="74"/>
      <c r="W61" s="34" t="str">
        <f t="shared" si="4"/>
        <v>FALSE</v>
      </c>
      <c r="X61" s="34" t="str">
        <f t="shared" si="0"/>
        <v>FALSE</v>
      </c>
      <c r="Y61" s="35">
        <f t="shared" si="5"/>
        <v>0</v>
      </c>
      <c r="Z61" s="36" t="str">
        <f t="shared" si="6"/>
        <v/>
      </c>
      <c r="AA61" s="6"/>
      <c r="AB61" s="41"/>
      <c r="AC61" s="38"/>
      <c r="AD61" s="38"/>
      <c r="AE61" s="34"/>
      <c r="AF61" s="34" t="str">
        <f t="shared" si="8"/>
        <v>FALSE</v>
      </c>
      <c r="AG61" s="35">
        <f t="shared" si="1"/>
        <v>0</v>
      </c>
      <c r="AH61" s="36" t="str">
        <f t="shared" si="2"/>
        <v/>
      </c>
    </row>
    <row r="62" spans="1:34" ht="1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29" t="str">
        <f t="shared" si="3"/>
        <v/>
      </c>
      <c r="Q62" s="30"/>
      <c r="R62" s="31"/>
      <c r="S62" s="68"/>
      <c r="T62" s="40"/>
      <c r="U62" s="38"/>
      <c r="V62" s="74"/>
      <c r="W62" s="34" t="str">
        <f t="shared" si="4"/>
        <v>FALSE</v>
      </c>
      <c r="X62" s="34" t="str">
        <f t="shared" si="0"/>
        <v>FALSE</v>
      </c>
      <c r="Y62" s="35">
        <f t="shared" si="5"/>
        <v>0</v>
      </c>
      <c r="Z62" s="36" t="str">
        <f t="shared" si="6"/>
        <v/>
      </c>
      <c r="AA62" s="6"/>
      <c r="AB62" s="41"/>
      <c r="AC62" s="38"/>
      <c r="AD62" s="38"/>
      <c r="AE62" s="34"/>
      <c r="AF62" s="34" t="str">
        <f t="shared" si="8"/>
        <v>FALSE</v>
      </c>
      <c r="AG62" s="35">
        <f t="shared" si="1"/>
        <v>0</v>
      </c>
      <c r="AH62" s="36" t="str">
        <f t="shared" si="2"/>
        <v/>
      </c>
    </row>
    <row r="63" spans="1:34" ht="1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29" t="str">
        <f t="shared" si="3"/>
        <v/>
      </c>
      <c r="Q63" s="30"/>
      <c r="R63" s="31"/>
      <c r="S63" s="68"/>
      <c r="T63" s="40"/>
      <c r="U63" s="38"/>
      <c r="V63" s="74"/>
      <c r="W63" s="34" t="str">
        <f t="shared" si="4"/>
        <v>FALSE</v>
      </c>
      <c r="X63" s="34" t="str">
        <f t="shared" si="0"/>
        <v>FALSE</v>
      </c>
      <c r="Y63" s="35">
        <f t="shared" si="5"/>
        <v>0</v>
      </c>
      <c r="Z63" s="36" t="str">
        <f t="shared" si="6"/>
        <v/>
      </c>
      <c r="AA63" s="6"/>
      <c r="AB63" s="41"/>
      <c r="AC63" s="38"/>
      <c r="AD63" s="38"/>
      <c r="AE63" s="34"/>
      <c r="AF63" s="34" t="str">
        <f t="shared" si="8"/>
        <v>FALSE</v>
      </c>
      <c r="AG63" s="35">
        <f t="shared" si="1"/>
        <v>0</v>
      </c>
      <c r="AH63" s="36" t="str">
        <f t="shared" si="2"/>
        <v/>
      </c>
    </row>
    <row r="64" spans="1:34" ht="1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29" t="str">
        <f t="shared" si="3"/>
        <v/>
      </c>
      <c r="Q64" s="30"/>
      <c r="R64" s="31"/>
      <c r="S64" s="68"/>
      <c r="T64" s="40"/>
      <c r="U64" s="38"/>
      <c r="V64" s="74"/>
      <c r="W64" s="34" t="str">
        <f t="shared" si="4"/>
        <v>FALSE</v>
      </c>
      <c r="X64" s="34" t="str">
        <f t="shared" si="0"/>
        <v>FALSE</v>
      </c>
      <c r="Y64" s="35">
        <f t="shared" si="5"/>
        <v>0</v>
      </c>
      <c r="Z64" s="36" t="str">
        <f t="shared" si="6"/>
        <v/>
      </c>
      <c r="AA64" s="6"/>
      <c r="AB64" s="41"/>
      <c r="AC64" s="38"/>
      <c r="AD64" s="38"/>
      <c r="AE64" s="34"/>
      <c r="AF64" s="34" t="str">
        <f t="shared" si="8"/>
        <v>FALSE</v>
      </c>
      <c r="AG64" s="35">
        <f t="shared" si="1"/>
        <v>0</v>
      </c>
      <c r="AH64" s="36" t="str">
        <f t="shared" si="2"/>
        <v/>
      </c>
    </row>
    <row r="65" spans="1:34" ht="1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29" t="str">
        <f t="shared" si="3"/>
        <v/>
      </c>
      <c r="Q65" s="30"/>
      <c r="R65" s="31"/>
      <c r="S65" s="68"/>
      <c r="T65" s="40"/>
      <c r="U65" s="38"/>
      <c r="V65" s="74"/>
      <c r="W65" s="34" t="str">
        <f t="shared" si="4"/>
        <v>FALSE</v>
      </c>
      <c r="X65" s="34" t="str">
        <f t="shared" si="0"/>
        <v>FALSE</v>
      </c>
      <c r="Y65" s="35">
        <f t="shared" si="5"/>
        <v>0</v>
      </c>
      <c r="Z65" s="36" t="str">
        <f t="shared" si="6"/>
        <v/>
      </c>
      <c r="AA65" s="6"/>
      <c r="AB65" s="41"/>
      <c r="AC65" s="38"/>
      <c r="AD65" s="38"/>
      <c r="AE65" s="34"/>
      <c r="AF65" s="34" t="str">
        <f t="shared" si="8"/>
        <v>FALSE</v>
      </c>
      <c r="AG65" s="35">
        <f t="shared" si="1"/>
        <v>0</v>
      </c>
      <c r="AH65" s="36" t="str">
        <f t="shared" si="2"/>
        <v/>
      </c>
    </row>
    <row r="66" spans="1:34" ht="1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29" t="str">
        <f t="shared" si="3"/>
        <v/>
      </c>
      <c r="Q66" s="30"/>
      <c r="R66" s="31"/>
      <c r="S66" s="68"/>
      <c r="T66" s="40"/>
      <c r="U66" s="38"/>
      <c r="V66" s="74"/>
      <c r="W66" s="34" t="str">
        <f t="shared" si="4"/>
        <v>FALSE</v>
      </c>
      <c r="X66" s="34" t="str">
        <f t="shared" si="0"/>
        <v>FALSE</v>
      </c>
      <c r="Y66" s="35">
        <f t="shared" si="5"/>
        <v>0</v>
      </c>
      <c r="Z66" s="36" t="str">
        <f t="shared" si="6"/>
        <v/>
      </c>
      <c r="AA66" s="6"/>
      <c r="AB66" s="41"/>
      <c r="AC66" s="38"/>
      <c r="AD66" s="38"/>
      <c r="AE66" s="34"/>
      <c r="AF66" s="34" t="str">
        <f t="shared" si="8"/>
        <v>FALSE</v>
      </c>
      <c r="AG66" s="35">
        <f t="shared" si="1"/>
        <v>0</v>
      </c>
      <c r="AH66" s="36" t="str">
        <f t="shared" si="2"/>
        <v/>
      </c>
    </row>
    <row r="67" spans="1:34" ht="1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29" t="str">
        <f t="shared" si="3"/>
        <v/>
      </c>
      <c r="Q67" s="30"/>
      <c r="R67" s="31"/>
      <c r="S67" s="68"/>
      <c r="T67" s="40"/>
      <c r="U67" s="38"/>
      <c r="V67" s="74"/>
      <c r="W67" s="34" t="str">
        <f t="shared" si="4"/>
        <v>FALSE</v>
      </c>
      <c r="X67" s="34" t="str">
        <f t="shared" si="0"/>
        <v>FALSE</v>
      </c>
      <c r="Y67" s="35">
        <f t="shared" si="5"/>
        <v>0</v>
      </c>
      <c r="Z67" s="36" t="str">
        <f t="shared" si="6"/>
        <v/>
      </c>
      <c r="AA67" s="6"/>
      <c r="AB67" s="41"/>
      <c r="AC67" s="38"/>
      <c r="AD67" s="38"/>
      <c r="AE67" s="34"/>
      <c r="AF67" s="34" t="str">
        <f t="shared" si="8"/>
        <v>FALSE</v>
      </c>
      <c r="AG67" s="35">
        <f t="shared" si="1"/>
        <v>0</v>
      </c>
      <c r="AH67" s="36" t="str">
        <f t="shared" si="2"/>
        <v/>
      </c>
    </row>
    <row r="68" spans="1:34" ht="1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29" t="str">
        <f t="shared" si="3"/>
        <v/>
      </c>
      <c r="Q68" s="30"/>
      <c r="R68" s="31"/>
      <c r="S68" s="68"/>
      <c r="T68" s="40"/>
      <c r="U68" s="38"/>
      <c r="V68" s="74"/>
      <c r="W68" s="34" t="str">
        <f t="shared" si="4"/>
        <v>FALSE</v>
      </c>
      <c r="X68" s="34" t="str">
        <f t="shared" si="0"/>
        <v>FALSE</v>
      </c>
      <c r="Y68" s="35">
        <f t="shared" si="5"/>
        <v>0</v>
      </c>
      <c r="Z68" s="36" t="str">
        <f t="shared" si="6"/>
        <v/>
      </c>
      <c r="AA68" s="6"/>
      <c r="AB68" s="41"/>
      <c r="AC68" s="38"/>
      <c r="AD68" s="38"/>
      <c r="AE68" s="34"/>
      <c r="AF68" s="34" t="str">
        <f t="shared" si="8"/>
        <v>FALSE</v>
      </c>
      <c r="AG68" s="35">
        <f t="shared" si="1"/>
        <v>0</v>
      </c>
      <c r="AH68" s="36" t="str">
        <f t="shared" si="2"/>
        <v/>
      </c>
    </row>
    <row r="69" spans="1:34" ht="1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29" t="str">
        <f t="shared" si="3"/>
        <v/>
      </c>
      <c r="Q69" s="30"/>
      <c r="R69" s="31"/>
      <c r="S69" s="68"/>
      <c r="T69" s="40"/>
      <c r="U69" s="38"/>
      <c r="V69" s="74"/>
      <c r="W69" s="34" t="str">
        <f t="shared" si="4"/>
        <v>FALSE</v>
      </c>
      <c r="X69" s="34" t="str">
        <f t="shared" si="0"/>
        <v>FALSE</v>
      </c>
      <c r="Y69" s="35">
        <f t="shared" si="5"/>
        <v>0</v>
      </c>
      <c r="Z69" s="36" t="str">
        <f t="shared" si="6"/>
        <v/>
      </c>
      <c r="AA69" s="6"/>
      <c r="AB69" s="41"/>
      <c r="AC69" s="38"/>
      <c r="AD69" s="38"/>
      <c r="AE69" s="34"/>
      <c r="AF69" s="34" t="str">
        <f t="shared" si="8"/>
        <v>FALSE</v>
      </c>
      <c r="AG69" s="35">
        <f t="shared" si="1"/>
        <v>0</v>
      </c>
      <c r="AH69" s="36" t="str">
        <f t="shared" si="2"/>
        <v/>
      </c>
    </row>
    <row r="70" spans="1:34" ht="1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29" t="str">
        <f t="shared" si="3"/>
        <v/>
      </c>
      <c r="Q70" s="30"/>
      <c r="R70" s="31"/>
      <c r="S70" s="68"/>
      <c r="T70" s="40"/>
      <c r="U70" s="38"/>
      <c r="V70" s="74"/>
      <c r="W70" s="34" t="str">
        <f t="shared" si="4"/>
        <v>FALSE</v>
      </c>
      <c r="X70" s="34" t="str">
        <f t="shared" si="0"/>
        <v>FALSE</v>
      </c>
      <c r="Y70" s="35">
        <f t="shared" si="5"/>
        <v>0</v>
      </c>
      <c r="Z70" s="36" t="str">
        <f t="shared" si="6"/>
        <v/>
      </c>
      <c r="AA70" s="6"/>
      <c r="AB70" s="41"/>
      <c r="AC70" s="38"/>
      <c r="AD70" s="38"/>
      <c r="AE70" s="34"/>
      <c r="AF70" s="34" t="str">
        <f t="shared" si="8"/>
        <v>FALSE</v>
      </c>
      <c r="AG70" s="35">
        <f t="shared" si="1"/>
        <v>0</v>
      </c>
      <c r="AH70" s="36" t="str">
        <f t="shared" si="2"/>
        <v/>
      </c>
    </row>
    <row r="71" spans="1:34" ht="1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29" t="str">
        <f t="shared" si="3"/>
        <v/>
      </c>
      <c r="Q71" s="30"/>
      <c r="R71" s="31"/>
      <c r="S71" s="68"/>
      <c r="T71" s="40"/>
      <c r="U71" s="38"/>
      <c r="V71" s="74"/>
      <c r="W71" s="34" t="str">
        <f t="shared" si="4"/>
        <v>FALSE</v>
      </c>
      <c r="X71" s="34" t="str">
        <f t="shared" si="0"/>
        <v>FALSE</v>
      </c>
      <c r="Y71" s="35">
        <f t="shared" si="5"/>
        <v>0</v>
      </c>
      <c r="Z71" s="36" t="str">
        <f t="shared" si="6"/>
        <v/>
      </c>
      <c r="AA71" s="6"/>
      <c r="AB71" s="41"/>
      <c r="AC71" s="38"/>
      <c r="AD71" s="38"/>
      <c r="AE71" s="34"/>
      <c r="AF71" s="34" t="str">
        <f t="shared" si="8"/>
        <v>FALSE</v>
      </c>
      <c r="AG71" s="35">
        <f t="shared" si="1"/>
        <v>0</v>
      </c>
      <c r="AH71" s="36" t="str">
        <f t="shared" si="2"/>
        <v/>
      </c>
    </row>
    <row r="72" spans="1:34" ht="1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29" t="str">
        <f t="shared" si="3"/>
        <v/>
      </c>
      <c r="Q72" s="30"/>
      <c r="R72" s="31"/>
      <c r="S72" s="68"/>
      <c r="T72" s="40"/>
      <c r="U72" s="38"/>
      <c r="V72" s="74"/>
      <c r="W72" s="34" t="str">
        <f t="shared" si="4"/>
        <v>FALSE</v>
      </c>
      <c r="X72" s="34" t="str">
        <f t="shared" si="0"/>
        <v>FALSE</v>
      </c>
      <c r="Y72" s="35">
        <f t="shared" si="5"/>
        <v>0</v>
      </c>
      <c r="Z72" s="36" t="str">
        <f t="shared" si="6"/>
        <v/>
      </c>
      <c r="AA72" s="6"/>
      <c r="AB72" s="41"/>
      <c r="AC72" s="38"/>
      <c r="AD72" s="38"/>
      <c r="AE72" s="34"/>
      <c r="AF72" s="34" t="str">
        <f t="shared" si="8"/>
        <v>FALSE</v>
      </c>
      <c r="AG72" s="35">
        <f t="shared" si="1"/>
        <v>0</v>
      </c>
      <c r="AH72" s="36" t="str">
        <f t="shared" si="2"/>
        <v/>
      </c>
    </row>
    <row r="73" spans="1:34" ht="1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29" t="str">
        <f t="shared" si="3"/>
        <v/>
      </c>
      <c r="Q73" s="30"/>
      <c r="R73" s="31"/>
      <c r="S73" s="68"/>
      <c r="T73" s="40"/>
      <c r="U73" s="38"/>
      <c r="V73" s="74"/>
      <c r="W73" s="34" t="str">
        <f t="shared" si="4"/>
        <v>FALSE</v>
      </c>
      <c r="X73" s="34" t="str">
        <f t="shared" si="0"/>
        <v>FALSE</v>
      </c>
      <c r="Y73" s="35">
        <f t="shared" si="5"/>
        <v>0</v>
      </c>
      <c r="Z73" s="36" t="str">
        <f t="shared" si="6"/>
        <v/>
      </c>
      <c r="AA73" s="6"/>
      <c r="AB73" s="41"/>
      <c r="AC73" s="38"/>
      <c r="AD73" s="38"/>
      <c r="AE73" s="34"/>
      <c r="AF73" s="34" t="str">
        <f t="shared" si="8"/>
        <v>FALSE</v>
      </c>
      <c r="AG73" s="35">
        <f t="shared" si="1"/>
        <v>0</v>
      </c>
      <c r="AH73" s="36" t="str">
        <f t="shared" si="2"/>
        <v/>
      </c>
    </row>
    <row r="74" spans="1:34" ht="1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29" t="str">
        <f t="shared" si="3"/>
        <v/>
      </c>
      <c r="Q74" s="30"/>
      <c r="R74" s="31"/>
      <c r="S74" s="68"/>
      <c r="T74" s="40"/>
      <c r="U74" s="38"/>
      <c r="V74" s="74"/>
      <c r="W74" s="34" t="str">
        <f t="shared" si="4"/>
        <v>FALSE</v>
      </c>
      <c r="X74" s="34" t="str">
        <f t="shared" si="0"/>
        <v>FALSE</v>
      </c>
      <c r="Y74" s="35">
        <f t="shared" si="5"/>
        <v>0</v>
      </c>
      <c r="Z74" s="36" t="str">
        <f t="shared" si="6"/>
        <v/>
      </c>
      <c r="AA74" s="6"/>
      <c r="AB74" s="41"/>
      <c r="AC74" s="38"/>
      <c r="AD74" s="38"/>
      <c r="AE74" s="34"/>
      <c r="AF74" s="34" t="str">
        <f t="shared" si="8"/>
        <v>FALSE</v>
      </c>
      <c r="AG74" s="35">
        <f t="shared" si="1"/>
        <v>0</v>
      </c>
      <c r="AH74" s="36" t="str">
        <f t="shared" si="2"/>
        <v/>
      </c>
    </row>
    <row r="75" spans="1:34" ht="1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29" t="str">
        <f t="shared" si="3"/>
        <v/>
      </c>
      <c r="Q75" s="30"/>
      <c r="R75" s="31"/>
      <c r="S75" s="68"/>
      <c r="T75" s="40"/>
      <c r="U75" s="38"/>
      <c r="V75" s="74"/>
      <c r="W75" s="34" t="str">
        <f t="shared" si="4"/>
        <v>FALSE</v>
      </c>
      <c r="X75" s="34" t="str">
        <f t="shared" si="0"/>
        <v>FALSE</v>
      </c>
      <c r="Y75" s="35">
        <f t="shared" si="5"/>
        <v>0</v>
      </c>
      <c r="Z75" s="36" t="str">
        <f t="shared" si="6"/>
        <v/>
      </c>
      <c r="AA75" s="6"/>
      <c r="AB75" s="41"/>
      <c r="AC75" s="38"/>
      <c r="AD75" s="38"/>
      <c r="AE75" s="34"/>
      <c r="AF75" s="34" t="str">
        <f t="shared" si="8"/>
        <v>FALSE</v>
      </c>
      <c r="AG75" s="35">
        <f t="shared" si="1"/>
        <v>0</v>
      </c>
      <c r="AH75" s="36" t="str">
        <f t="shared" si="2"/>
        <v/>
      </c>
    </row>
    <row r="76" spans="1:34" ht="1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29" t="str">
        <f t="shared" si="3"/>
        <v/>
      </c>
      <c r="Q76" s="30"/>
      <c r="R76" s="31"/>
      <c r="S76" s="68"/>
      <c r="T76" s="40"/>
      <c r="U76" s="38"/>
      <c r="V76" s="74"/>
      <c r="W76" s="34" t="str">
        <f t="shared" si="4"/>
        <v>FALSE</v>
      </c>
      <c r="X76" s="34" t="str">
        <f t="shared" si="0"/>
        <v>FALSE</v>
      </c>
      <c r="Y76" s="35">
        <f t="shared" si="5"/>
        <v>0</v>
      </c>
      <c r="Z76" s="36" t="str">
        <f t="shared" si="6"/>
        <v/>
      </c>
      <c r="AA76" s="6"/>
      <c r="AB76" s="41"/>
      <c r="AC76" s="38"/>
      <c r="AD76" s="38"/>
      <c r="AE76" s="34"/>
      <c r="AF76" s="34" t="str">
        <f t="shared" si="8"/>
        <v>FALSE</v>
      </c>
      <c r="AG76" s="35">
        <f t="shared" si="1"/>
        <v>0</v>
      </c>
      <c r="AH76" s="36" t="str">
        <f t="shared" si="2"/>
        <v/>
      </c>
    </row>
    <row r="77" spans="1:34" ht="1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29" t="str">
        <f t="shared" si="3"/>
        <v/>
      </c>
      <c r="Q77" s="30"/>
      <c r="R77" s="31"/>
      <c r="S77" s="68"/>
      <c r="T77" s="40"/>
      <c r="U77" s="38"/>
      <c r="V77" s="74"/>
      <c r="W77" s="34" t="str">
        <f t="shared" si="4"/>
        <v>FALSE</v>
      </c>
      <c r="X77" s="34" t="str">
        <f t="shared" si="0"/>
        <v>FALSE</v>
      </c>
      <c r="Y77" s="35">
        <f t="shared" si="5"/>
        <v>0</v>
      </c>
      <c r="Z77" s="36" t="str">
        <f t="shared" si="6"/>
        <v/>
      </c>
      <c r="AA77" s="6"/>
      <c r="AB77" s="41"/>
      <c r="AC77" s="38"/>
      <c r="AD77" s="38"/>
      <c r="AE77" s="34"/>
      <c r="AF77" s="34" t="str">
        <f t="shared" si="8"/>
        <v>FALSE</v>
      </c>
      <c r="AG77" s="35">
        <f t="shared" si="1"/>
        <v>0</v>
      </c>
      <c r="AH77" s="36" t="str">
        <f t="shared" si="2"/>
        <v/>
      </c>
    </row>
    <row r="78" spans="1:34" ht="1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29" t="str">
        <f t="shared" si="3"/>
        <v/>
      </c>
      <c r="Q78" s="30"/>
      <c r="R78" s="31"/>
      <c r="S78" s="68"/>
      <c r="T78" s="40"/>
      <c r="U78" s="38"/>
      <c r="V78" s="74"/>
      <c r="W78" s="34" t="str">
        <f t="shared" si="4"/>
        <v>FALSE</v>
      </c>
      <c r="X78" s="34" t="str">
        <f t="shared" ref="X78:X120" si="9">IF(U78="","FALSE",ABS((U78-AVERAGE($U$14:$U$120))/_xlfn.STDEV.S($U$14:$U$104)))</f>
        <v>FALSE</v>
      </c>
      <c r="Y78" s="35">
        <f t="shared" si="5"/>
        <v>0</v>
      </c>
      <c r="Z78" s="36" t="str">
        <f t="shared" si="6"/>
        <v/>
      </c>
      <c r="AA78" s="6"/>
      <c r="AB78" s="41"/>
      <c r="AC78" s="38"/>
      <c r="AD78" s="38"/>
      <c r="AE78" s="34"/>
      <c r="AF78" s="34" t="str">
        <f t="shared" si="8"/>
        <v>FALSE</v>
      </c>
      <c r="AG78" s="35">
        <f t="shared" ref="AG78:AG120" si="10">IF(OR(AC78&gt;$AG$11,AC78&lt;$AF$11),AC78,"")</f>
        <v>0</v>
      </c>
      <c r="AH78" s="36" t="str">
        <f t="shared" ref="AH78:AH120" si="11">IF(AC78="","",AC78/AB78)</f>
        <v/>
      </c>
    </row>
    <row r="79" spans="1:34" ht="1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29" t="str">
        <f t="shared" ref="P79:P120" si="12">IF(R79&lt;&gt;"",P78+1,"")</f>
        <v/>
      </c>
      <c r="Q79" s="30"/>
      <c r="R79" s="31"/>
      <c r="S79" s="68"/>
      <c r="T79" s="40"/>
      <c r="U79" s="38"/>
      <c r="V79" s="74"/>
      <c r="W79" s="34" t="str">
        <f t="shared" ref="W79:W120" si="13">IF(X79&gt;3,"FALSE",U79)</f>
        <v>FALSE</v>
      </c>
      <c r="X79" s="34" t="str">
        <f t="shared" si="9"/>
        <v>FALSE</v>
      </c>
      <c r="Y79" s="35">
        <f t="shared" ref="Y79:Y120" si="14">IF(OR(U79&gt;$Y$11,U79&lt;$X$11),U79,"")</f>
        <v>0</v>
      </c>
      <c r="Z79" s="36" t="str">
        <f t="shared" ref="Z79:Z120" si="15">IF(U79="","",U79/T79)</f>
        <v/>
      </c>
      <c r="AA79" s="6"/>
      <c r="AB79" s="41"/>
      <c r="AC79" s="38"/>
      <c r="AD79" s="38"/>
      <c r="AE79" s="34"/>
      <c r="AF79" s="34" t="str">
        <f t="shared" ref="AF79:AF120" si="16">IF(AC79="","FALSE",ABS((AC79-AVERAGE($AC$14:$AC$120))/_xlfn.STDEV.S($AC$14:$AC$104)))</f>
        <v>FALSE</v>
      </c>
      <c r="AG79" s="35">
        <f t="shared" si="10"/>
        <v>0</v>
      </c>
      <c r="AH79" s="36" t="str">
        <f t="shared" si="11"/>
        <v/>
      </c>
    </row>
    <row r="80" spans="1:34" ht="1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29" t="str">
        <f t="shared" si="12"/>
        <v/>
      </c>
      <c r="Q80" s="30"/>
      <c r="R80" s="31"/>
      <c r="S80" s="68"/>
      <c r="T80" s="40"/>
      <c r="U80" s="38"/>
      <c r="V80" s="74"/>
      <c r="W80" s="34" t="str">
        <f t="shared" si="13"/>
        <v>FALSE</v>
      </c>
      <c r="X80" s="34" t="str">
        <f t="shared" si="9"/>
        <v>FALSE</v>
      </c>
      <c r="Y80" s="35">
        <f t="shared" si="14"/>
        <v>0</v>
      </c>
      <c r="Z80" s="36" t="str">
        <f t="shared" si="15"/>
        <v/>
      </c>
      <c r="AA80" s="6"/>
      <c r="AB80" s="41"/>
      <c r="AC80" s="38"/>
      <c r="AD80" s="38"/>
      <c r="AE80" s="34"/>
      <c r="AF80" s="34" t="str">
        <f t="shared" si="16"/>
        <v>FALSE</v>
      </c>
      <c r="AG80" s="35">
        <f t="shared" si="10"/>
        <v>0</v>
      </c>
      <c r="AH80" s="36" t="str">
        <f t="shared" si="11"/>
        <v/>
      </c>
    </row>
    <row r="81" spans="1:34" ht="1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29" t="str">
        <f t="shared" si="12"/>
        <v/>
      </c>
      <c r="Q81" s="30"/>
      <c r="R81" s="31"/>
      <c r="S81" s="68"/>
      <c r="T81" s="40"/>
      <c r="U81" s="38"/>
      <c r="V81" s="74"/>
      <c r="W81" s="34" t="str">
        <f t="shared" si="13"/>
        <v>FALSE</v>
      </c>
      <c r="X81" s="34" t="str">
        <f t="shared" si="9"/>
        <v>FALSE</v>
      </c>
      <c r="Y81" s="35">
        <f t="shared" si="14"/>
        <v>0</v>
      </c>
      <c r="Z81" s="36" t="str">
        <f t="shared" si="15"/>
        <v/>
      </c>
      <c r="AA81" s="6"/>
      <c r="AB81" s="41"/>
      <c r="AC81" s="38"/>
      <c r="AD81" s="38"/>
      <c r="AE81" s="34"/>
      <c r="AF81" s="34" t="str">
        <f t="shared" si="16"/>
        <v>FALSE</v>
      </c>
      <c r="AG81" s="35">
        <f t="shared" si="10"/>
        <v>0</v>
      </c>
      <c r="AH81" s="36" t="str">
        <f t="shared" si="11"/>
        <v/>
      </c>
    </row>
    <row r="82" spans="1:34" ht="1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29" t="str">
        <f t="shared" si="12"/>
        <v/>
      </c>
      <c r="Q82" s="30"/>
      <c r="R82" s="31"/>
      <c r="S82" s="68"/>
      <c r="T82" s="40"/>
      <c r="U82" s="38"/>
      <c r="V82" s="74"/>
      <c r="W82" s="34" t="str">
        <f t="shared" si="13"/>
        <v>FALSE</v>
      </c>
      <c r="X82" s="34" t="str">
        <f t="shared" si="9"/>
        <v>FALSE</v>
      </c>
      <c r="Y82" s="35">
        <f t="shared" si="14"/>
        <v>0</v>
      </c>
      <c r="Z82" s="36" t="str">
        <f t="shared" si="15"/>
        <v/>
      </c>
      <c r="AA82" s="6"/>
      <c r="AB82" s="41"/>
      <c r="AC82" s="38"/>
      <c r="AD82" s="38"/>
      <c r="AE82" s="34"/>
      <c r="AF82" s="34" t="str">
        <f t="shared" si="16"/>
        <v>FALSE</v>
      </c>
      <c r="AG82" s="35">
        <f t="shared" si="10"/>
        <v>0</v>
      </c>
      <c r="AH82" s="36" t="str">
        <f t="shared" si="11"/>
        <v/>
      </c>
    </row>
    <row r="83" spans="1:34" ht="1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29" t="str">
        <f t="shared" si="12"/>
        <v/>
      </c>
      <c r="Q83" s="30"/>
      <c r="R83" s="31"/>
      <c r="S83" s="68"/>
      <c r="T83" s="40"/>
      <c r="U83" s="38"/>
      <c r="V83" s="74"/>
      <c r="W83" s="34" t="str">
        <f t="shared" si="13"/>
        <v>FALSE</v>
      </c>
      <c r="X83" s="34" t="str">
        <f t="shared" si="9"/>
        <v>FALSE</v>
      </c>
      <c r="Y83" s="35">
        <f t="shared" si="14"/>
        <v>0</v>
      </c>
      <c r="Z83" s="36" t="str">
        <f t="shared" si="15"/>
        <v/>
      </c>
      <c r="AA83" s="6"/>
      <c r="AB83" s="41"/>
      <c r="AC83" s="38"/>
      <c r="AD83" s="38"/>
      <c r="AE83" s="34"/>
      <c r="AF83" s="34" t="str">
        <f t="shared" si="16"/>
        <v>FALSE</v>
      </c>
      <c r="AG83" s="35">
        <f t="shared" si="10"/>
        <v>0</v>
      </c>
      <c r="AH83" s="36" t="str">
        <f t="shared" si="11"/>
        <v/>
      </c>
    </row>
    <row r="84" spans="1:34" ht="1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29" t="str">
        <f t="shared" si="12"/>
        <v/>
      </c>
      <c r="Q84" s="30"/>
      <c r="R84" s="31"/>
      <c r="S84" s="68"/>
      <c r="T84" s="40"/>
      <c r="U84" s="38"/>
      <c r="V84" s="74"/>
      <c r="W84" s="34" t="str">
        <f t="shared" si="13"/>
        <v>FALSE</v>
      </c>
      <c r="X84" s="34" t="str">
        <f t="shared" si="9"/>
        <v>FALSE</v>
      </c>
      <c r="Y84" s="35">
        <f t="shared" si="14"/>
        <v>0</v>
      </c>
      <c r="Z84" s="36" t="str">
        <f t="shared" si="15"/>
        <v/>
      </c>
      <c r="AA84" s="6"/>
      <c r="AB84" s="41"/>
      <c r="AC84" s="38"/>
      <c r="AD84" s="38"/>
      <c r="AE84" s="34"/>
      <c r="AF84" s="34" t="str">
        <f t="shared" si="16"/>
        <v>FALSE</v>
      </c>
      <c r="AG84" s="35">
        <f t="shared" si="10"/>
        <v>0</v>
      </c>
      <c r="AH84" s="36" t="str">
        <f t="shared" si="11"/>
        <v/>
      </c>
    </row>
    <row r="85" spans="1:34" ht="1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29" t="str">
        <f t="shared" si="12"/>
        <v/>
      </c>
      <c r="Q85" s="30"/>
      <c r="R85" s="31"/>
      <c r="S85" s="68"/>
      <c r="T85" s="40"/>
      <c r="U85" s="38"/>
      <c r="V85" s="74"/>
      <c r="W85" s="34" t="str">
        <f t="shared" si="13"/>
        <v>FALSE</v>
      </c>
      <c r="X85" s="34" t="str">
        <f t="shared" si="9"/>
        <v>FALSE</v>
      </c>
      <c r="Y85" s="35">
        <f t="shared" si="14"/>
        <v>0</v>
      </c>
      <c r="Z85" s="36" t="str">
        <f t="shared" si="15"/>
        <v/>
      </c>
      <c r="AA85" s="6"/>
      <c r="AB85" s="41"/>
      <c r="AC85" s="38"/>
      <c r="AD85" s="38"/>
      <c r="AE85" s="34"/>
      <c r="AF85" s="34" t="str">
        <f t="shared" si="16"/>
        <v>FALSE</v>
      </c>
      <c r="AG85" s="35">
        <f t="shared" si="10"/>
        <v>0</v>
      </c>
      <c r="AH85" s="36" t="str">
        <f t="shared" si="11"/>
        <v/>
      </c>
    </row>
    <row r="86" spans="1:34" ht="1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29" t="str">
        <f t="shared" si="12"/>
        <v/>
      </c>
      <c r="Q86" s="30"/>
      <c r="R86" s="31"/>
      <c r="S86" s="68"/>
      <c r="T86" s="40"/>
      <c r="U86" s="38"/>
      <c r="V86" s="74"/>
      <c r="W86" s="34" t="str">
        <f t="shared" si="13"/>
        <v>FALSE</v>
      </c>
      <c r="X86" s="34" t="str">
        <f t="shared" si="9"/>
        <v>FALSE</v>
      </c>
      <c r="Y86" s="35">
        <f t="shared" si="14"/>
        <v>0</v>
      </c>
      <c r="Z86" s="36" t="str">
        <f t="shared" si="15"/>
        <v/>
      </c>
      <c r="AA86" s="6"/>
      <c r="AB86" s="41"/>
      <c r="AC86" s="38"/>
      <c r="AD86" s="38"/>
      <c r="AE86" s="34"/>
      <c r="AF86" s="34" t="str">
        <f t="shared" si="16"/>
        <v>FALSE</v>
      </c>
      <c r="AG86" s="35">
        <f t="shared" si="10"/>
        <v>0</v>
      </c>
      <c r="AH86" s="36" t="str">
        <f t="shared" si="11"/>
        <v/>
      </c>
    </row>
    <row r="87" spans="1:34" ht="1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29" t="str">
        <f t="shared" si="12"/>
        <v/>
      </c>
      <c r="Q87" s="30"/>
      <c r="R87" s="31"/>
      <c r="S87" s="68"/>
      <c r="T87" s="40"/>
      <c r="U87" s="38"/>
      <c r="V87" s="74"/>
      <c r="W87" s="34" t="str">
        <f t="shared" si="13"/>
        <v>FALSE</v>
      </c>
      <c r="X87" s="34" t="str">
        <f t="shared" si="9"/>
        <v>FALSE</v>
      </c>
      <c r="Y87" s="35">
        <f t="shared" si="14"/>
        <v>0</v>
      </c>
      <c r="Z87" s="36" t="str">
        <f t="shared" si="15"/>
        <v/>
      </c>
      <c r="AA87" s="6"/>
      <c r="AB87" s="41"/>
      <c r="AC87" s="38"/>
      <c r="AD87" s="38"/>
      <c r="AE87" s="34"/>
      <c r="AF87" s="34" t="str">
        <f t="shared" si="16"/>
        <v>FALSE</v>
      </c>
      <c r="AG87" s="35">
        <f t="shared" si="10"/>
        <v>0</v>
      </c>
      <c r="AH87" s="36" t="str">
        <f t="shared" si="11"/>
        <v/>
      </c>
    </row>
    <row r="88" spans="1:34" ht="1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29" t="str">
        <f t="shared" si="12"/>
        <v/>
      </c>
      <c r="Q88" s="30"/>
      <c r="R88" s="31"/>
      <c r="S88" s="68"/>
      <c r="T88" s="40"/>
      <c r="U88" s="38"/>
      <c r="V88" s="74"/>
      <c r="W88" s="34" t="str">
        <f t="shared" si="13"/>
        <v>FALSE</v>
      </c>
      <c r="X88" s="34" t="str">
        <f t="shared" si="9"/>
        <v>FALSE</v>
      </c>
      <c r="Y88" s="35">
        <f t="shared" si="14"/>
        <v>0</v>
      </c>
      <c r="Z88" s="36" t="str">
        <f t="shared" si="15"/>
        <v/>
      </c>
      <c r="AA88" s="6"/>
      <c r="AB88" s="41"/>
      <c r="AC88" s="38"/>
      <c r="AD88" s="38"/>
      <c r="AE88" s="34"/>
      <c r="AF88" s="34" t="str">
        <f t="shared" si="16"/>
        <v>FALSE</v>
      </c>
      <c r="AG88" s="35">
        <f t="shared" si="10"/>
        <v>0</v>
      </c>
      <c r="AH88" s="36" t="str">
        <f t="shared" si="11"/>
        <v/>
      </c>
    </row>
    <row r="89" spans="1:34" ht="1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29" t="str">
        <f t="shared" si="12"/>
        <v/>
      </c>
      <c r="Q89" s="30"/>
      <c r="R89" s="31"/>
      <c r="S89" s="68"/>
      <c r="T89" s="40"/>
      <c r="U89" s="38"/>
      <c r="V89" s="74"/>
      <c r="W89" s="34" t="str">
        <f t="shared" si="13"/>
        <v>FALSE</v>
      </c>
      <c r="X89" s="34" t="str">
        <f t="shared" si="9"/>
        <v>FALSE</v>
      </c>
      <c r="Y89" s="35">
        <f t="shared" si="14"/>
        <v>0</v>
      </c>
      <c r="Z89" s="36" t="str">
        <f t="shared" si="15"/>
        <v/>
      </c>
      <c r="AA89" s="6"/>
      <c r="AB89" s="41"/>
      <c r="AC89" s="38"/>
      <c r="AD89" s="38"/>
      <c r="AE89" s="34"/>
      <c r="AF89" s="34" t="str">
        <f t="shared" si="16"/>
        <v>FALSE</v>
      </c>
      <c r="AG89" s="35">
        <f t="shared" si="10"/>
        <v>0</v>
      </c>
      <c r="AH89" s="36" t="str">
        <f t="shared" si="11"/>
        <v/>
      </c>
    </row>
    <row r="90" spans="1:34" ht="1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29" t="str">
        <f t="shared" si="12"/>
        <v/>
      </c>
      <c r="Q90" s="30"/>
      <c r="R90" s="31"/>
      <c r="S90" s="68"/>
      <c r="T90" s="40"/>
      <c r="U90" s="38"/>
      <c r="V90" s="74"/>
      <c r="W90" s="34" t="str">
        <f t="shared" si="13"/>
        <v>FALSE</v>
      </c>
      <c r="X90" s="34" t="str">
        <f t="shared" si="9"/>
        <v>FALSE</v>
      </c>
      <c r="Y90" s="35">
        <f t="shared" si="14"/>
        <v>0</v>
      </c>
      <c r="Z90" s="36" t="str">
        <f t="shared" si="15"/>
        <v/>
      </c>
      <c r="AA90" s="6"/>
      <c r="AB90" s="41"/>
      <c r="AC90" s="38"/>
      <c r="AD90" s="38"/>
      <c r="AE90" s="34"/>
      <c r="AF90" s="34" t="str">
        <f t="shared" si="16"/>
        <v>FALSE</v>
      </c>
      <c r="AG90" s="35">
        <f t="shared" si="10"/>
        <v>0</v>
      </c>
      <c r="AH90" s="36" t="str">
        <f t="shared" si="11"/>
        <v/>
      </c>
    </row>
    <row r="91" spans="1:34" ht="1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29" t="str">
        <f t="shared" si="12"/>
        <v/>
      </c>
      <c r="Q91" s="30"/>
      <c r="R91" s="31"/>
      <c r="S91" s="68"/>
      <c r="T91" s="40"/>
      <c r="U91" s="38"/>
      <c r="V91" s="74"/>
      <c r="W91" s="34" t="str">
        <f t="shared" si="13"/>
        <v>FALSE</v>
      </c>
      <c r="X91" s="34" t="str">
        <f t="shared" si="9"/>
        <v>FALSE</v>
      </c>
      <c r="Y91" s="35">
        <f t="shared" si="14"/>
        <v>0</v>
      </c>
      <c r="Z91" s="36" t="str">
        <f t="shared" si="15"/>
        <v/>
      </c>
      <c r="AA91" s="6"/>
      <c r="AB91" s="41"/>
      <c r="AC91" s="38"/>
      <c r="AD91" s="38"/>
      <c r="AE91" s="34"/>
      <c r="AF91" s="34" t="str">
        <f t="shared" si="16"/>
        <v>FALSE</v>
      </c>
      <c r="AG91" s="35">
        <f t="shared" si="10"/>
        <v>0</v>
      </c>
      <c r="AH91" s="36" t="str">
        <f t="shared" si="11"/>
        <v/>
      </c>
    </row>
    <row r="92" spans="1:34" ht="1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29" t="str">
        <f t="shared" si="12"/>
        <v/>
      </c>
      <c r="Q92" s="30"/>
      <c r="R92" s="31"/>
      <c r="S92" s="68"/>
      <c r="T92" s="40"/>
      <c r="U92" s="38"/>
      <c r="V92" s="74"/>
      <c r="W92" s="34" t="str">
        <f t="shared" si="13"/>
        <v>FALSE</v>
      </c>
      <c r="X92" s="34" t="str">
        <f t="shared" si="9"/>
        <v>FALSE</v>
      </c>
      <c r="Y92" s="35">
        <f t="shared" si="14"/>
        <v>0</v>
      </c>
      <c r="Z92" s="36" t="str">
        <f t="shared" si="15"/>
        <v/>
      </c>
      <c r="AA92" s="6"/>
      <c r="AB92" s="41"/>
      <c r="AC92" s="38"/>
      <c r="AD92" s="38"/>
      <c r="AE92" s="34"/>
      <c r="AF92" s="34" t="str">
        <f t="shared" si="16"/>
        <v>FALSE</v>
      </c>
      <c r="AG92" s="35">
        <f t="shared" si="10"/>
        <v>0</v>
      </c>
      <c r="AH92" s="36" t="str">
        <f t="shared" si="11"/>
        <v/>
      </c>
    </row>
    <row r="93" spans="1:34" ht="1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29" t="str">
        <f t="shared" si="12"/>
        <v/>
      </c>
      <c r="Q93" s="30"/>
      <c r="R93" s="31"/>
      <c r="S93" s="68"/>
      <c r="T93" s="40"/>
      <c r="U93" s="38"/>
      <c r="V93" s="74"/>
      <c r="W93" s="34" t="str">
        <f t="shared" si="13"/>
        <v>FALSE</v>
      </c>
      <c r="X93" s="34" t="str">
        <f t="shared" si="9"/>
        <v>FALSE</v>
      </c>
      <c r="Y93" s="35">
        <f t="shared" si="14"/>
        <v>0</v>
      </c>
      <c r="Z93" s="36" t="str">
        <f t="shared" si="15"/>
        <v/>
      </c>
      <c r="AA93" s="6"/>
      <c r="AB93" s="41"/>
      <c r="AC93" s="38"/>
      <c r="AD93" s="38"/>
      <c r="AE93" s="34"/>
      <c r="AF93" s="34" t="str">
        <f t="shared" si="16"/>
        <v>FALSE</v>
      </c>
      <c r="AG93" s="35">
        <f t="shared" si="10"/>
        <v>0</v>
      </c>
      <c r="AH93" s="36" t="str">
        <f t="shared" si="11"/>
        <v/>
      </c>
    </row>
    <row r="94" spans="1:34" ht="1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29" t="str">
        <f t="shared" si="12"/>
        <v/>
      </c>
      <c r="Q94" s="30"/>
      <c r="R94" s="31"/>
      <c r="S94" s="68"/>
      <c r="T94" s="40"/>
      <c r="U94" s="38"/>
      <c r="V94" s="74"/>
      <c r="W94" s="34" t="str">
        <f t="shared" si="13"/>
        <v>FALSE</v>
      </c>
      <c r="X94" s="34" t="str">
        <f t="shared" si="9"/>
        <v>FALSE</v>
      </c>
      <c r="Y94" s="35">
        <f t="shared" si="14"/>
        <v>0</v>
      </c>
      <c r="Z94" s="36" t="str">
        <f t="shared" si="15"/>
        <v/>
      </c>
      <c r="AA94" s="6"/>
      <c r="AB94" s="41"/>
      <c r="AC94" s="38"/>
      <c r="AD94" s="38"/>
      <c r="AE94" s="34"/>
      <c r="AF94" s="34" t="str">
        <f t="shared" si="16"/>
        <v>FALSE</v>
      </c>
      <c r="AG94" s="35">
        <f t="shared" si="10"/>
        <v>0</v>
      </c>
      <c r="AH94" s="36" t="str">
        <f t="shared" si="11"/>
        <v/>
      </c>
    </row>
    <row r="95" spans="1:34" ht="1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29" t="str">
        <f t="shared" si="12"/>
        <v/>
      </c>
      <c r="Q95" s="30"/>
      <c r="R95" s="31"/>
      <c r="S95" s="68"/>
      <c r="T95" s="40"/>
      <c r="U95" s="38"/>
      <c r="V95" s="74"/>
      <c r="W95" s="34" t="str">
        <f t="shared" si="13"/>
        <v>FALSE</v>
      </c>
      <c r="X95" s="34" t="str">
        <f t="shared" si="9"/>
        <v>FALSE</v>
      </c>
      <c r="Y95" s="35">
        <f t="shared" si="14"/>
        <v>0</v>
      </c>
      <c r="Z95" s="36" t="str">
        <f t="shared" si="15"/>
        <v/>
      </c>
      <c r="AA95" s="6"/>
      <c r="AB95" s="41"/>
      <c r="AC95" s="38"/>
      <c r="AD95" s="38"/>
      <c r="AE95" s="34"/>
      <c r="AF95" s="34" t="str">
        <f t="shared" si="16"/>
        <v>FALSE</v>
      </c>
      <c r="AG95" s="35">
        <f t="shared" si="10"/>
        <v>0</v>
      </c>
      <c r="AH95" s="36" t="str">
        <f t="shared" si="11"/>
        <v/>
      </c>
    </row>
    <row r="96" spans="1:34" ht="1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29" t="str">
        <f t="shared" si="12"/>
        <v/>
      </c>
      <c r="Q96" s="30"/>
      <c r="R96" s="31"/>
      <c r="S96" s="68"/>
      <c r="T96" s="40"/>
      <c r="U96" s="38"/>
      <c r="V96" s="74"/>
      <c r="W96" s="34" t="str">
        <f t="shared" si="13"/>
        <v>FALSE</v>
      </c>
      <c r="X96" s="34" t="str">
        <f t="shared" si="9"/>
        <v>FALSE</v>
      </c>
      <c r="Y96" s="35">
        <f t="shared" si="14"/>
        <v>0</v>
      </c>
      <c r="Z96" s="36" t="str">
        <f t="shared" si="15"/>
        <v/>
      </c>
      <c r="AA96" s="6"/>
      <c r="AB96" s="41"/>
      <c r="AC96" s="38"/>
      <c r="AD96" s="38"/>
      <c r="AE96" s="34"/>
      <c r="AF96" s="34" t="str">
        <f t="shared" si="16"/>
        <v>FALSE</v>
      </c>
      <c r="AG96" s="35">
        <f t="shared" si="10"/>
        <v>0</v>
      </c>
      <c r="AH96" s="36" t="str">
        <f t="shared" si="11"/>
        <v/>
      </c>
    </row>
    <row r="97" spans="1:34" ht="1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29" t="str">
        <f t="shared" si="12"/>
        <v/>
      </c>
      <c r="Q97" s="30"/>
      <c r="R97" s="31"/>
      <c r="S97" s="68"/>
      <c r="T97" s="40"/>
      <c r="U97" s="38"/>
      <c r="V97" s="74"/>
      <c r="W97" s="34" t="str">
        <f t="shared" si="13"/>
        <v>FALSE</v>
      </c>
      <c r="X97" s="34" t="str">
        <f t="shared" si="9"/>
        <v>FALSE</v>
      </c>
      <c r="Y97" s="35">
        <f t="shared" si="14"/>
        <v>0</v>
      </c>
      <c r="Z97" s="36" t="str">
        <f t="shared" si="15"/>
        <v/>
      </c>
      <c r="AA97" s="6"/>
      <c r="AB97" s="41"/>
      <c r="AC97" s="38"/>
      <c r="AD97" s="38"/>
      <c r="AE97" s="34"/>
      <c r="AF97" s="34" t="str">
        <f t="shared" si="16"/>
        <v>FALSE</v>
      </c>
      <c r="AG97" s="35">
        <f t="shared" si="10"/>
        <v>0</v>
      </c>
      <c r="AH97" s="36" t="str">
        <f t="shared" si="11"/>
        <v/>
      </c>
    </row>
    <row r="98" spans="1:34" ht="1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29" t="str">
        <f t="shared" si="12"/>
        <v/>
      </c>
      <c r="Q98" s="30"/>
      <c r="R98" s="31"/>
      <c r="S98" s="68"/>
      <c r="T98" s="40"/>
      <c r="U98" s="38"/>
      <c r="V98" s="74"/>
      <c r="W98" s="34" t="str">
        <f t="shared" si="13"/>
        <v>FALSE</v>
      </c>
      <c r="X98" s="34" t="str">
        <f t="shared" si="9"/>
        <v>FALSE</v>
      </c>
      <c r="Y98" s="35">
        <f t="shared" si="14"/>
        <v>0</v>
      </c>
      <c r="Z98" s="36" t="str">
        <f t="shared" si="15"/>
        <v/>
      </c>
      <c r="AA98" s="6"/>
      <c r="AB98" s="41"/>
      <c r="AC98" s="38"/>
      <c r="AD98" s="38"/>
      <c r="AE98" s="34"/>
      <c r="AF98" s="34" t="str">
        <f t="shared" si="16"/>
        <v>FALSE</v>
      </c>
      <c r="AG98" s="35">
        <f t="shared" si="10"/>
        <v>0</v>
      </c>
      <c r="AH98" s="36" t="str">
        <f t="shared" si="11"/>
        <v/>
      </c>
    </row>
    <row r="99" spans="1:34" ht="1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29" t="str">
        <f t="shared" si="12"/>
        <v/>
      </c>
      <c r="Q99" s="30"/>
      <c r="R99" s="31"/>
      <c r="S99" s="68"/>
      <c r="T99" s="40"/>
      <c r="U99" s="38"/>
      <c r="V99" s="74"/>
      <c r="W99" s="34" t="str">
        <f t="shared" si="13"/>
        <v>FALSE</v>
      </c>
      <c r="X99" s="34" t="str">
        <f t="shared" si="9"/>
        <v>FALSE</v>
      </c>
      <c r="Y99" s="35">
        <f t="shared" si="14"/>
        <v>0</v>
      </c>
      <c r="Z99" s="36" t="str">
        <f t="shared" si="15"/>
        <v/>
      </c>
      <c r="AA99" s="6"/>
      <c r="AB99" s="41"/>
      <c r="AC99" s="38"/>
      <c r="AD99" s="38"/>
      <c r="AE99" s="34"/>
      <c r="AF99" s="34" t="str">
        <f t="shared" si="16"/>
        <v>FALSE</v>
      </c>
      <c r="AG99" s="35">
        <f t="shared" si="10"/>
        <v>0</v>
      </c>
      <c r="AH99" s="36" t="str">
        <f t="shared" si="11"/>
        <v/>
      </c>
    </row>
    <row r="100" spans="1:34" ht="1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29" t="str">
        <f t="shared" si="12"/>
        <v/>
      </c>
      <c r="Q100" s="30"/>
      <c r="R100" s="31"/>
      <c r="S100" s="68"/>
      <c r="T100" s="40"/>
      <c r="U100" s="38"/>
      <c r="V100" s="74"/>
      <c r="W100" s="34" t="str">
        <f t="shared" si="13"/>
        <v>FALSE</v>
      </c>
      <c r="X100" s="34" t="str">
        <f t="shared" si="9"/>
        <v>FALSE</v>
      </c>
      <c r="Y100" s="35">
        <f t="shared" si="14"/>
        <v>0</v>
      </c>
      <c r="Z100" s="36" t="str">
        <f t="shared" si="15"/>
        <v/>
      </c>
      <c r="AA100" s="6"/>
      <c r="AB100" s="41"/>
      <c r="AC100" s="38"/>
      <c r="AD100" s="38"/>
      <c r="AE100" s="34"/>
      <c r="AF100" s="34" t="str">
        <f t="shared" si="16"/>
        <v>FALSE</v>
      </c>
      <c r="AG100" s="35">
        <f t="shared" si="10"/>
        <v>0</v>
      </c>
      <c r="AH100" s="36" t="str">
        <f t="shared" si="11"/>
        <v/>
      </c>
    </row>
    <row r="101" spans="1:34" ht="1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29" t="str">
        <f t="shared" si="12"/>
        <v/>
      </c>
      <c r="Q101" s="30"/>
      <c r="R101" s="31"/>
      <c r="S101" s="68"/>
      <c r="T101" s="40"/>
      <c r="U101" s="38"/>
      <c r="V101" s="74"/>
      <c r="W101" s="34" t="str">
        <f t="shared" si="13"/>
        <v>FALSE</v>
      </c>
      <c r="X101" s="34" t="str">
        <f t="shared" si="9"/>
        <v>FALSE</v>
      </c>
      <c r="Y101" s="35">
        <f t="shared" si="14"/>
        <v>0</v>
      </c>
      <c r="Z101" s="36" t="str">
        <f t="shared" si="15"/>
        <v/>
      </c>
      <c r="AA101" s="6"/>
      <c r="AB101" s="41"/>
      <c r="AC101" s="38"/>
      <c r="AD101" s="38"/>
      <c r="AE101" s="34"/>
      <c r="AF101" s="34" t="str">
        <f t="shared" si="16"/>
        <v>FALSE</v>
      </c>
      <c r="AG101" s="35">
        <f t="shared" si="10"/>
        <v>0</v>
      </c>
      <c r="AH101" s="36" t="str">
        <f t="shared" si="11"/>
        <v/>
      </c>
    </row>
    <row r="102" spans="1:34" ht="1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29" t="str">
        <f t="shared" si="12"/>
        <v/>
      </c>
      <c r="Q102" s="30"/>
      <c r="R102" s="31"/>
      <c r="S102" s="68"/>
      <c r="T102" s="40"/>
      <c r="U102" s="38"/>
      <c r="V102" s="74"/>
      <c r="W102" s="34" t="str">
        <f t="shared" si="13"/>
        <v>FALSE</v>
      </c>
      <c r="X102" s="34" t="str">
        <f t="shared" si="9"/>
        <v>FALSE</v>
      </c>
      <c r="Y102" s="35">
        <f t="shared" si="14"/>
        <v>0</v>
      </c>
      <c r="Z102" s="36" t="str">
        <f t="shared" si="15"/>
        <v/>
      </c>
      <c r="AA102" s="6"/>
      <c r="AB102" s="41"/>
      <c r="AC102" s="38"/>
      <c r="AD102" s="38"/>
      <c r="AE102" s="34"/>
      <c r="AF102" s="34" t="str">
        <f t="shared" si="16"/>
        <v>FALSE</v>
      </c>
      <c r="AG102" s="35">
        <f t="shared" si="10"/>
        <v>0</v>
      </c>
      <c r="AH102" s="36" t="str">
        <f t="shared" si="11"/>
        <v/>
      </c>
    </row>
    <row r="103" spans="1:34" ht="1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29" t="str">
        <f t="shared" si="12"/>
        <v/>
      </c>
      <c r="Q103" s="30"/>
      <c r="R103" s="31"/>
      <c r="S103" s="68"/>
      <c r="T103" s="40"/>
      <c r="U103" s="38"/>
      <c r="V103" s="74"/>
      <c r="W103" s="34" t="str">
        <f t="shared" si="13"/>
        <v>FALSE</v>
      </c>
      <c r="X103" s="34" t="str">
        <f t="shared" si="9"/>
        <v>FALSE</v>
      </c>
      <c r="Y103" s="35">
        <f t="shared" si="14"/>
        <v>0</v>
      </c>
      <c r="Z103" s="36" t="str">
        <f t="shared" si="15"/>
        <v/>
      </c>
      <c r="AA103" s="6"/>
      <c r="AB103" s="41"/>
      <c r="AC103" s="38"/>
      <c r="AD103" s="38"/>
      <c r="AE103" s="34"/>
      <c r="AF103" s="34" t="str">
        <f t="shared" si="16"/>
        <v>FALSE</v>
      </c>
      <c r="AG103" s="35">
        <f t="shared" si="10"/>
        <v>0</v>
      </c>
      <c r="AH103" s="36" t="str">
        <f t="shared" si="11"/>
        <v/>
      </c>
    </row>
    <row r="104" spans="1:34" ht="1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29" t="str">
        <f t="shared" si="12"/>
        <v/>
      </c>
      <c r="Q104" s="30"/>
      <c r="R104" s="31"/>
      <c r="S104" s="68"/>
      <c r="T104" s="40"/>
      <c r="U104" s="38"/>
      <c r="V104" s="74"/>
      <c r="W104" s="34" t="str">
        <f t="shared" si="13"/>
        <v>FALSE</v>
      </c>
      <c r="X104" s="34" t="str">
        <f t="shared" si="9"/>
        <v>FALSE</v>
      </c>
      <c r="Y104" s="35">
        <f t="shared" si="14"/>
        <v>0</v>
      </c>
      <c r="Z104" s="36" t="str">
        <f t="shared" si="15"/>
        <v/>
      </c>
      <c r="AA104" s="6"/>
      <c r="AB104" s="41"/>
      <c r="AC104" s="38"/>
      <c r="AD104" s="38"/>
      <c r="AE104" s="34"/>
      <c r="AF104" s="34" t="str">
        <f t="shared" si="16"/>
        <v>FALSE</v>
      </c>
      <c r="AG104" s="35">
        <f t="shared" si="10"/>
        <v>0</v>
      </c>
      <c r="AH104" s="36" t="str">
        <f t="shared" si="11"/>
        <v/>
      </c>
    </row>
    <row r="105" spans="1:34" ht="1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29" t="str">
        <f t="shared" si="12"/>
        <v/>
      </c>
      <c r="Q105" s="30"/>
      <c r="R105" s="31"/>
      <c r="S105" s="68"/>
      <c r="T105" s="40"/>
      <c r="U105" s="38"/>
      <c r="V105" s="74"/>
      <c r="W105" s="34" t="str">
        <f t="shared" si="13"/>
        <v>FALSE</v>
      </c>
      <c r="X105" s="34" t="str">
        <f t="shared" si="9"/>
        <v>FALSE</v>
      </c>
      <c r="Y105" s="35">
        <f t="shared" si="14"/>
        <v>0</v>
      </c>
      <c r="Z105" s="36" t="str">
        <f t="shared" si="15"/>
        <v/>
      </c>
      <c r="AA105" s="6"/>
      <c r="AB105" s="41"/>
      <c r="AC105" s="38"/>
      <c r="AD105" s="38"/>
      <c r="AE105" s="34"/>
      <c r="AF105" s="34" t="str">
        <f t="shared" si="16"/>
        <v>FALSE</v>
      </c>
      <c r="AG105" s="35">
        <f t="shared" si="10"/>
        <v>0</v>
      </c>
      <c r="AH105" s="36" t="str">
        <f t="shared" si="11"/>
        <v/>
      </c>
    </row>
    <row r="106" spans="1:34" ht="1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29" t="str">
        <f t="shared" si="12"/>
        <v/>
      </c>
      <c r="Q106" s="30"/>
      <c r="R106" s="31"/>
      <c r="S106" s="68"/>
      <c r="T106" s="40"/>
      <c r="U106" s="38"/>
      <c r="V106" s="74"/>
      <c r="W106" s="34" t="str">
        <f t="shared" si="13"/>
        <v>FALSE</v>
      </c>
      <c r="X106" s="34" t="str">
        <f t="shared" si="9"/>
        <v>FALSE</v>
      </c>
      <c r="Y106" s="35">
        <f t="shared" si="14"/>
        <v>0</v>
      </c>
      <c r="Z106" s="36" t="str">
        <f t="shared" si="15"/>
        <v/>
      </c>
      <c r="AA106" s="6"/>
      <c r="AB106" s="41"/>
      <c r="AC106" s="38"/>
      <c r="AD106" s="38"/>
      <c r="AE106" s="34"/>
      <c r="AF106" s="34" t="str">
        <f t="shared" si="16"/>
        <v>FALSE</v>
      </c>
      <c r="AG106" s="35">
        <f t="shared" si="10"/>
        <v>0</v>
      </c>
      <c r="AH106" s="36" t="str">
        <f t="shared" si="11"/>
        <v/>
      </c>
    </row>
    <row r="107" spans="1:34" ht="1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29" t="str">
        <f t="shared" si="12"/>
        <v/>
      </c>
      <c r="Q107" s="30"/>
      <c r="R107" s="31"/>
      <c r="S107" s="68"/>
      <c r="T107" s="40"/>
      <c r="U107" s="38"/>
      <c r="V107" s="74"/>
      <c r="W107" s="34" t="str">
        <f t="shared" si="13"/>
        <v>FALSE</v>
      </c>
      <c r="X107" s="34" t="str">
        <f t="shared" si="9"/>
        <v>FALSE</v>
      </c>
      <c r="Y107" s="35">
        <f t="shared" si="14"/>
        <v>0</v>
      </c>
      <c r="Z107" s="36" t="str">
        <f t="shared" si="15"/>
        <v/>
      </c>
      <c r="AA107" s="6"/>
      <c r="AB107" s="41"/>
      <c r="AC107" s="38"/>
      <c r="AD107" s="38"/>
      <c r="AE107" s="34"/>
      <c r="AF107" s="34" t="str">
        <f t="shared" si="16"/>
        <v>FALSE</v>
      </c>
      <c r="AG107" s="35">
        <f t="shared" si="10"/>
        <v>0</v>
      </c>
      <c r="AH107" s="36" t="str">
        <f t="shared" si="11"/>
        <v/>
      </c>
    </row>
    <row r="108" spans="1:34" ht="1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29" t="str">
        <f t="shared" si="12"/>
        <v/>
      </c>
      <c r="Q108" s="30"/>
      <c r="R108" s="31"/>
      <c r="S108" s="68"/>
      <c r="T108" s="40"/>
      <c r="U108" s="38"/>
      <c r="V108" s="74"/>
      <c r="W108" s="34" t="str">
        <f t="shared" si="13"/>
        <v>FALSE</v>
      </c>
      <c r="X108" s="34" t="str">
        <f t="shared" si="9"/>
        <v>FALSE</v>
      </c>
      <c r="Y108" s="35">
        <f t="shared" si="14"/>
        <v>0</v>
      </c>
      <c r="Z108" s="36" t="str">
        <f t="shared" si="15"/>
        <v/>
      </c>
      <c r="AA108" s="6"/>
      <c r="AB108" s="41"/>
      <c r="AC108" s="38"/>
      <c r="AD108" s="38"/>
      <c r="AE108" s="34"/>
      <c r="AF108" s="34" t="str">
        <f t="shared" si="16"/>
        <v>FALSE</v>
      </c>
      <c r="AG108" s="35">
        <f t="shared" si="10"/>
        <v>0</v>
      </c>
      <c r="AH108" s="36" t="str">
        <f t="shared" si="11"/>
        <v/>
      </c>
    </row>
    <row r="109" spans="1:34" ht="1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29" t="str">
        <f t="shared" si="12"/>
        <v/>
      </c>
      <c r="Q109" s="30"/>
      <c r="R109" s="31"/>
      <c r="S109" s="68"/>
      <c r="T109" s="40"/>
      <c r="U109" s="38"/>
      <c r="V109" s="74"/>
      <c r="W109" s="34" t="str">
        <f t="shared" si="13"/>
        <v>FALSE</v>
      </c>
      <c r="X109" s="34" t="str">
        <f t="shared" si="9"/>
        <v>FALSE</v>
      </c>
      <c r="Y109" s="35">
        <f t="shared" si="14"/>
        <v>0</v>
      </c>
      <c r="Z109" s="36" t="str">
        <f t="shared" si="15"/>
        <v/>
      </c>
      <c r="AA109" s="6"/>
      <c r="AB109" s="41"/>
      <c r="AC109" s="38"/>
      <c r="AD109" s="38"/>
      <c r="AE109" s="34"/>
      <c r="AF109" s="34" t="str">
        <f t="shared" si="16"/>
        <v>FALSE</v>
      </c>
      <c r="AG109" s="35">
        <f t="shared" si="10"/>
        <v>0</v>
      </c>
      <c r="AH109" s="36" t="str">
        <f t="shared" si="11"/>
        <v/>
      </c>
    </row>
    <row r="110" spans="1:34" ht="1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29" t="str">
        <f t="shared" si="12"/>
        <v/>
      </c>
      <c r="Q110" s="30"/>
      <c r="R110" s="31"/>
      <c r="S110" s="68"/>
      <c r="T110" s="40"/>
      <c r="U110" s="38"/>
      <c r="V110" s="74"/>
      <c r="W110" s="34" t="str">
        <f t="shared" si="13"/>
        <v>FALSE</v>
      </c>
      <c r="X110" s="34" t="str">
        <f t="shared" si="9"/>
        <v>FALSE</v>
      </c>
      <c r="Y110" s="35">
        <f t="shared" si="14"/>
        <v>0</v>
      </c>
      <c r="Z110" s="36" t="str">
        <f t="shared" si="15"/>
        <v/>
      </c>
      <c r="AA110" s="6"/>
      <c r="AB110" s="41"/>
      <c r="AC110" s="38"/>
      <c r="AD110" s="38"/>
      <c r="AE110" s="34"/>
      <c r="AF110" s="34" t="str">
        <f t="shared" si="16"/>
        <v>FALSE</v>
      </c>
      <c r="AG110" s="35">
        <f t="shared" si="10"/>
        <v>0</v>
      </c>
      <c r="AH110" s="36" t="str">
        <f t="shared" si="11"/>
        <v/>
      </c>
    </row>
    <row r="111" spans="1:34" ht="1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29" t="str">
        <f t="shared" si="12"/>
        <v/>
      </c>
      <c r="Q111" s="30"/>
      <c r="R111" s="31"/>
      <c r="S111" s="68"/>
      <c r="T111" s="40"/>
      <c r="U111" s="38"/>
      <c r="V111" s="74"/>
      <c r="W111" s="34" t="str">
        <f t="shared" si="13"/>
        <v>FALSE</v>
      </c>
      <c r="X111" s="34" t="str">
        <f t="shared" si="9"/>
        <v>FALSE</v>
      </c>
      <c r="Y111" s="35">
        <f t="shared" si="14"/>
        <v>0</v>
      </c>
      <c r="Z111" s="36" t="str">
        <f t="shared" si="15"/>
        <v/>
      </c>
      <c r="AA111" s="6"/>
      <c r="AB111" s="41"/>
      <c r="AC111" s="38"/>
      <c r="AD111" s="38"/>
      <c r="AE111" s="34"/>
      <c r="AF111" s="34" t="str">
        <f t="shared" si="16"/>
        <v>FALSE</v>
      </c>
      <c r="AG111" s="35">
        <f t="shared" si="10"/>
        <v>0</v>
      </c>
      <c r="AH111" s="36" t="str">
        <f t="shared" si="11"/>
        <v/>
      </c>
    </row>
    <row r="112" spans="1:34" ht="1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29" t="str">
        <f t="shared" si="12"/>
        <v/>
      </c>
      <c r="Q112" s="30"/>
      <c r="R112" s="31"/>
      <c r="S112" s="68"/>
      <c r="T112" s="40"/>
      <c r="U112" s="38"/>
      <c r="V112" s="74"/>
      <c r="W112" s="34" t="str">
        <f t="shared" si="13"/>
        <v>FALSE</v>
      </c>
      <c r="X112" s="34" t="str">
        <f t="shared" si="9"/>
        <v>FALSE</v>
      </c>
      <c r="Y112" s="35">
        <f t="shared" si="14"/>
        <v>0</v>
      </c>
      <c r="Z112" s="36" t="str">
        <f t="shared" si="15"/>
        <v/>
      </c>
      <c r="AA112" s="6"/>
      <c r="AB112" s="41"/>
      <c r="AC112" s="38"/>
      <c r="AD112" s="38"/>
      <c r="AE112" s="34"/>
      <c r="AF112" s="34" t="str">
        <f t="shared" si="16"/>
        <v>FALSE</v>
      </c>
      <c r="AG112" s="35">
        <f t="shared" si="10"/>
        <v>0</v>
      </c>
      <c r="AH112" s="36" t="str">
        <f t="shared" si="11"/>
        <v/>
      </c>
    </row>
    <row r="113" spans="1:34" ht="1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29" t="str">
        <f t="shared" si="12"/>
        <v/>
      </c>
      <c r="Q113" s="30"/>
      <c r="R113" s="31"/>
      <c r="S113" s="68"/>
      <c r="T113" s="40"/>
      <c r="U113" s="38"/>
      <c r="V113" s="74"/>
      <c r="W113" s="34" t="str">
        <f t="shared" si="13"/>
        <v>FALSE</v>
      </c>
      <c r="X113" s="34" t="str">
        <f t="shared" si="9"/>
        <v>FALSE</v>
      </c>
      <c r="Y113" s="35">
        <f t="shared" si="14"/>
        <v>0</v>
      </c>
      <c r="Z113" s="36" t="str">
        <f t="shared" si="15"/>
        <v/>
      </c>
      <c r="AA113" s="6"/>
      <c r="AB113" s="41"/>
      <c r="AC113" s="38"/>
      <c r="AD113" s="38"/>
      <c r="AE113" s="34"/>
      <c r="AF113" s="34" t="str">
        <f t="shared" si="16"/>
        <v>FALSE</v>
      </c>
      <c r="AG113" s="35">
        <f t="shared" si="10"/>
        <v>0</v>
      </c>
      <c r="AH113" s="36" t="str">
        <f t="shared" si="11"/>
        <v/>
      </c>
    </row>
    <row r="114" spans="1:34" ht="1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29" t="str">
        <f t="shared" si="12"/>
        <v/>
      </c>
      <c r="Q114" s="30"/>
      <c r="R114" s="31"/>
      <c r="S114" s="68"/>
      <c r="T114" s="40"/>
      <c r="U114" s="38"/>
      <c r="V114" s="74"/>
      <c r="W114" s="34" t="str">
        <f t="shared" si="13"/>
        <v>FALSE</v>
      </c>
      <c r="X114" s="34" t="str">
        <f t="shared" si="9"/>
        <v>FALSE</v>
      </c>
      <c r="Y114" s="35">
        <f t="shared" si="14"/>
        <v>0</v>
      </c>
      <c r="Z114" s="36" t="str">
        <f t="shared" si="15"/>
        <v/>
      </c>
      <c r="AA114" s="6"/>
      <c r="AB114" s="41"/>
      <c r="AC114" s="38"/>
      <c r="AD114" s="38"/>
      <c r="AE114" s="34"/>
      <c r="AF114" s="34" t="str">
        <f t="shared" si="16"/>
        <v>FALSE</v>
      </c>
      <c r="AG114" s="35">
        <f t="shared" si="10"/>
        <v>0</v>
      </c>
      <c r="AH114" s="36" t="str">
        <f t="shared" si="11"/>
        <v/>
      </c>
    </row>
    <row r="115" spans="1:34" ht="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29" t="str">
        <f t="shared" si="12"/>
        <v/>
      </c>
      <c r="Q115" s="30"/>
      <c r="R115" s="31"/>
      <c r="S115" s="68"/>
      <c r="T115" s="40"/>
      <c r="U115" s="38"/>
      <c r="V115" s="74"/>
      <c r="W115" s="34" t="str">
        <f t="shared" si="13"/>
        <v>FALSE</v>
      </c>
      <c r="X115" s="34" t="str">
        <f t="shared" si="9"/>
        <v>FALSE</v>
      </c>
      <c r="Y115" s="35">
        <f t="shared" si="14"/>
        <v>0</v>
      </c>
      <c r="Z115" s="36" t="str">
        <f t="shared" si="15"/>
        <v/>
      </c>
      <c r="AA115" s="6"/>
      <c r="AB115" s="41"/>
      <c r="AC115" s="38"/>
      <c r="AD115" s="38"/>
      <c r="AE115" s="34"/>
      <c r="AF115" s="34" t="str">
        <f t="shared" si="16"/>
        <v>FALSE</v>
      </c>
      <c r="AG115" s="35">
        <f t="shared" si="10"/>
        <v>0</v>
      </c>
      <c r="AH115" s="36" t="str">
        <f t="shared" si="11"/>
        <v/>
      </c>
    </row>
    <row r="116" spans="1:34" ht="1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29" t="str">
        <f t="shared" si="12"/>
        <v/>
      </c>
      <c r="Q116" s="30"/>
      <c r="R116" s="31"/>
      <c r="S116" s="68"/>
      <c r="T116" s="40"/>
      <c r="U116" s="38"/>
      <c r="V116" s="74"/>
      <c r="W116" s="34" t="str">
        <f t="shared" si="13"/>
        <v>FALSE</v>
      </c>
      <c r="X116" s="34" t="str">
        <f t="shared" si="9"/>
        <v>FALSE</v>
      </c>
      <c r="Y116" s="35">
        <f t="shared" si="14"/>
        <v>0</v>
      </c>
      <c r="Z116" s="36" t="str">
        <f t="shared" si="15"/>
        <v/>
      </c>
      <c r="AA116" s="6"/>
      <c r="AB116" s="41"/>
      <c r="AC116" s="38"/>
      <c r="AD116" s="38"/>
      <c r="AE116" s="34"/>
      <c r="AF116" s="34" t="str">
        <f t="shared" si="16"/>
        <v>FALSE</v>
      </c>
      <c r="AG116" s="35">
        <f t="shared" si="10"/>
        <v>0</v>
      </c>
      <c r="AH116" s="36" t="str">
        <f t="shared" si="11"/>
        <v/>
      </c>
    </row>
    <row r="117" spans="1:34" ht="1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29" t="str">
        <f t="shared" si="12"/>
        <v/>
      </c>
      <c r="Q117" s="30"/>
      <c r="R117" s="31"/>
      <c r="S117" s="68"/>
      <c r="T117" s="40"/>
      <c r="U117" s="38"/>
      <c r="V117" s="74"/>
      <c r="W117" s="34" t="str">
        <f t="shared" si="13"/>
        <v>FALSE</v>
      </c>
      <c r="X117" s="34" t="str">
        <f t="shared" si="9"/>
        <v>FALSE</v>
      </c>
      <c r="Y117" s="35">
        <f t="shared" si="14"/>
        <v>0</v>
      </c>
      <c r="Z117" s="36" t="str">
        <f t="shared" si="15"/>
        <v/>
      </c>
      <c r="AA117" s="6"/>
      <c r="AB117" s="41"/>
      <c r="AC117" s="38"/>
      <c r="AD117" s="38"/>
      <c r="AE117" s="34"/>
      <c r="AF117" s="34" t="str">
        <f t="shared" si="16"/>
        <v>FALSE</v>
      </c>
      <c r="AG117" s="35">
        <f t="shared" si="10"/>
        <v>0</v>
      </c>
      <c r="AH117" s="36" t="str">
        <f t="shared" si="11"/>
        <v/>
      </c>
    </row>
    <row r="118" spans="1:34" ht="1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29" t="str">
        <f t="shared" si="12"/>
        <v/>
      </c>
      <c r="Q118" s="30"/>
      <c r="R118" s="31"/>
      <c r="S118" s="68"/>
      <c r="T118" s="40"/>
      <c r="U118" s="38"/>
      <c r="V118" s="74"/>
      <c r="W118" s="34" t="str">
        <f t="shared" si="13"/>
        <v>FALSE</v>
      </c>
      <c r="X118" s="34" t="str">
        <f t="shared" si="9"/>
        <v>FALSE</v>
      </c>
      <c r="Y118" s="35">
        <f t="shared" si="14"/>
        <v>0</v>
      </c>
      <c r="Z118" s="36" t="str">
        <f t="shared" si="15"/>
        <v/>
      </c>
      <c r="AA118" s="6"/>
      <c r="AB118" s="41"/>
      <c r="AC118" s="38"/>
      <c r="AD118" s="38"/>
      <c r="AE118" s="34"/>
      <c r="AF118" s="34" t="str">
        <f t="shared" si="16"/>
        <v>FALSE</v>
      </c>
      <c r="AG118" s="35">
        <f t="shared" si="10"/>
        <v>0</v>
      </c>
      <c r="AH118" s="36" t="str">
        <f t="shared" si="11"/>
        <v/>
      </c>
    </row>
    <row r="119" spans="1:34" ht="1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29" t="str">
        <f t="shared" si="12"/>
        <v/>
      </c>
      <c r="Q119" s="30"/>
      <c r="R119" s="31"/>
      <c r="S119" s="68"/>
      <c r="T119" s="40"/>
      <c r="U119" s="38"/>
      <c r="V119" s="74"/>
      <c r="W119" s="34" t="str">
        <f t="shared" si="13"/>
        <v>FALSE</v>
      </c>
      <c r="X119" s="34" t="str">
        <f t="shared" si="9"/>
        <v>FALSE</v>
      </c>
      <c r="Y119" s="35">
        <f t="shared" si="14"/>
        <v>0</v>
      </c>
      <c r="Z119" s="36" t="str">
        <f t="shared" si="15"/>
        <v/>
      </c>
      <c r="AA119" s="6"/>
      <c r="AB119" s="41"/>
      <c r="AC119" s="38"/>
      <c r="AD119" s="38"/>
      <c r="AE119" s="34"/>
      <c r="AF119" s="34" t="str">
        <f t="shared" si="16"/>
        <v>FALSE</v>
      </c>
      <c r="AG119" s="35">
        <f t="shared" si="10"/>
        <v>0</v>
      </c>
      <c r="AH119" s="36" t="str">
        <f t="shared" si="11"/>
        <v/>
      </c>
    </row>
    <row r="120" spans="1:34" ht="1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29" t="str">
        <f t="shared" si="12"/>
        <v/>
      </c>
      <c r="Q120" s="30"/>
      <c r="R120" s="31"/>
      <c r="S120" s="68"/>
      <c r="T120" s="40"/>
      <c r="U120" s="38"/>
      <c r="V120" s="74"/>
      <c r="W120" s="34" t="str">
        <f t="shared" si="13"/>
        <v>FALSE</v>
      </c>
      <c r="X120" s="34" t="str">
        <f t="shared" si="9"/>
        <v>FALSE</v>
      </c>
      <c r="Y120" s="35">
        <f t="shared" si="14"/>
        <v>0</v>
      </c>
      <c r="Z120" s="36" t="str">
        <f t="shared" si="15"/>
        <v/>
      </c>
      <c r="AA120" s="6"/>
      <c r="AB120" s="41"/>
      <c r="AC120" s="38"/>
      <c r="AD120" s="38"/>
      <c r="AE120" s="34"/>
      <c r="AF120" s="34" t="str">
        <f t="shared" si="16"/>
        <v>FALSE</v>
      </c>
      <c r="AG120" s="35">
        <f t="shared" si="10"/>
        <v>0</v>
      </c>
      <c r="AH120" s="36" t="str">
        <f t="shared" si="11"/>
        <v/>
      </c>
    </row>
  </sheetData>
  <mergeCells count="11">
    <mergeCell ref="P6:U6"/>
    <mergeCell ref="X6:AA6"/>
    <mergeCell ref="Q8:Z8"/>
    <mergeCell ref="AB8:AH8"/>
    <mergeCell ref="D1:L2"/>
    <mergeCell ref="X2:AA2"/>
    <mergeCell ref="AC2:AG2"/>
    <mergeCell ref="P3:R3"/>
    <mergeCell ref="T3:U3"/>
    <mergeCell ref="X3:AA3"/>
    <mergeCell ref="AC3:AG3"/>
  </mergeCells>
  <conditionalFormatting sqref="U14:U120">
    <cfRule type="containsBlanks" dxfId="99" priority="1">
      <formula>LEN(TRIM(U14))=0</formula>
    </cfRule>
    <cfRule type="expression" dxfId="98" priority="2">
      <formula>AND(X14&gt;=2,X14&lt;3)</formula>
    </cfRule>
    <cfRule type="expression" dxfId="97" priority="3">
      <formula>X14&gt;3</formula>
    </cfRule>
  </conditionalFormatting>
  <conditionalFormatting sqref="W14:W120">
    <cfRule type="expression" dxfId="96" priority="15">
      <formula>X14="FALSE"</formula>
    </cfRule>
  </conditionalFormatting>
  <conditionalFormatting sqref="X14:X120">
    <cfRule type="expression" dxfId="95" priority="14">
      <formula>X14="FALSE"</formula>
    </cfRule>
    <cfRule type="expression" dxfId="94" priority="16">
      <formula>AND(X14&gt;2,X14&lt;3)</formula>
    </cfRule>
  </conditionalFormatting>
  <conditionalFormatting sqref="X14:Y50 X51:X120">
    <cfRule type="expression" dxfId="93" priority="20">
      <formula>X14&gt;=3</formula>
    </cfRule>
  </conditionalFormatting>
  <conditionalFormatting sqref="Y14:Y50">
    <cfRule type="expression" dxfId="92" priority="19">
      <formula>AND(X14&gt;=2,X14&lt;3)</formula>
    </cfRule>
  </conditionalFormatting>
  <conditionalFormatting sqref="Z14:Z120">
    <cfRule type="cellIs" dxfId="91" priority="17" operator="notBetween">
      <formula>0.8</formula>
      <formula>1.15</formula>
    </cfRule>
  </conditionalFormatting>
  <conditionalFormatting sqref="AC14:AC120">
    <cfRule type="containsBlanks" dxfId="90" priority="4">
      <formula>LEN(TRIM(AC14))=0</formula>
    </cfRule>
    <cfRule type="expression" dxfId="89" priority="5">
      <formula>AND(AF14&gt;=2,AF14&lt;3)</formula>
    </cfRule>
    <cfRule type="expression" dxfId="88" priority="6">
      <formula>AF14&gt;3</formula>
    </cfRule>
  </conditionalFormatting>
  <conditionalFormatting sqref="AE14:AE120">
    <cfRule type="expression" dxfId="87" priority="13">
      <formula>AF14="FALSE"</formula>
    </cfRule>
  </conditionalFormatting>
  <conditionalFormatting sqref="AF14:AF120">
    <cfRule type="expression" dxfId="86" priority="10">
      <formula>AF14="FALSE"</formula>
    </cfRule>
    <cfRule type="expression" dxfId="85" priority="11">
      <formula>AND(AF14&gt;2,AF14&lt;3)</formula>
    </cfRule>
    <cfRule type="expression" dxfId="84" priority="12">
      <formula>AF14&gt;=3</formula>
    </cfRule>
  </conditionalFormatting>
  <conditionalFormatting sqref="AG14:AG120">
    <cfRule type="expression" dxfId="83" priority="7">
      <formula>AF14=0</formula>
    </cfRule>
    <cfRule type="expression" dxfId="82" priority="8">
      <formula>AND(AF14&gt;=2,AF14&lt;3)</formula>
    </cfRule>
    <cfRule type="expression" dxfId="81" priority="9">
      <formula>AG14&gt;=3</formula>
    </cfRule>
  </conditionalFormatting>
  <conditionalFormatting sqref="AH14:AH120">
    <cfRule type="cellIs" dxfId="80" priority="18" operator="notBetween">
      <formula>0.8</formula>
      <formula>1.15</formula>
    </cfRule>
  </conditionalFormatting>
  <pageMargins left="0.4" right="0.4" top="0.4" bottom="0.4" header="0" footer="0"/>
  <pageSetup scale="10" fitToHeight="0" orientation="landscape" horizontalDpi="4294967292" verticalDpi="4294967292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B9E17-4E0B-49F1-994F-D23A47CD6EEC}">
  <sheetPr>
    <tabColor rgb="FFFFFFFF"/>
    <pageSetUpPr fitToPage="1"/>
  </sheetPr>
  <dimension ref="A1:AH120"/>
  <sheetViews>
    <sheetView showGridLines="0" zoomScale="70" zoomScaleNormal="70" workbookViewId="0">
      <selection activeCell="AC56" sqref="AC56"/>
    </sheetView>
  </sheetViews>
  <sheetFormatPr defaultColWidth="11" defaultRowHeight="13.5" customHeight="1"/>
  <cols>
    <col min="1" max="2" width="3.125" style="12" customWidth="1"/>
    <col min="3" max="8" width="11" style="12"/>
    <col min="9" max="9" width="9" style="12" customWidth="1"/>
    <col min="10" max="13" width="11" style="12"/>
    <col min="14" max="15" width="4" style="12" customWidth="1"/>
    <col min="16" max="16" width="6.125" style="43" customWidth="1"/>
    <col min="17" max="17" width="13" style="12" customWidth="1"/>
    <col min="18" max="18" width="12.875" style="44" customWidth="1"/>
    <col min="19" max="19" width="3" style="44" customWidth="1"/>
    <col min="20" max="20" width="12" style="45" customWidth="1"/>
    <col min="21" max="21" width="14.875" style="8" customWidth="1"/>
    <col min="22" max="22" width="2.375" style="12" customWidth="1"/>
    <col min="23" max="23" width="12.875" style="6" customWidth="1"/>
    <col min="24" max="24" width="11.5" style="6" customWidth="1"/>
    <col min="25" max="25" width="13" style="12" customWidth="1"/>
    <col min="26" max="26" width="11.625" style="12" customWidth="1"/>
    <col min="27" max="27" width="9.125" style="12" customWidth="1"/>
    <col min="28" max="28" width="13.375" style="8" customWidth="1"/>
    <col min="29" max="29" width="13.75" style="12" customWidth="1"/>
    <col min="30" max="30" width="2" style="12" customWidth="1"/>
    <col min="31" max="31" width="12.75" style="12" customWidth="1"/>
    <col min="32" max="32" width="12.375" style="12" customWidth="1"/>
    <col min="33" max="33" width="13.125" style="12" customWidth="1"/>
    <col min="34" max="34" width="15.25" style="12" customWidth="1"/>
    <col min="35" max="16384" width="11" style="12"/>
  </cols>
  <sheetData>
    <row r="1" spans="1:34" s="7" customFormat="1" ht="31.5" customHeight="1">
      <c r="A1" s="1"/>
      <c r="B1" s="1"/>
      <c r="C1" s="1"/>
      <c r="D1" s="162" t="s">
        <v>34</v>
      </c>
      <c r="E1" s="162"/>
      <c r="F1" s="162"/>
      <c r="G1" s="162"/>
      <c r="H1" s="162"/>
      <c r="I1" s="162"/>
      <c r="J1" s="162"/>
      <c r="K1" s="162"/>
      <c r="L1" s="162"/>
      <c r="M1" s="1"/>
      <c r="N1" s="1"/>
      <c r="O1" s="1"/>
      <c r="P1" s="2"/>
      <c r="Q1" s="3" t="s">
        <v>74</v>
      </c>
      <c r="R1" s="4"/>
      <c r="S1" s="4"/>
      <c r="T1" s="4"/>
      <c r="U1" s="5"/>
      <c r="V1" s="6"/>
      <c r="W1" s="6"/>
      <c r="X1" s="6"/>
      <c r="Y1" s="5"/>
      <c r="Z1" s="5"/>
      <c r="AA1" s="5"/>
      <c r="AB1" s="5"/>
      <c r="AC1" s="5"/>
      <c r="AD1" s="5"/>
      <c r="AE1" s="5"/>
      <c r="AF1" s="5"/>
      <c r="AG1" s="5"/>
      <c r="AH1"/>
    </row>
    <row r="2" spans="1:34" ht="15.75" customHeight="1">
      <c r="A2" s="8"/>
      <c r="B2" s="8"/>
      <c r="C2" s="8"/>
      <c r="D2" s="162"/>
      <c r="E2" s="162"/>
      <c r="F2" s="162"/>
      <c r="G2" s="162"/>
      <c r="H2" s="162"/>
      <c r="I2" s="162"/>
      <c r="J2" s="162"/>
      <c r="K2" s="162"/>
      <c r="L2" s="162"/>
      <c r="M2" s="8"/>
      <c r="N2" s="8"/>
      <c r="O2" s="8"/>
      <c r="P2" s="9"/>
      <c r="Q2" s="10" t="s">
        <v>75</v>
      </c>
      <c r="R2" s="11"/>
      <c r="S2" s="11"/>
      <c r="T2" s="10" t="s">
        <v>76</v>
      </c>
      <c r="X2" s="163" t="s">
        <v>77</v>
      </c>
      <c r="Y2" s="163"/>
      <c r="Z2" s="163"/>
      <c r="AA2" s="163"/>
      <c r="AC2" s="163" t="s">
        <v>78</v>
      </c>
      <c r="AD2" s="163"/>
      <c r="AE2" s="163"/>
      <c r="AF2" s="163"/>
      <c r="AG2" s="163"/>
      <c r="AH2"/>
    </row>
    <row r="3" spans="1:34" ht="26.2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164">
        <f>MIN(R14:R16)</f>
        <v>45677</v>
      </c>
      <c r="Q3" s="165"/>
      <c r="R3" s="166"/>
      <c r="S3" s="65"/>
      <c r="T3" s="167">
        <f>MAX(R14:R116)</f>
        <v>46065</v>
      </c>
      <c r="U3" s="168"/>
      <c r="X3" s="164" t="s">
        <v>79</v>
      </c>
      <c r="Y3" s="165"/>
      <c r="Z3" s="165"/>
      <c r="AA3" s="168"/>
      <c r="AC3" s="169" t="s">
        <v>80</v>
      </c>
      <c r="AD3" s="170"/>
      <c r="AE3" s="170"/>
      <c r="AF3" s="170"/>
      <c r="AG3" s="171"/>
      <c r="AH3"/>
    </row>
    <row r="4" spans="1:34" ht="15.7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13"/>
      <c r="Q4" s="14"/>
      <c r="R4" s="15">
        <f>MIN(P14:P120)</f>
        <v>1</v>
      </c>
      <c r="S4" s="15"/>
      <c r="T4" s="16">
        <f>MAX(P14:P120)</f>
        <v>42</v>
      </c>
      <c r="U4" s="14"/>
      <c r="V4" s="6"/>
      <c r="X4" s="14"/>
      <c r="Y4" s="14"/>
      <c r="Z4" s="14"/>
      <c r="AA4" s="14"/>
      <c r="AB4"/>
      <c r="AC4" s="14"/>
      <c r="AD4" s="14"/>
      <c r="AE4" s="14"/>
      <c r="AF4" s="14"/>
      <c r="AH4" s="8"/>
    </row>
    <row r="5" spans="1:34" ht="20.2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17"/>
      <c r="Q5" s="17" t="s">
        <v>81</v>
      </c>
      <c r="R5" s="11"/>
      <c r="S5" s="11"/>
      <c r="T5" s="18"/>
      <c r="U5" s="17"/>
      <c r="V5" s="6"/>
      <c r="X5" s="17" t="s">
        <v>82</v>
      </c>
      <c r="Y5" s="17"/>
      <c r="Z5" s="17"/>
      <c r="AA5" s="14"/>
      <c r="AB5"/>
      <c r="AC5" s="10"/>
      <c r="AD5" s="10"/>
    </row>
    <row r="6" spans="1:34" ht="25.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158" t="s">
        <v>83</v>
      </c>
      <c r="Q6" s="158"/>
      <c r="R6" s="158"/>
      <c r="S6" s="158"/>
      <c r="T6" s="158"/>
      <c r="U6" s="158"/>
      <c r="V6" s="6"/>
      <c r="X6" s="159"/>
      <c r="Y6" s="159"/>
      <c r="Z6" s="159"/>
      <c r="AA6" s="159"/>
      <c r="AB6"/>
      <c r="AC6" s="6"/>
      <c r="AD6" s="6"/>
    </row>
    <row r="7" spans="1:34" ht="23.2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19"/>
      <c r="Q7" s="20" t="s">
        <v>84</v>
      </c>
      <c r="R7" s="21"/>
      <c r="S7" s="21"/>
      <c r="T7" s="22"/>
      <c r="V7" s="8"/>
      <c r="Y7" s="8"/>
      <c r="Z7" s="8"/>
      <c r="AA7" s="8"/>
      <c r="AC7" s="8"/>
      <c r="AD7" s="8"/>
      <c r="AE7" s="8"/>
      <c r="AF7" s="8"/>
      <c r="AG7" s="8"/>
      <c r="AH7" s="8"/>
    </row>
    <row r="8" spans="1:34" ht="31.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19"/>
      <c r="Q8" s="160" t="s">
        <v>85</v>
      </c>
      <c r="R8" s="160"/>
      <c r="S8" s="160"/>
      <c r="T8" s="160"/>
      <c r="U8" s="160"/>
      <c r="V8" s="160"/>
      <c r="W8" s="160"/>
      <c r="X8" s="160"/>
      <c r="Y8" s="160"/>
      <c r="Z8" s="160"/>
      <c r="AA8" s="6"/>
      <c r="AB8" s="161" t="s">
        <v>86</v>
      </c>
      <c r="AC8" s="161"/>
      <c r="AD8" s="161"/>
      <c r="AE8" s="161"/>
      <c r="AF8" s="161"/>
      <c r="AG8" s="161"/>
      <c r="AH8" s="161"/>
    </row>
    <row r="9" spans="1:34" customFormat="1" ht="11.25" customHeight="1"/>
    <row r="10" spans="1:34" s="52" customFormat="1" ht="27.75" customHeight="1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Q10" s="73" t="s">
        <v>87</v>
      </c>
      <c r="R10" s="73" t="s">
        <v>88</v>
      </c>
      <c r="S10" s="66"/>
      <c r="T10" s="49" t="s">
        <v>89</v>
      </c>
      <c r="U10" s="46" t="s">
        <v>90</v>
      </c>
      <c r="V10" s="50"/>
      <c r="W10" s="47" t="s">
        <v>91</v>
      </c>
      <c r="X10" s="61" t="s">
        <v>92</v>
      </c>
      <c r="Y10" s="61" t="s">
        <v>93</v>
      </c>
      <c r="Z10" s="48" t="s">
        <v>94</v>
      </c>
      <c r="AA10" s="53"/>
      <c r="AB10" s="49" t="s">
        <v>95</v>
      </c>
      <c r="AC10" s="46" t="s">
        <v>90</v>
      </c>
      <c r="AE10" s="47" t="s">
        <v>91</v>
      </c>
      <c r="AF10" s="61" t="s">
        <v>92</v>
      </c>
      <c r="AG10" s="61" t="s">
        <v>93</v>
      </c>
      <c r="AH10" s="48" t="s">
        <v>94</v>
      </c>
    </row>
    <row r="11" spans="1:34" s="55" customFormat="1" ht="27.75" customHeight="1" thickBot="1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Q11" s="64">
        <f>IF(U11="","",1.15)</f>
        <v>1.1499999999999999</v>
      </c>
      <c r="R11" s="64">
        <f>IF(U11="","",0.8)</f>
        <v>0.8</v>
      </c>
      <c r="S11" s="67"/>
      <c r="T11" s="62">
        <f>_xlfn.STDEV.P($U$14:$U$120)/$U$11</f>
        <v>9.771786197449156E-2</v>
      </c>
      <c r="U11" s="63">
        <f>AVERAGE($W$14:$W$120)</f>
        <v>31.034607142857134</v>
      </c>
      <c r="V11" s="56"/>
      <c r="W11" s="60">
        <f>$U$11-(3*_xlfn.STDEV.S($W$14:$W$120))</f>
        <v>21.826419091718119</v>
      </c>
      <c r="X11" s="59">
        <f>$U$11-(2*_xlfn.STDEV.S($W$14:$W$120))</f>
        <v>24.895815108764456</v>
      </c>
      <c r="Y11" s="59">
        <f>$U$11+(2*_xlfn.STDEV.S($W$14:$W$120))</f>
        <v>37.173399176949808</v>
      </c>
      <c r="Z11" s="58">
        <f>$U$11+(3*_xlfn.STDEV.S($W$14:$W$120))</f>
        <v>40.242795193996145</v>
      </c>
      <c r="AA11" s="57"/>
      <c r="AB11" s="62">
        <f>_xlfn.STDEV.P($AC$14:$AC$120)/$AC$11</f>
        <v>0.11312243099593199</v>
      </c>
      <c r="AC11" s="63">
        <f>AVERAGE($AC$14:$AC$120)</f>
        <v>0.93924047619047613</v>
      </c>
      <c r="AE11" s="60">
        <f>$AC$11-(3*_xlfn.STDEV.S($AE$14:$AE$120))</f>
        <v>0.6519772150178833</v>
      </c>
      <c r="AF11" s="59">
        <f>$AC$11-(2*_xlfn.STDEV.S($AE$14:$AE$120))</f>
        <v>0.74773163540874765</v>
      </c>
      <c r="AG11" s="59">
        <f>$AC$11+(2*_xlfn.STDEV.S($AE$14:$AE$120))</f>
        <v>1.1307493169722047</v>
      </c>
      <c r="AH11" s="58">
        <f>$AC$11+(3*_xlfn.STDEV.S($AE$14:$AE$120))</f>
        <v>1.2265037373630689</v>
      </c>
    </row>
    <row r="12" spans="1:34" ht="11.2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19"/>
      <c r="Q12" s="20"/>
      <c r="R12" s="21"/>
      <c r="S12" s="21"/>
      <c r="T12" s="22"/>
      <c r="V12" s="8"/>
      <c r="Y12" s="8"/>
      <c r="Z12" s="8"/>
      <c r="AA12" s="6"/>
      <c r="AC12" s="8"/>
      <c r="AD12" s="8"/>
      <c r="AE12" s="8"/>
      <c r="AF12" s="8"/>
      <c r="AG12" s="8"/>
      <c r="AH12" s="8"/>
    </row>
    <row r="13" spans="1:34" ht="4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70" t="s">
        <v>96</v>
      </c>
      <c r="Q13" s="71" t="s">
        <v>97</v>
      </c>
      <c r="R13" s="71" t="s">
        <v>98</v>
      </c>
      <c r="S13" s="69"/>
      <c r="T13" s="72" t="s">
        <v>99</v>
      </c>
      <c r="U13" s="71" t="s">
        <v>100</v>
      </c>
      <c r="V13" s="69"/>
      <c r="W13" s="75" t="s">
        <v>101</v>
      </c>
      <c r="X13" s="75" t="s">
        <v>102</v>
      </c>
      <c r="Y13" s="76" t="s">
        <v>103</v>
      </c>
      <c r="Z13" s="77" t="s">
        <v>104</v>
      </c>
      <c r="AA13" s="6"/>
      <c r="AB13" s="26" t="s">
        <v>99</v>
      </c>
      <c r="AC13" s="27" t="s">
        <v>100</v>
      </c>
      <c r="AD13" s="28"/>
      <c r="AE13" s="23" t="s">
        <v>101</v>
      </c>
      <c r="AF13" s="23" t="s">
        <v>102</v>
      </c>
      <c r="AG13" s="24" t="s">
        <v>105</v>
      </c>
      <c r="AH13" s="25" t="s">
        <v>104</v>
      </c>
    </row>
    <row r="14" spans="1:34" ht="1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29">
        <v>1</v>
      </c>
      <c r="Q14" s="30" t="s">
        <v>106</v>
      </c>
      <c r="R14" s="31">
        <v>45677</v>
      </c>
      <c r="S14" s="68"/>
      <c r="T14" s="32">
        <v>29.57</v>
      </c>
      <c r="U14" s="38">
        <v>33.155999999999999</v>
      </c>
      <c r="V14" s="74"/>
      <c r="W14" s="34">
        <f>IF(X14&gt;3,"FALSE",U14)</f>
        <v>33.155999999999999</v>
      </c>
      <c r="X14" s="34">
        <f t="shared" ref="X14:X77" si="0">IF(U14="","FALSE",ABS((U14-AVERAGE($U$14:$U$120))/_xlfn.STDEV.S($U$14:$U$104)))</f>
        <v>0.69114341888808117</v>
      </c>
      <c r="Y14" s="35" t="str">
        <f>IF(OR(U14&gt;$Y$11,U14&lt;$X$11),U14,"")</f>
        <v/>
      </c>
      <c r="Z14" s="36">
        <f>IF(U14="","",U14/T14)</f>
        <v>1.1212715590125126</v>
      </c>
      <c r="AA14" s="6"/>
      <c r="AB14" s="37">
        <v>0.97899999999999998</v>
      </c>
      <c r="AC14" s="38">
        <v>0.97599999999999998</v>
      </c>
      <c r="AD14" s="38"/>
      <c r="AE14" s="34">
        <f>IF(AF14&gt;3,"FALSE",AC14)</f>
        <v>0.97599999999999998</v>
      </c>
      <c r="AF14" s="34">
        <f>IF(AC14="","FALSE",ABS((AC14-AVERAGE($AC$14:$AC$120))/_xlfn.STDEV.S($AC$14:$AC$104)))</f>
        <v>0.34183114552523042</v>
      </c>
      <c r="AG14" s="35" t="str">
        <f t="shared" ref="AG14:AG77" si="1">IF(OR(AC14&gt;$AG$11,AC14&lt;$AF$11),AC14,"")</f>
        <v/>
      </c>
      <c r="AH14" s="36">
        <f t="shared" ref="AH14:AH77" si="2">IF(AC14="","",AC14/AB14)</f>
        <v>0.99693564862104189</v>
      </c>
    </row>
    <row r="15" spans="1:34" ht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29">
        <f t="shared" ref="P15:P78" si="3">IF(R15&lt;&gt;"",P14+1,"")</f>
        <v>2</v>
      </c>
      <c r="Q15" s="30" t="s">
        <v>106</v>
      </c>
      <c r="R15" s="31">
        <v>45677</v>
      </c>
      <c r="S15" s="68"/>
      <c r="T15" s="32">
        <v>29.57</v>
      </c>
      <c r="U15" s="38">
        <v>30.428000000000001</v>
      </c>
      <c r="V15" s="74"/>
      <c r="W15" s="34">
        <f t="shared" ref="W15:W78" si="4">IF(X15&gt;3,"FALSE",U15)</f>
        <v>30.428000000000001</v>
      </c>
      <c r="X15" s="34">
        <f t="shared" si="0"/>
        <v>0.19763078452185753</v>
      </c>
      <c r="Y15" s="35" t="str">
        <f t="shared" ref="Y15:Y78" si="5">IF(OR(U15&gt;$Y$11,U15&lt;$X$11),U15,"")</f>
        <v/>
      </c>
      <c r="Z15" s="36">
        <f t="shared" ref="Z15:Z78" si="6">IF(U15="","",U15/T15)</f>
        <v>1.0290158944876564</v>
      </c>
      <c r="AA15" s="6"/>
      <c r="AB15" s="37">
        <v>0.97899999999999998</v>
      </c>
      <c r="AC15" s="38">
        <v>1.0129999999999999</v>
      </c>
      <c r="AD15" s="38"/>
      <c r="AE15" s="34">
        <f t="shared" ref="AE15:AE59" si="7">IF(AF15&gt;3,"FALSE",AC15)</f>
        <v>1.0129999999999999</v>
      </c>
      <c r="AF15" s="34">
        <f t="shared" ref="AF15:AF78" si="8">IF(AC15="","FALSE",ABS((AC15-AVERAGE($AC$14:$AC$120))/_xlfn.STDEV.S($AC$14:$AC$104)))</f>
        <v>0.68589850749569892</v>
      </c>
      <c r="AG15" s="35" t="str">
        <f t="shared" si="1"/>
        <v/>
      </c>
      <c r="AH15" s="36">
        <f t="shared" si="2"/>
        <v>1.034729315628192</v>
      </c>
    </row>
    <row r="16" spans="1:34" ht="1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29">
        <f t="shared" si="3"/>
        <v>3</v>
      </c>
      <c r="Q16" s="30" t="s">
        <v>106</v>
      </c>
      <c r="R16" s="31">
        <v>45677</v>
      </c>
      <c r="S16" s="68"/>
      <c r="T16" s="32">
        <v>29.57</v>
      </c>
      <c r="U16" s="38">
        <v>31.4</v>
      </c>
      <c r="V16" s="74"/>
      <c r="W16" s="34">
        <f t="shared" si="4"/>
        <v>31.4</v>
      </c>
      <c r="X16" s="34">
        <f t="shared" si="0"/>
        <v>0.11904389499224034</v>
      </c>
      <c r="Y16" s="35" t="str">
        <f t="shared" si="5"/>
        <v/>
      </c>
      <c r="Z16" s="36">
        <f t="shared" si="6"/>
        <v>1.061887047683463</v>
      </c>
      <c r="AA16" s="6"/>
      <c r="AB16" s="37">
        <v>0.97899999999999998</v>
      </c>
      <c r="AC16" s="38">
        <v>1.0149999999999999</v>
      </c>
      <c r="AD16" s="38"/>
      <c r="AE16" s="34">
        <f t="shared" si="7"/>
        <v>1.0149999999999999</v>
      </c>
      <c r="AF16" s="34">
        <f t="shared" si="8"/>
        <v>0.70449674327788636</v>
      </c>
      <c r="AG16" s="35" t="str">
        <f t="shared" si="1"/>
        <v/>
      </c>
      <c r="AH16" s="36">
        <f t="shared" si="2"/>
        <v>1.0367722165474973</v>
      </c>
    </row>
    <row r="17" spans="1:34" ht="1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29">
        <f t="shared" si="3"/>
        <v>4</v>
      </c>
      <c r="Q17" s="30" t="s">
        <v>106</v>
      </c>
      <c r="R17" s="31">
        <v>45677</v>
      </c>
      <c r="S17" s="68"/>
      <c r="T17" s="32">
        <v>29.57</v>
      </c>
      <c r="U17" s="38">
        <v>28.891999999999999</v>
      </c>
      <c r="V17" s="74"/>
      <c r="W17" s="34">
        <f t="shared" si="4"/>
        <v>28.891999999999999</v>
      </c>
      <c r="X17" s="34">
        <f t="shared" si="0"/>
        <v>0.69805496943302614</v>
      </c>
      <c r="Y17" s="35" t="str">
        <f t="shared" si="5"/>
        <v/>
      </c>
      <c r="Z17" s="36">
        <f t="shared" si="6"/>
        <v>0.97707135610415963</v>
      </c>
      <c r="AA17" s="6"/>
      <c r="AB17" s="37">
        <v>0.97899999999999998</v>
      </c>
      <c r="AC17" s="38">
        <v>0.878</v>
      </c>
      <c r="AD17" s="38"/>
      <c r="AE17" s="34">
        <f t="shared" si="7"/>
        <v>0.878</v>
      </c>
      <c r="AF17" s="34">
        <f t="shared" si="8"/>
        <v>0.56948240780195813</v>
      </c>
      <c r="AG17" s="35" t="str">
        <f t="shared" si="1"/>
        <v/>
      </c>
      <c r="AH17" s="36">
        <f t="shared" si="2"/>
        <v>0.89683350357507663</v>
      </c>
    </row>
    <row r="18" spans="1:34" ht="1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29">
        <f t="shared" si="3"/>
        <v>5</v>
      </c>
      <c r="Q18" s="30" t="s">
        <v>106</v>
      </c>
      <c r="R18" s="31">
        <v>45677</v>
      </c>
      <c r="S18" s="68"/>
      <c r="T18" s="32">
        <v>29.57</v>
      </c>
      <c r="U18" s="38">
        <v>30.338999999999999</v>
      </c>
      <c r="V18" s="74"/>
      <c r="W18" s="34">
        <f t="shared" si="4"/>
        <v>30.338999999999999</v>
      </c>
      <c r="X18" s="34">
        <f t="shared" si="0"/>
        <v>0.22662671711111215</v>
      </c>
      <c r="Y18" s="35" t="str">
        <f t="shared" si="5"/>
        <v/>
      </c>
      <c r="Z18" s="36">
        <f t="shared" si="6"/>
        <v>1.0260060872505918</v>
      </c>
      <c r="AA18" s="6"/>
      <c r="AB18" s="37">
        <v>0.97899999999999998</v>
      </c>
      <c r="AC18" s="38">
        <v>0.89200000000000002</v>
      </c>
      <c r="AD18" s="38"/>
      <c r="AE18" s="34">
        <f t="shared" si="7"/>
        <v>0.89200000000000002</v>
      </c>
      <c r="AF18" s="34">
        <f t="shared" si="8"/>
        <v>0.4392947573266453</v>
      </c>
      <c r="AG18" s="35" t="str">
        <f t="shared" si="1"/>
        <v/>
      </c>
      <c r="AH18" s="36">
        <f t="shared" si="2"/>
        <v>0.91113381001021454</v>
      </c>
    </row>
    <row r="19" spans="1:34" ht="1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29">
        <f t="shared" si="3"/>
        <v>6</v>
      </c>
      <c r="Q19" s="30" t="s">
        <v>106</v>
      </c>
      <c r="R19" s="31">
        <v>45678</v>
      </c>
      <c r="S19" s="68"/>
      <c r="T19" s="32">
        <v>29.57</v>
      </c>
      <c r="U19" s="38">
        <v>35.107999999999997</v>
      </c>
      <c r="V19" s="74"/>
      <c r="W19" s="34">
        <f t="shared" si="4"/>
        <v>35.107999999999997</v>
      </c>
      <c r="X19" s="34">
        <f t="shared" si="0"/>
        <v>1.3270991538793568</v>
      </c>
      <c r="Y19" s="35" t="str">
        <f t="shared" si="5"/>
        <v/>
      </c>
      <c r="Z19" s="36">
        <f t="shared" si="6"/>
        <v>1.1872844098748732</v>
      </c>
      <c r="AA19" s="6"/>
      <c r="AB19" s="37">
        <v>0.97899999999999998</v>
      </c>
      <c r="AC19" s="38">
        <v>1.0669999999999999</v>
      </c>
      <c r="AD19" s="38"/>
      <c r="AE19" s="34">
        <f t="shared" si="7"/>
        <v>1.0669999999999999</v>
      </c>
      <c r="AF19" s="34">
        <f t="shared" si="8"/>
        <v>1.1880508736147624</v>
      </c>
      <c r="AG19" s="35" t="str">
        <f t="shared" si="1"/>
        <v/>
      </c>
      <c r="AH19" s="36">
        <f t="shared" si="2"/>
        <v>1.0898876404494382</v>
      </c>
    </row>
    <row r="20" spans="1:34" ht="1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29">
        <f t="shared" si="3"/>
        <v>7</v>
      </c>
      <c r="Q20" s="30" t="s">
        <v>106</v>
      </c>
      <c r="R20" s="31">
        <v>45678</v>
      </c>
      <c r="S20" s="68"/>
      <c r="T20" s="32">
        <v>29.57</v>
      </c>
      <c r="U20" s="38">
        <v>31.600999999999999</v>
      </c>
      <c r="V20" s="74"/>
      <c r="W20" s="34">
        <f t="shared" si="4"/>
        <v>31.600999999999999</v>
      </c>
      <c r="X20" s="34">
        <f t="shared" si="0"/>
        <v>0.18452909106460041</v>
      </c>
      <c r="Y20" s="35" t="str">
        <f t="shared" si="5"/>
        <v/>
      </c>
      <c r="Z20" s="36">
        <f t="shared" si="6"/>
        <v>1.0686844775109909</v>
      </c>
      <c r="AA20" s="6"/>
      <c r="AB20" s="37">
        <v>0.97899999999999998</v>
      </c>
      <c r="AC20" s="38">
        <v>1.2629999999999999</v>
      </c>
      <c r="AD20" s="38"/>
      <c r="AE20" s="34" t="str">
        <f t="shared" si="7"/>
        <v>FALSE</v>
      </c>
      <c r="AF20" s="34">
        <f t="shared" si="8"/>
        <v>3.0106779802691395</v>
      </c>
      <c r="AG20" s="35">
        <f t="shared" si="1"/>
        <v>1.2629999999999999</v>
      </c>
      <c r="AH20" s="36">
        <f t="shared" si="2"/>
        <v>1.2900919305413687</v>
      </c>
    </row>
    <row r="21" spans="1:34" ht="1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29">
        <f t="shared" si="3"/>
        <v>8</v>
      </c>
      <c r="Q21" s="30" t="s">
        <v>106</v>
      </c>
      <c r="R21" s="31">
        <v>45678</v>
      </c>
      <c r="S21" s="68"/>
      <c r="T21" s="32">
        <v>29.57</v>
      </c>
      <c r="U21" s="38">
        <v>29.675999999999998</v>
      </c>
      <c r="V21" s="74"/>
      <c r="W21" s="34">
        <f t="shared" si="4"/>
        <v>29.675999999999998</v>
      </c>
      <c r="X21" s="34">
        <f t="shared" si="0"/>
        <v>0.44263012505128446</v>
      </c>
      <c r="Y21" s="35" t="str">
        <f t="shared" si="5"/>
        <v/>
      </c>
      <c r="Z21" s="36">
        <f t="shared" si="6"/>
        <v>1.0035847142374028</v>
      </c>
      <c r="AA21" s="6"/>
      <c r="AB21" s="37">
        <v>0.97899999999999998</v>
      </c>
      <c r="AC21" s="38">
        <v>1.02</v>
      </c>
      <c r="AD21" s="38"/>
      <c r="AE21" s="34">
        <f t="shared" si="7"/>
        <v>1.02</v>
      </c>
      <c r="AF21" s="34">
        <f t="shared" si="8"/>
        <v>0.7509923327333563</v>
      </c>
      <c r="AG21" s="35" t="str">
        <f t="shared" si="1"/>
        <v/>
      </c>
      <c r="AH21" s="36">
        <f t="shared" si="2"/>
        <v>1.0418794688457611</v>
      </c>
    </row>
    <row r="22" spans="1:34" ht="1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29">
        <f t="shared" si="3"/>
        <v>9</v>
      </c>
      <c r="Q22" s="30" t="s">
        <v>106</v>
      </c>
      <c r="R22" s="31">
        <v>45678</v>
      </c>
      <c r="S22" s="68"/>
      <c r="T22" s="32">
        <v>29.57</v>
      </c>
      <c r="U22" s="38">
        <v>37.430999999999997</v>
      </c>
      <c r="V22" s="74"/>
      <c r="W22" s="34">
        <f t="shared" si="4"/>
        <v>37.430999999999997</v>
      </c>
      <c r="X22" s="34">
        <f t="shared" si="0"/>
        <v>2.0839255741584219</v>
      </c>
      <c r="Y22" s="35">
        <f t="shared" si="5"/>
        <v>37.430999999999997</v>
      </c>
      <c r="Z22" s="36">
        <f t="shared" si="6"/>
        <v>1.2658437605681432</v>
      </c>
      <c r="AA22" s="6"/>
      <c r="AB22" s="37">
        <v>0.97899999999999998</v>
      </c>
      <c r="AC22" s="38">
        <v>1.099</v>
      </c>
      <c r="AD22" s="38"/>
      <c r="AE22" s="34">
        <f t="shared" si="7"/>
        <v>1.099</v>
      </c>
      <c r="AF22" s="34">
        <f t="shared" si="8"/>
        <v>1.485622646129763</v>
      </c>
      <c r="AG22" s="35" t="str">
        <f t="shared" si="1"/>
        <v/>
      </c>
      <c r="AH22" s="36">
        <f t="shared" si="2"/>
        <v>1.1225740551583248</v>
      </c>
    </row>
    <row r="23" spans="1:34" ht="1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29">
        <f t="shared" si="3"/>
        <v>10</v>
      </c>
      <c r="Q23" s="30" t="s">
        <v>106</v>
      </c>
      <c r="R23" s="31">
        <v>45678</v>
      </c>
      <c r="S23" s="68"/>
      <c r="T23" s="32">
        <v>29.57</v>
      </c>
      <c r="U23" s="38">
        <v>32.677999999999997</v>
      </c>
      <c r="V23" s="74"/>
      <c r="W23" s="34">
        <f t="shared" si="4"/>
        <v>32.677999999999997</v>
      </c>
      <c r="X23" s="34">
        <f t="shared" si="0"/>
        <v>0.53541245509411028</v>
      </c>
      <c r="Y23" s="35" t="str">
        <f t="shared" si="5"/>
        <v/>
      </c>
      <c r="Z23" s="36">
        <f t="shared" si="6"/>
        <v>1.1051065268853566</v>
      </c>
      <c r="AA23" s="6"/>
      <c r="AB23" s="37">
        <v>0.97899999999999998</v>
      </c>
      <c r="AC23" s="38">
        <v>1.0880000000000001</v>
      </c>
      <c r="AD23" s="38"/>
      <c r="AE23" s="34">
        <f t="shared" si="7"/>
        <v>1.0880000000000001</v>
      </c>
      <c r="AF23" s="34">
        <f t="shared" si="8"/>
        <v>1.3833323493277327</v>
      </c>
      <c r="AG23" s="35" t="str">
        <f t="shared" si="1"/>
        <v/>
      </c>
      <c r="AH23" s="36">
        <f t="shared" si="2"/>
        <v>1.1113381001021452</v>
      </c>
    </row>
    <row r="24" spans="1:34" ht="1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29">
        <f t="shared" si="3"/>
        <v>11</v>
      </c>
      <c r="Q24" s="30" t="s">
        <v>106</v>
      </c>
      <c r="R24" s="31">
        <v>45679</v>
      </c>
      <c r="S24" s="68"/>
      <c r="T24" s="32">
        <v>29.57</v>
      </c>
      <c r="U24" s="38">
        <v>35.061999999999998</v>
      </c>
      <c r="V24" s="74"/>
      <c r="W24" s="34">
        <f t="shared" si="4"/>
        <v>35.061999999999998</v>
      </c>
      <c r="X24" s="34">
        <f t="shared" si="0"/>
        <v>1.3121124920916527</v>
      </c>
      <c r="Y24" s="35" t="str">
        <f t="shared" si="5"/>
        <v/>
      </c>
      <c r="Z24" s="36">
        <f t="shared" si="6"/>
        <v>1.1857287791680757</v>
      </c>
      <c r="AA24" s="6"/>
      <c r="AB24" s="37">
        <v>0.97899999999999998</v>
      </c>
      <c r="AC24" s="38">
        <v>0.82399999999999995</v>
      </c>
      <c r="AD24" s="38"/>
      <c r="AE24" s="34">
        <f t="shared" si="7"/>
        <v>0.82399999999999995</v>
      </c>
      <c r="AF24" s="34">
        <f t="shared" si="8"/>
        <v>1.0716347739210217</v>
      </c>
      <c r="AG24" s="35" t="str">
        <f t="shared" si="1"/>
        <v/>
      </c>
      <c r="AH24" s="36">
        <f t="shared" si="2"/>
        <v>0.84167517875383036</v>
      </c>
    </row>
    <row r="25" spans="1:34" ht="1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29">
        <f t="shared" si="3"/>
        <v>12</v>
      </c>
      <c r="Q25" s="30" t="s">
        <v>106</v>
      </c>
      <c r="R25" s="31">
        <v>45679</v>
      </c>
      <c r="S25" s="68"/>
      <c r="T25" s="32">
        <v>29.57</v>
      </c>
      <c r="U25" s="38">
        <v>35.69</v>
      </c>
      <c r="V25" s="74"/>
      <c r="W25" s="34">
        <f t="shared" si="4"/>
        <v>35.69</v>
      </c>
      <c r="X25" s="34">
        <f t="shared" si="0"/>
        <v>1.5167130051933544</v>
      </c>
      <c r="Y25" s="35" t="str">
        <f t="shared" si="5"/>
        <v/>
      </c>
      <c r="Z25" s="36">
        <f t="shared" si="6"/>
        <v>1.206966520121745</v>
      </c>
      <c r="AA25" s="6"/>
      <c r="AB25" s="37">
        <v>0.97899999999999998</v>
      </c>
      <c r="AC25" s="38">
        <v>0.96199999999999997</v>
      </c>
      <c r="AD25" s="38"/>
      <c r="AE25" s="34">
        <f t="shared" si="7"/>
        <v>0.96199999999999997</v>
      </c>
      <c r="AF25" s="34">
        <f t="shared" si="8"/>
        <v>0.21164349504991761</v>
      </c>
      <c r="AG25" s="35" t="str">
        <f t="shared" si="1"/>
        <v/>
      </c>
      <c r="AH25" s="36">
        <f t="shared" si="2"/>
        <v>0.98263534218590398</v>
      </c>
    </row>
    <row r="26" spans="1:34" ht="1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29">
        <f t="shared" si="3"/>
        <v>13</v>
      </c>
      <c r="Q26" s="30" t="s">
        <v>106</v>
      </c>
      <c r="R26" s="31">
        <v>45679</v>
      </c>
      <c r="S26" s="68"/>
      <c r="T26" s="32">
        <v>29.57</v>
      </c>
      <c r="U26" s="38">
        <v>32.262999999999998</v>
      </c>
      <c r="V26" s="74"/>
      <c r="W26" s="34">
        <f t="shared" si="4"/>
        <v>32.262999999999998</v>
      </c>
      <c r="X26" s="34">
        <f t="shared" si="0"/>
        <v>0.40020670200938746</v>
      </c>
      <c r="Y26" s="35" t="str">
        <f t="shared" si="5"/>
        <v/>
      </c>
      <c r="Z26" s="36">
        <f t="shared" si="6"/>
        <v>1.0910720324653365</v>
      </c>
      <c r="AA26" s="6"/>
      <c r="AB26" s="37">
        <v>0.97899999999999998</v>
      </c>
      <c r="AC26" s="38">
        <v>0.92900000000000005</v>
      </c>
      <c r="AD26" s="38"/>
      <c r="AE26" s="34">
        <f t="shared" si="7"/>
        <v>0.92900000000000005</v>
      </c>
      <c r="AF26" s="34">
        <f t="shared" si="8"/>
        <v>9.522739535617579E-2</v>
      </c>
      <c r="AG26" s="35" t="str">
        <f t="shared" si="1"/>
        <v/>
      </c>
      <c r="AH26" s="36">
        <f t="shared" si="2"/>
        <v>0.94892747701736468</v>
      </c>
    </row>
    <row r="27" spans="1:34" ht="1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29">
        <f t="shared" si="3"/>
        <v>14</v>
      </c>
      <c r="Q27" s="30" t="s">
        <v>106</v>
      </c>
      <c r="R27" s="31">
        <v>45679</v>
      </c>
      <c r="S27" s="68"/>
      <c r="T27" s="32">
        <v>29.57</v>
      </c>
      <c r="U27" s="38">
        <v>36.591000000000001</v>
      </c>
      <c r="V27" s="74"/>
      <c r="W27" s="34">
        <f t="shared" si="4"/>
        <v>36.591000000000001</v>
      </c>
      <c r="X27" s="34">
        <f t="shared" si="0"/>
        <v>1.8102560980351279</v>
      </c>
      <c r="Y27" s="35" t="str">
        <f t="shared" si="5"/>
        <v/>
      </c>
      <c r="Z27" s="36">
        <f t="shared" si="6"/>
        <v>1.2374365911396685</v>
      </c>
      <c r="AA27" s="6"/>
      <c r="AB27" s="37">
        <v>0.97899999999999998</v>
      </c>
      <c r="AC27" s="38">
        <v>0.93899999999999995</v>
      </c>
      <c r="AD27" s="38"/>
      <c r="AE27" s="34">
        <f t="shared" si="7"/>
        <v>0.93899999999999995</v>
      </c>
      <c r="AF27" s="34">
        <f t="shared" si="8"/>
        <v>2.2362164452391156E-3</v>
      </c>
      <c r="AG27" s="35" t="str">
        <f t="shared" si="1"/>
        <v/>
      </c>
      <c r="AH27" s="36">
        <f t="shared" si="2"/>
        <v>0.95914198161389164</v>
      </c>
    </row>
    <row r="28" spans="1:34" ht="1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29">
        <f t="shared" si="3"/>
        <v>15</v>
      </c>
      <c r="Q28" s="30" t="s">
        <v>106</v>
      </c>
      <c r="R28" s="31">
        <v>45679</v>
      </c>
      <c r="S28" s="68"/>
      <c r="T28" s="32">
        <v>29.57</v>
      </c>
      <c r="U28" s="38">
        <v>24.536000000000001</v>
      </c>
      <c r="V28" s="74"/>
      <c r="W28" s="34">
        <f t="shared" si="4"/>
        <v>24.536000000000001</v>
      </c>
      <c r="X28" s="34">
        <f t="shared" si="0"/>
        <v>2.1172266813295417</v>
      </c>
      <c r="Y28" s="35">
        <f t="shared" si="5"/>
        <v>24.536000000000001</v>
      </c>
      <c r="Z28" s="36">
        <f t="shared" si="6"/>
        <v>0.82975989178221177</v>
      </c>
      <c r="AA28" s="6"/>
      <c r="AB28" s="37">
        <v>0.97899999999999998</v>
      </c>
      <c r="AC28" s="38">
        <v>0.877</v>
      </c>
      <c r="AD28" s="38"/>
      <c r="AE28" s="34">
        <f t="shared" si="7"/>
        <v>0.877</v>
      </c>
      <c r="AF28" s="34">
        <f t="shared" si="8"/>
        <v>0.57878152569305186</v>
      </c>
      <c r="AG28" s="35" t="str">
        <f t="shared" si="1"/>
        <v/>
      </c>
      <c r="AH28" s="36">
        <f t="shared" si="2"/>
        <v>0.89581205311542389</v>
      </c>
    </row>
    <row r="29" spans="1:34" ht="1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 t="s">
        <v>107</v>
      </c>
      <c r="O29" s="8"/>
      <c r="P29" s="29">
        <f t="shared" si="3"/>
        <v>16</v>
      </c>
      <c r="Q29" s="30" t="s">
        <v>106</v>
      </c>
      <c r="R29" s="31">
        <v>45681</v>
      </c>
      <c r="S29" s="68"/>
      <c r="T29" s="32">
        <v>29.57</v>
      </c>
      <c r="U29" s="38">
        <v>28.710999999999999</v>
      </c>
      <c r="V29" s="74"/>
      <c r="W29" s="34">
        <f t="shared" si="4"/>
        <v>28.710999999999999</v>
      </c>
      <c r="X29" s="34">
        <f t="shared" si="0"/>
        <v>0.75702422559768889</v>
      </c>
      <c r="Y29" s="35" t="str">
        <f t="shared" si="5"/>
        <v/>
      </c>
      <c r="Z29" s="36">
        <f t="shared" si="6"/>
        <v>0.97095028745350009</v>
      </c>
      <c r="AA29" s="6"/>
      <c r="AB29" s="37">
        <v>0.97899999999999998</v>
      </c>
      <c r="AC29" s="38">
        <v>0.90100000000000002</v>
      </c>
      <c r="AD29" s="38"/>
      <c r="AE29" s="34">
        <f t="shared" si="7"/>
        <v>0.90100000000000002</v>
      </c>
      <c r="AF29" s="34">
        <f t="shared" si="8"/>
        <v>0.35560269630680136</v>
      </c>
      <c r="AG29" s="35" t="str">
        <f t="shared" si="1"/>
        <v/>
      </c>
      <c r="AH29" s="36">
        <f t="shared" si="2"/>
        <v>0.92032686414708886</v>
      </c>
    </row>
    <row r="30" spans="1:34" ht="1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29">
        <f t="shared" si="3"/>
        <v>17</v>
      </c>
      <c r="Q30" s="30" t="s">
        <v>106</v>
      </c>
      <c r="R30" s="31">
        <v>45681</v>
      </c>
      <c r="S30" s="68"/>
      <c r="T30" s="32">
        <v>29.57</v>
      </c>
      <c r="U30" s="38">
        <v>33.86</v>
      </c>
      <c r="V30" s="74"/>
      <c r="W30" s="34">
        <f t="shared" si="4"/>
        <v>33.86</v>
      </c>
      <c r="X30" s="34">
        <f t="shared" si="0"/>
        <v>0.92050450363903347</v>
      </c>
      <c r="Y30" s="35" t="str">
        <f t="shared" si="5"/>
        <v/>
      </c>
      <c r="Z30" s="36">
        <f t="shared" si="6"/>
        <v>1.145079472438282</v>
      </c>
      <c r="AA30" s="6"/>
      <c r="AB30" s="37">
        <v>0.97899999999999998</v>
      </c>
      <c r="AC30" s="38">
        <v>1.0289999999999999</v>
      </c>
      <c r="AD30" s="38"/>
      <c r="AE30" s="34">
        <f t="shared" si="7"/>
        <v>1.0289999999999999</v>
      </c>
      <c r="AF30" s="34">
        <f t="shared" si="8"/>
        <v>0.83468439375319914</v>
      </c>
      <c r="AG30" s="35" t="str">
        <f t="shared" si="1"/>
        <v/>
      </c>
      <c r="AH30" s="36">
        <f t="shared" si="2"/>
        <v>1.0510725229826352</v>
      </c>
    </row>
    <row r="31" spans="1:34" ht="1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29">
        <f t="shared" si="3"/>
        <v>18</v>
      </c>
      <c r="Q31" s="30" t="s">
        <v>106</v>
      </c>
      <c r="R31" s="31">
        <v>45681</v>
      </c>
      <c r="S31" s="68"/>
      <c r="T31" s="32">
        <v>29.57</v>
      </c>
      <c r="U31" s="38">
        <v>35.033000000000001</v>
      </c>
      <c r="V31" s="74"/>
      <c r="W31" s="34">
        <f t="shared" si="4"/>
        <v>35.033000000000001</v>
      </c>
      <c r="X31" s="34">
        <f t="shared" si="0"/>
        <v>1.3026643792254926</v>
      </c>
      <c r="Y31" s="35" t="str">
        <f t="shared" si="5"/>
        <v/>
      </c>
      <c r="Z31" s="36">
        <f t="shared" si="6"/>
        <v>1.1847480554616165</v>
      </c>
      <c r="AA31" s="6"/>
      <c r="AB31" s="37">
        <v>0.97899999999999998</v>
      </c>
      <c r="AC31" s="38">
        <v>1.1379999999999999</v>
      </c>
      <c r="AD31" s="38"/>
      <c r="AE31" s="34">
        <f t="shared" si="7"/>
        <v>1.1379999999999999</v>
      </c>
      <c r="AF31" s="34">
        <f t="shared" si="8"/>
        <v>1.8482882438824191</v>
      </c>
      <c r="AG31" s="35">
        <f t="shared" si="1"/>
        <v>1.1379999999999999</v>
      </c>
      <c r="AH31" s="36">
        <f t="shared" si="2"/>
        <v>1.1624106230847804</v>
      </c>
    </row>
    <row r="32" spans="1:34" ht="1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29">
        <f t="shared" si="3"/>
        <v>19</v>
      </c>
      <c r="Q32" s="30" t="s">
        <v>106</v>
      </c>
      <c r="R32" s="31">
        <v>45681</v>
      </c>
      <c r="S32" s="68"/>
      <c r="T32" s="32">
        <v>29.57</v>
      </c>
      <c r="U32" s="38">
        <v>31.600999999999999</v>
      </c>
      <c r="V32" s="74"/>
      <c r="W32" s="34">
        <f t="shared" si="4"/>
        <v>31.600999999999999</v>
      </c>
      <c r="X32" s="34">
        <f t="shared" si="0"/>
        <v>0.18452909106460041</v>
      </c>
      <c r="Y32" s="35" t="str">
        <f t="shared" si="5"/>
        <v/>
      </c>
      <c r="Z32" s="36">
        <f t="shared" si="6"/>
        <v>1.0686844775109909</v>
      </c>
      <c r="AA32" s="6"/>
      <c r="AB32" s="37">
        <v>0.97899999999999998</v>
      </c>
      <c r="AC32" s="38">
        <v>1.0369999999999999</v>
      </c>
      <c r="AD32" s="38"/>
      <c r="AE32" s="34">
        <f t="shared" si="7"/>
        <v>1.0369999999999999</v>
      </c>
      <c r="AF32" s="34">
        <f t="shared" si="8"/>
        <v>0.90907733688194936</v>
      </c>
      <c r="AG32" s="35" t="str">
        <f t="shared" si="1"/>
        <v/>
      </c>
      <c r="AH32" s="36">
        <f t="shared" si="2"/>
        <v>1.0592441266598569</v>
      </c>
    </row>
    <row r="33" spans="1:34" ht="1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29">
        <f t="shared" si="3"/>
        <v>20</v>
      </c>
      <c r="Q33" s="30" t="s">
        <v>106</v>
      </c>
      <c r="R33" s="31">
        <v>45681</v>
      </c>
      <c r="S33" s="68"/>
      <c r="T33" s="32">
        <v>29.57</v>
      </c>
      <c r="U33" s="38">
        <v>26.552</v>
      </c>
      <c r="V33" s="74"/>
      <c r="W33" s="34">
        <f t="shared" si="4"/>
        <v>26.552</v>
      </c>
      <c r="X33" s="34">
        <f t="shared" si="0"/>
        <v>1.4604199386336338</v>
      </c>
      <c r="Y33" s="35" t="str">
        <f t="shared" si="5"/>
        <v/>
      </c>
      <c r="Z33" s="36">
        <f t="shared" si="6"/>
        <v>0.89793709841055125</v>
      </c>
      <c r="AA33" s="6"/>
      <c r="AB33" s="37">
        <v>0.97899999999999998</v>
      </c>
      <c r="AC33" s="38">
        <v>0.94</v>
      </c>
      <c r="AD33" s="38"/>
      <c r="AE33" s="34">
        <f t="shared" si="7"/>
        <v>0.94</v>
      </c>
      <c r="AF33" s="34">
        <f t="shared" si="8"/>
        <v>7.0629014458546552E-3</v>
      </c>
      <c r="AG33" s="35" t="str">
        <f t="shared" si="1"/>
        <v/>
      </c>
      <c r="AH33" s="36">
        <f t="shared" si="2"/>
        <v>0.96016343207354438</v>
      </c>
    </row>
    <row r="34" spans="1:34" ht="1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29">
        <f t="shared" si="3"/>
        <v>21</v>
      </c>
      <c r="Q34" s="30" t="s">
        <v>108</v>
      </c>
      <c r="R34" s="31">
        <v>45743</v>
      </c>
      <c r="S34" s="68"/>
      <c r="T34" s="39">
        <v>27.85</v>
      </c>
      <c r="U34" s="38">
        <v>31.904</v>
      </c>
      <c r="V34" s="74"/>
      <c r="W34" s="34">
        <f t="shared" si="4"/>
        <v>31.904</v>
      </c>
      <c r="X34" s="34">
        <f t="shared" si="0"/>
        <v>0.28324558066621786</v>
      </c>
      <c r="Y34" s="35" t="str">
        <f t="shared" si="5"/>
        <v/>
      </c>
      <c r="Z34" s="36">
        <f t="shared" si="6"/>
        <v>1.1455655296229801</v>
      </c>
      <c r="AA34" s="6"/>
      <c r="AB34" s="37">
        <v>0.91800000000000004</v>
      </c>
      <c r="AC34" s="38">
        <v>1.0369999999999999</v>
      </c>
      <c r="AD34" s="38"/>
      <c r="AE34" s="34">
        <f t="shared" si="7"/>
        <v>1.0369999999999999</v>
      </c>
      <c r="AF34" s="34">
        <f t="shared" si="8"/>
        <v>0.90907733688194936</v>
      </c>
      <c r="AG34" s="35" t="str">
        <f t="shared" si="1"/>
        <v/>
      </c>
      <c r="AH34" s="36">
        <f t="shared" si="2"/>
        <v>1.1296296296296295</v>
      </c>
    </row>
    <row r="35" spans="1:34" ht="1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29">
        <f t="shared" si="3"/>
        <v>22</v>
      </c>
      <c r="Q35" s="30" t="s">
        <v>108</v>
      </c>
      <c r="R35" s="31">
        <v>45743</v>
      </c>
      <c r="S35" s="68"/>
      <c r="T35" s="39">
        <v>27.85</v>
      </c>
      <c r="U35" s="38">
        <v>27.728000000000002</v>
      </c>
      <c r="V35" s="74"/>
      <c r="W35" s="34">
        <f t="shared" si="4"/>
        <v>27.728000000000002</v>
      </c>
      <c r="X35" s="34">
        <f t="shared" si="0"/>
        <v>1.0772826720610202</v>
      </c>
      <c r="Y35" s="35" t="str">
        <f t="shared" si="5"/>
        <v/>
      </c>
      <c r="Z35" s="36">
        <f t="shared" si="6"/>
        <v>0.99561938958707363</v>
      </c>
      <c r="AA35" s="6"/>
      <c r="AB35" s="37">
        <v>0.91800000000000004</v>
      </c>
      <c r="AC35" s="38">
        <v>0.82799999999999996</v>
      </c>
      <c r="AD35" s="38"/>
      <c r="AE35" s="34">
        <f t="shared" si="7"/>
        <v>0.82799999999999996</v>
      </c>
      <c r="AF35" s="34">
        <f t="shared" si="8"/>
        <v>1.0344383023566466</v>
      </c>
      <c r="AG35" s="35" t="str">
        <f t="shared" si="1"/>
        <v/>
      </c>
      <c r="AH35" s="36">
        <f t="shared" si="2"/>
        <v>0.90196078431372539</v>
      </c>
    </row>
    <row r="36" spans="1:34" ht="1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29">
        <f t="shared" si="3"/>
        <v>23</v>
      </c>
      <c r="Q36" s="30" t="s">
        <v>108</v>
      </c>
      <c r="R36" s="31">
        <v>45772</v>
      </c>
      <c r="S36" s="68"/>
      <c r="T36" s="39">
        <v>27.85</v>
      </c>
      <c r="U36" s="38">
        <v>30.637</v>
      </c>
      <c r="V36" s="74"/>
      <c r="W36" s="34">
        <f t="shared" si="4"/>
        <v>30.637</v>
      </c>
      <c r="X36" s="34">
        <f t="shared" si="0"/>
        <v>0.12953921248641875</v>
      </c>
      <c r="Y36" s="35" t="str">
        <f t="shared" si="5"/>
        <v/>
      </c>
      <c r="Z36" s="36">
        <f t="shared" si="6"/>
        <v>1.1000718132854577</v>
      </c>
      <c r="AA36" s="6"/>
      <c r="AB36" s="37">
        <v>0.91800000000000004</v>
      </c>
      <c r="AC36" s="38">
        <v>1.0469999999999999</v>
      </c>
      <c r="AD36" s="38"/>
      <c r="AE36" s="34">
        <f t="shared" si="7"/>
        <v>1.0469999999999999</v>
      </c>
      <c r="AF36" s="34">
        <f t="shared" si="8"/>
        <v>1.002068515792887</v>
      </c>
      <c r="AG36" s="35" t="str">
        <f t="shared" si="1"/>
        <v/>
      </c>
      <c r="AH36" s="36">
        <f t="shared" si="2"/>
        <v>1.1405228758169934</v>
      </c>
    </row>
    <row r="37" spans="1:34" ht="1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29">
        <f t="shared" si="3"/>
        <v>24</v>
      </c>
      <c r="Q37" s="30" t="s">
        <v>108</v>
      </c>
      <c r="R37" s="31">
        <v>45772</v>
      </c>
      <c r="S37" s="68"/>
      <c r="T37" s="39">
        <v>27.85</v>
      </c>
      <c r="U37" s="38">
        <v>26.928999999999998</v>
      </c>
      <c r="V37" s="74"/>
      <c r="W37" s="34">
        <f t="shared" si="4"/>
        <v>26.928999999999998</v>
      </c>
      <c r="X37" s="34">
        <f t="shared" si="0"/>
        <v>1.3375944713735364</v>
      </c>
      <c r="Y37" s="35" t="str">
        <f t="shared" si="5"/>
        <v/>
      </c>
      <c r="Z37" s="36">
        <f t="shared" si="6"/>
        <v>0.96692998204667857</v>
      </c>
      <c r="AA37" s="6"/>
      <c r="AB37" s="37">
        <v>0.91800000000000004</v>
      </c>
      <c r="AC37" s="38">
        <v>1.0109999999999999</v>
      </c>
      <c r="AD37" s="38"/>
      <c r="AE37" s="34">
        <f t="shared" si="7"/>
        <v>1.0109999999999999</v>
      </c>
      <c r="AF37" s="34">
        <f t="shared" si="8"/>
        <v>0.66730027171351136</v>
      </c>
      <c r="AG37" s="35" t="str">
        <f t="shared" si="1"/>
        <v/>
      </c>
      <c r="AH37" s="36">
        <f t="shared" si="2"/>
        <v>1.1013071895424835</v>
      </c>
    </row>
    <row r="38" spans="1:34" ht="1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29">
        <f t="shared" si="3"/>
        <v>25</v>
      </c>
      <c r="Q38" s="30" t="s">
        <v>108</v>
      </c>
      <c r="R38" s="31">
        <v>45785</v>
      </c>
      <c r="S38" s="68"/>
      <c r="T38" s="39">
        <v>27.85</v>
      </c>
      <c r="U38" s="38">
        <v>32.633600000000001</v>
      </c>
      <c r="V38" s="74"/>
      <c r="W38" s="34">
        <f t="shared" si="4"/>
        <v>32.633600000000001</v>
      </c>
      <c r="X38" s="34">
        <f t="shared" si="0"/>
        <v>0.52094706849902317</v>
      </c>
      <c r="Y38" s="35" t="str">
        <f t="shared" si="5"/>
        <v/>
      </c>
      <c r="Z38" s="36">
        <f t="shared" si="6"/>
        <v>1.1717630161579893</v>
      </c>
      <c r="AA38" s="6"/>
      <c r="AB38" s="37">
        <v>0.91800000000000004</v>
      </c>
      <c r="AC38" s="38">
        <v>0.92459999999999998</v>
      </c>
      <c r="AD38" s="38"/>
      <c r="AE38" s="34">
        <f t="shared" si="7"/>
        <v>0.92459999999999998</v>
      </c>
      <c r="AF38" s="34">
        <f t="shared" si="8"/>
        <v>0.13614351407698899</v>
      </c>
      <c r="AG38" s="35" t="str">
        <f t="shared" si="1"/>
        <v/>
      </c>
      <c r="AH38" s="36">
        <f t="shared" si="2"/>
        <v>1.0071895424836601</v>
      </c>
    </row>
    <row r="39" spans="1:34" ht="1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29">
        <f t="shared" si="3"/>
        <v>26</v>
      </c>
      <c r="Q39" s="30" t="s">
        <v>108</v>
      </c>
      <c r="R39" s="31">
        <v>45785</v>
      </c>
      <c r="S39" s="68"/>
      <c r="T39" s="39">
        <v>27.85</v>
      </c>
      <c r="U39" s="38">
        <v>32.855899999999998</v>
      </c>
      <c r="V39" s="74"/>
      <c r="W39" s="34">
        <f t="shared" si="4"/>
        <v>32.855899999999998</v>
      </c>
      <c r="X39" s="34">
        <f t="shared" si="0"/>
        <v>0.59337174057307995</v>
      </c>
      <c r="Y39" s="35" t="str">
        <f t="shared" si="5"/>
        <v/>
      </c>
      <c r="Z39" s="36">
        <f t="shared" si="6"/>
        <v>1.1797450628366246</v>
      </c>
      <c r="AA39" s="6"/>
      <c r="AB39" s="37">
        <v>0.91800000000000004</v>
      </c>
      <c r="AC39" s="38">
        <v>0.81950000000000001</v>
      </c>
      <c r="AD39" s="38"/>
      <c r="AE39" s="34">
        <f t="shared" si="7"/>
        <v>0.81950000000000001</v>
      </c>
      <c r="AF39" s="34">
        <f t="shared" si="8"/>
        <v>1.1134808044309432</v>
      </c>
      <c r="AG39" s="35" t="str">
        <f t="shared" si="1"/>
        <v/>
      </c>
      <c r="AH39" s="36">
        <f t="shared" si="2"/>
        <v>0.89270152505446621</v>
      </c>
    </row>
    <row r="40" spans="1:34" ht="1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29">
        <f t="shared" si="3"/>
        <v>27</v>
      </c>
      <c r="Q40" s="30" t="s">
        <v>109</v>
      </c>
      <c r="R40" s="31">
        <v>45793</v>
      </c>
      <c r="S40" s="68"/>
      <c r="T40" s="39">
        <v>27.85</v>
      </c>
      <c r="U40" s="38">
        <v>28.068999999999999</v>
      </c>
      <c r="V40" s="74"/>
      <c r="W40" s="34">
        <f t="shared" si="4"/>
        <v>28.068999999999999</v>
      </c>
      <c r="X40" s="34">
        <f t="shared" si="0"/>
        <v>0.9661858966347785</v>
      </c>
      <c r="Y40" s="35" t="str">
        <f t="shared" si="5"/>
        <v/>
      </c>
      <c r="Z40" s="36">
        <f t="shared" si="6"/>
        <v>1.00786355475763</v>
      </c>
      <c r="AA40" s="6"/>
      <c r="AB40" s="37">
        <v>0.91800000000000004</v>
      </c>
      <c r="AC40" s="38">
        <v>0.80400000000000005</v>
      </c>
      <c r="AD40" s="38"/>
      <c r="AE40" s="34">
        <f t="shared" si="7"/>
        <v>0.80400000000000005</v>
      </c>
      <c r="AF40" s="34">
        <f t="shared" si="8"/>
        <v>1.2576171317428961</v>
      </c>
      <c r="AG40" s="35" t="str">
        <f t="shared" si="1"/>
        <v/>
      </c>
      <c r="AH40" s="36">
        <f t="shared" si="2"/>
        <v>0.87581699346405228</v>
      </c>
    </row>
    <row r="41" spans="1:34" ht="1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29">
        <f t="shared" si="3"/>
        <v>28</v>
      </c>
      <c r="Q41" s="30" t="s">
        <v>109</v>
      </c>
      <c r="R41" s="31">
        <v>45793</v>
      </c>
      <c r="S41" s="68"/>
      <c r="T41" s="39">
        <v>27.85</v>
      </c>
      <c r="U41" s="38">
        <v>30.091000000000001</v>
      </c>
      <c r="V41" s="74"/>
      <c r="W41" s="34">
        <f t="shared" si="4"/>
        <v>30.091000000000001</v>
      </c>
      <c r="X41" s="34">
        <f t="shared" si="0"/>
        <v>0.30742437196656036</v>
      </c>
      <c r="Y41" s="35" t="str">
        <f t="shared" si="5"/>
        <v/>
      </c>
      <c r="Z41" s="36">
        <f t="shared" si="6"/>
        <v>1.0804667863554758</v>
      </c>
      <c r="AA41" s="6"/>
      <c r="AB41" s="37">
        <v>0.91800000000000004</v>
      </c>
      <c r="AC41" s="38">
        <v>0.86599999999999999</v>
      </c>
      <c r="AD41" s="38"/>
      <c r="AE41" s="34">
        <f t="shared" si="7"/>
        <v>0.86599999999999999</v>
      </c>
      <c r="AF41" s="34">
        <f t="shared" si="8"/>
        <v>0.68107182249508336</v>
      </c>
      <c r="AG41" s="35" t="str">
        <f t="shared" si="1"/>
        <v/>
      </c>
      <c r="AH41" s="36">
        <f t="shared" si="2"/>
        <v>0.94335511982570797</v>
      </c>
    </row>
    <row r="42" spans="1:34" ht="1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29">
        <f t="shared" si="3"/>
        <v>29</v>
      </c>
      <c r="Q42" s="30" t="s">
        <v>108</v>
      </c>
      <c r="R42" s="31">
        <v>45804</v>
      </c>
      <c r="S42" s="68"/>
      <c r="T42" s="39">
        <v>27.85</v>
      </c>
      <c r="U42" s="38">
        <v>26.876999999999999</v>
      </c>
      <c r="V42" s="74"/>
      <c r="W42" s="34">
        <f t="shared" si="4"/>
        <v>26.876999999999999</v>
      </c>
      <c r="X42" s="34">
        <f t="shared" si="0"/>
        <v>1.3545359151335497</v>
      </c>
      <c r="Y42" s="35" t="str">
        <f t="shared" si="5"/>
        <v/>
      </c>
      <c r="Z42" s="36">
        <f t="shared" si="6"/>
        <v>0.96506283662477554</v>
      </c>
      <c r="AA42" s="6"/>
      <c r="AB42" s="37">
        <v>0.91800000000000004</v>
      </c>
      <c r="AC42" s="38">
        <v>0.95599999999999996</v>
      </c>
      <c r="AD42" s="38"/>
      <c r="AE42" s="34">
        <f t="shared" si="7"/>
        <v>0.95599999999999996</v>
      </c>
      <c r="AF42" s="34">
        <f t="shared" si="8"/>
        <v>0.15584878770335497</v>
      </c>
      <c r="AG42" s="35" t="str">
        <f t="shared" si="1"/>
        <v/>
      </c>
      <c r="AH42" s="36">
        <f t="shared" si="2"/>
        <v>1.0413943355119826</v>
      </c>
    </row>
    <row r="43" spans="1:34" ht="1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29">
        <f t="shared" si="3"/>
        <v>30</v>
      </c>
      <c r="Q43" s="30" t="s">
        <v>108</v>
      </c>
      <c r="R43" s="31">
        <v>45804</v>
      </c>
      <c r="S43" s="68"/>
      <c r="T43" s="39">
        <v>27.85</v>
      </c>
      <c r="U43" s="38">
        <v>27.527000000000001</v>
      </c>
      <c r="V43" s="74"/>
      <c r="W43" s="34">
        <f t="shared" si="4"/>
        <v>27.527000000000001</v>
      </c>
      <c r="X43" s="34">
        <f t="shared" si="0"/>
        <v>1.1427678681333802</v>
      </c>
      <c r="Y43" s="35" t="str">
        <f t="shared" si="5"/>
        <v/>
      </c>
      <c r="Z43" s="36">
        <f t="shared" si="6"/>
        <v>0.98840215439856371</v>
      </c>
      <c r="AA43" s="6"/>
      <c r="AB43" s="37">
        <v>0.91800000000000004</v>
      </c>
      <c r="AC43" s="38">
        <v>0.80500000000000005</v>
      </c>
      <c r="AD43" s="38"/>
      <c r="AE43" s="34">
        <f t="shared" si="7"/>
        <v>0.80500000000000005</v>
      </c>
      <c r="AF43" s="34">
        <f t="shared" si="8"/>
        <v>1.2483180138518022</v>
      </c>
      <c r="AG43" s="35" t="str">
        <f t="shared" si="1"/>
        <v/>
      </c>
      <c r="AH43" s="36">
        <f t="shared" si="2"/>
        <v>0.87690631808278874</v>
      </c>
    </row>
    <row r="44" spans="1:34" ht="1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29">
        <f t="shared" si="3"/>
        <v>31</v>
      </c>
      <c r="Q44" s="30" t="s">
        <v>108</v>
      </c>
      <c r="R44" s="31">
        <v>45825</v>
      </c>
      <c r="S44" s="68"/>
      <c r="T44" s="39">
        <v>27.85</v>
      </c>
      <c r="U44" s="38">
        <v>28.242999999999999</v>
      </c>
      <c r="V44" s="74"/>
      <c r="W44" s="34">
        <f t="shared" si="4"/>
        <v>28.242999999999999</v>
      </c>
      <c r="X44" s="34">
        <f t="shared" si="0"/>
        <v>0.90949721943781048</v>
      </c>
      <c r="Y44" s="35" t="str">
        <f t="shared" si="5"/>
        <v/>
      </c>
      <c r="Z44" s="36">
        <f t="shared" si="6"/>
        <v>1.0141113105924595</v>
      </c>
      <c r="AA44" s="6"/>
      <c r="AB44" s="37">
        <v>0.91800000000000004</v>
      </c>
      <c r="AC44" s="38">
        <v>0.79900000000000004</v>
      </c>
      <c r="AD44" s="38"/>
      <c r="AE44" s="34">
        <f t="shared" si="7"/>
        <v>0.79900000000000004</v>
      </c>
      <c r="AF44" s="34">
        <f t="shared" si="8"/>
        <v>1.304112721198365</v>
      </c>
      <c r="AG44" s="35" t="str">
        <f t="shared" si="1"/>
        <v/>
      </c>
      <c r="AH44" s="36">
        <f t="shared" si="2"/>
        <v>0.87037037037037035</v>
      </c>
    </row>
    <row r="45" spans="1:34" ht="1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29">
        <f t="shared" si="3"/>
        <v>32</v>
      </c>
      <c r="Q45" s="30" t="s">
        <v>108</v>
      </c>
      <c r="R45" s="31">
        <v>45825</v>
      </c>
      <c r="S45" s="68"/>
      <c r="T45" s="39">
        <v>27.85</v>
      </c>
      <c r="U45" s="38">
        <v>26.457999999999998</v>
      </c>
      <c r="V45" s="74"/>
      <c r="W45" s="34">
        <f t="shared" si="4"/>
        <v>26.457999999999998</v>
      </c>
      <c r="X45" s="34">
        <f t="shared" si="0"/>
        <v>1.4910448561998126</v>
      </c>
      <c r="Y45" s="35" t="str">
        <f t="shared" si="5"/>
        <v/>
      </c>
      <c r="Z45" s="36">
        <f t="shared" si="6"/>
        <v>0.95001795332136429</v>
      </c>
      <c r="AA45" s="6"/>
      <c r="AB45" s="37">
        <v>0.91800000000000004</v>
      </c>
      <c r="AC45" s="38">
        <v>0.84499999999999997</v>
      </c>
      <c r="AD45" s="38"/>
      <c r="AE45" s="34">
        <f t="shared" si="7"/>
        <v>0.84499999999999997</v>
      </c>
      <c r="AF45" s="34">
        <f t="shared" si="8"/>
        <v>0.87635329820805252</v>
      </c>
      <c r="AG45" s="35" t="str">
        <f t="shared" si="1"/>
        <v/>
      </c>
      <c r="AH45" s="36">
        <f t="shared" si="2"/>
        <v>0.920479302832244</v>
      </c>
    </row>
    <row r="46" spans="1:34" ht="1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29">
        <f t="shared" si="3"/>
        <v>33</v>
      </c>
      <c r="Q46" s="30" t="s">
        <v>108</v>
      </c>
      <c r="R46" s="31">
        <v>45825</v>
      </c>
      <c r="S46" s="68"/>
      <c r="T46" s="39">
        <v>27.85</v>
      </c>
      <c r="U46" s="38">
        <v>28.312999999999999</v>
      </c>
      <c r="V46" s="74"/>
      <c r="W46" s="34">
        <f t="shared" si="4"/>
        <v>28.312999999999999</v>
      </c>
      <c r="X46" s="34">
        <f t="shared" si="0"/>
        <v>0.88669142976086912</v>
      </c>
      <c r="Y46" s="35" t="str">
        <f t="shared" si="5"/>
        <v/>
      </c>
      <c r="Z46" s="36">
        <f t="shared" si="6"/>
        <v>1.0166247755834827</v>
      </c>
      <c r="AA46" s="6"/>
      <c r="AB46" s="37">
        <v>0.91800000000000004</v>
      </c>
      <c r="AC46" s="38">
        <v>0.85899999999999999</v>
      </c>
      <c r="AD46" s="38"/>
      <c r="AE46" s="34">
        <f t="shared" si="7"/>
        <v>0.85899999999999999</v>
      </c>
      <c r="AF46" s="34">
        <f t="shared" si="8"/>
        <v>0.74616564773273975</v>
      </c>
      <c r="AG46" s="35" t="str">
        <f t="shared" si="1"/>
        <v/>
      </c>
      <c r="AH46" s="36">
        <f t="shared" si="2"/>
        <v>0.93572984749455335</v>
      </c>
    </row>
    <row r="47" spans="1:34" ht="1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29">
        <f t="shared" si="3"/>
        <v>34</v>
      </c>
      <c r="Q47" s="30" t="s">
        <v>108</v>
      </c>
      <c r="R47" s="31">
        <v>45825</v>
      </c>
      <c r="S47" s="68"/>
      <c r="T47" s="39">
        <v>27.85</v>
      </c>
      <c r="U47" s="38">
        <v>30.216000000000001</v>
      </c>
      <c r="V47" s="74"/>
      <c r="W47" s="34">
        <f t="shared" si="4"/>
        <v>30.216000000000001</v>
      </c>
      <c r="X47" s="34">
        <f t="shared" si="0"/>
        <v>0.26669974754345099</v>
      </c>
      <c r="Y47" s="35" t="str">
        <f t="shared" si="5"/>
        <v/>
      </c>
      <c r="Z47" s="36">
        <f t="shared" si="6"/>
        <v>1.084955116696589</v>
      </c>
      <c r="AA47" s="6"/>
      <c r="AB47" s="37">
        <v>0.91800000000000004</v>
      </c>
      <c r="AC47" s="38">
        <v>0.88</v>
      </c>
      <c r="AD47" s="38"/>
      <c r="AE47" s="34">
        <f t="shared" si="7"/>
        <v>0.88</v>
      </c>
      <c r="AF47" s="34">
        <f t="shared" si="8"/>
        <v>0.55088417201977058</v>
      </c>
      <c r="AG47" s="35" t="str">
        <f t="shared" si="1"/>
        <v/>
      </c>
      <c r="AH47" s="36">
        <f t="shared" si="2"/>
        <v>0.95860566448801743</v>
      </c>
    </row>
    <row r="48" spans="1:34" ht="1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29">
        <f t="shared" si="3"/>
        <v>35</v>
      </c>
      <c r="Q48" s="30" t="s">
        <v>106</v>
      </c>
      <c r="R48" s="31">
        <v>45860</v>
      </c>
      <c r="S48" s="68"/>
      <c r="T48" s="39">
        <v>27.85</v>
      </c>
      <c r="U48" s="38">
        <v>31.640999999999998</v>
      </c>
      <c r="V48" s="74"/>
      <c r="W48" s="34">
        <f t="shared" si="4"/>
        <v>31.640999999999998</v>
      </c>
      <c r="X48" s="34">
        <f t="shared" si="0"/>
        <v>0.19756097087999513</v>
      </c>
      <c r="Y48" s="35" t="str">
        <f t="shared" si="5"/>
        <v/>
      </c>
      <c r="Z48" s="36">
        <f t="shared" si="6"/>
        <v>1.1361220825852782</v>
      </c>
      <c r="AA48" s="6"/>
      <c r="AB48" s="37">
        <v>0.91800000000000004</v>
      </c>
      <c r="AC48" s="38">
        <v>1.008</v>
      </c>
      <c r="AD48" s="38"/>
      <c r="AE48" s="34">
        <f t="shared" si="7"/>
        <v>1.008</v>
      </c>
      <c r="AF48" s="34">
        <f t="shared" si="8"/>
        <v>0.63940291804023108</v>
      </c>
      <c r="AG48" s="35" t="str">
        <f t="shared" si="1"/>
        <v/>
      </c>
      <c r="AH48" s="36">
        <f t="shared" si="2"/>
        <v>1.0980392156862744</v>
      </c>
    </row>
    <row r="49" spans="1:34" ht="1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29">
        <f t="shared" si="3"/>
        <v>36</v>
      </c>
      <c r="Q49" s="30" t="s">
        <v>106</v>
      </c>
      <c r="R49" s="31">
        <v>45860</v>
      </c>
      <c r="S49" s="68"/>
      <c r="T49" s="39">
        <v>27.85</v>
      </c>
      <c r="U49" s="38">
        <v>28.85</v>
      </c>
      <c r="V49" s="74"/>
      <c r="W49" s="34">
        <f t="shared" si="4"/>
        <v>28.85</v>
      </c>
      <c r="X49" s="34">
        <f t="shared" si="0"/>
        <v>0.71173844323919033</v>
      </c>
      <c r="Y49" s="35" t="str">
        <f t="shared" si="5"/>
        <v/>
      </c>
      <c r="Z49" s="36">
        <f t="shared" si="6"/>
        <v>1.0359066427289048</v>
      </c>
      <c r="AA49" s="6"/>
      <c r="AB49" s="37">
        <v>0.91800000000000004</v>
      </c>
      <c r="AC49" s="38">
        <v>0.84699999999999998</v>
      </c>
      <c r="AD49" s="38"/>
      <c r="AE49" s="34">
        <f t="shared" si="7"/>
        <v>0.84699999999999998</v>
      </c>
      <c r="AF49" s="34">
        <f t="shared" si="8"/>
        <v>0.85775506242586497</v>
      </c>
      <c r="AG49" s="35" t="str">
        <f t="shared" si="1"/>
        <v/>
      </c>
      <c r="AH49" s="36">
        <f t="shared" si="2"/>
        <v>0.92265795206971668</v>
      </c>
    </row>
    <row r="50" spans="1:34" ht="1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29">
        <f t="shared" si="3"/>
        <v>37</v>
      </c>
      <c r="Q50" s="30" t="s">
        <v>106</v>
      </c>
      <c r="R50" s="31">
        <v>45912</v>
      </c>
      <c r="S50" s="68"/>
      <c r="T50" s="39">
        <v>27.85</v>
      </c>
      <c r="U50" s="38">
        <v>32.51</v>
      </c>
      <c r="V50" s="74"/>
      <c r="W50" s="34">
        <f t="shared" si="4"/>
        <v>32.51</v>
      </c>
      <c r="X50" s="34">
        <f t="shared" si="0"/>
        <v>0.48067855986945157</v>
      </c>
      <c r="Y50" s="35" t="str">
        <f t="shared" si="5"/>
        <v/>
      </c>
      <c r="Z50" s="36">
        <f t="shared" si="6"/>
        <v>1.1673249551166964</v>
      </c>
      <c r="AA50" s="6"/>
      <c r="AB50" s="37">
        <v>0.91800000000000004</v>
      </c>
      <c r="AC50" s="38">
        <v>0.753</v>
      </c>
      <c r="AD50" s="38"/>
      <c r="AE50" s="34">
        <f t="shared" si="7"/>
        <v>0.753</v>
      </c>
      <c r="AF50" s="34">
        <f t="shared" si="8"/>
        <v>1.7318721441886784</v>
      </c>
      <c r="AG50" s="35" t="str">
        <f t="shared" si="1"/>
        <v/>
      </c>
      <c r="AH50" s="36">
        <f t="shared" si="2"/>
        <v>0.8202614379084967</v>
      </c>
    </row>
    <row r="51" spans="1:34" ht="1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29">
        <f t="shared" si="3"/>
        <v>38</v>
      </c>
      <c r="Q51" s="30" t="s">
        <v>106</v>
      </c>
      <c r="R51" s="31">
        <v>46044</v>
      </c>
      <c r="S51" s="68"/>
      <c r="T51" s="39">
        <v>27.85</v>
      </c>
      <c r="U51" s="38">
        <v>30.951000000000001</v>
      </c>
      <c r="V51" s="74"/>
      <c r="W51" s="34">
        <f t="shared" si="4"/>
        <v>30.951000000000001</v>
      </c>
      <c r="X51" s="34">
        <f t="shared" si="0"/>
        <v>2.7238955935567955E-2</v>
      </c>
      <c r="Y51" s="35" t="str">
        <f t="shared" si="5"/>
        <v/>
      </c>
      <c r="Z51" s="36">
        <f t="shared" si="6"/>
        <v>1.1113464991023339</v>
      </c>
      <c r="AA51" s="6"/>
      <c r="AB51" s="37">
        <v>0.91800000000000004</v>
      </c>
      <c r="AC51" s="38">
        <v>0.85699999999999998</v>
      </c>
      <c r="AD51" s="38"/>
      <c r="AE51" s="34">
        <f t="shared" si="7"/>
        <v>0.85699999999999998</v>
      </c>
      <c r="AF51" s="34">
        <f t="shared" si="8"/>
        <v>0.7647638835149273</v>
      </c>
      <c r="AG51" s="35" t="str">
        <f t="shared" si="1"/>
        <v/>
      </c>
      <c r="AH51" s="36">
        <f t="shared" si="2"/>
        <v>0.93355119825708055</v>
      </c>
    </row>
    <row r="52" spans="1:34" ht="1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29">
        <f t="shared" si="3"/>
        <v>39</v>
      </c>
      <c r="Q52" s="30" t="s">
        <v>106</v>
      </c>
      <c r="R52" s="31">
        <v>46044</v>
      </c>
      <c r="S52" s="68"/>
      <c r="T52" s="39">
        <v>27.85</v>
      </c>
      <c r="U52" s="38">
        <v>34.552</v>
      </c>
      <c r="V52" s="74"/>
      <c r="W52" s="34">
        <f t="shared" si="4"/>
        <v>34.552</v>
      </c>
      <c r="X52" s="34">
        <f t="shared" si="0"/>
        <v>1.145956024445367</v>
      </c>
      <c r="Y52" s="35" t="str">
        <f t="shared" si="5"/>
        <v/>
      </c>
      <c r="Z52" s="36">
        <f t="shared" si="6"/>
        <v>1.2406463195691202</v>
      </c>
      <c r="AA52" s="6"/>
      <c r="AB52" s="37">
        <v>0.91800000000000004</v>
      </c>
      <c r="AC52" s="38">
        <v>0.83599999999999997</v>
      </c>
      <c r="AD52" s="38"/>
      <c r="AE52" s="34">
        <f t="shared" si="7"/>
        <v>0.83599999999999997</v>
      </c>
      <c r="AF52" s="34">
        <f t="shared" si="8"/>
        <v>0.96004535922789647</v>
      </c>
      <c r="AG52" s="35" t="str">
        <f t="shared" si="1"/>
        <v/>
      </c>
      <c r="AH52" s="36">
        <f t="shared" si="2"/>
        <v>0.91067538126361647</v>
      </c>
    </row>
    <row r="53" spans="1:34" ht="1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29">
        <f t="shared" si="3"/>
        <v>40</v>
      </c>
      <c r="Q53" s="30" t="s">
        <v>106</v>
      </c>
      <c r="R53" s="31">
        <v>46048</v>
      </c>
      <c r="S53" s="68"/>
      <c r="T53" s="39">
        <v>27.85</v>
      </c>
      <c r="U53" s="38">
        <v>28.492000000000001</v>
      </c>
      <c r="V53" s="74"/>
      <c r="W53" s="34">
        <f t="shared" si="4"/>
        <v>28.492000000000001</v>
      </c>
      <c r="X53" s="34">
        <f t="shared" si="0"/>
        <v>0.82837376758697578</v>
      </c>
      <c r="Y53" s="35" t="str">
        <f t="shared" si="5"/>
        <v/>
      </c>
      <c r="Z53" s="36">
        <f t="shared" si="6"/>
        <v>1.023052064631957</v>
      </c>
      <c r="AA53" s="6"/>
      <c r="AB53" s="37">
        <v>0.91800000000000004</v>
      </c>
      <c r="AC53" s="38">
        <v>0.93700000000000006</v>
      </c>
      <c r="AD53" s="38"/>
      <c r="AE53" s="34">
        <f t="shared" si="7"/>
        <v>0.93700000000000006</v>
      </c>
      <c r="AF53" s="34">
        <f t="shared" si="8"/>
        <v>2.0834452227425623E-2</v>
      </c>
      <c r="AG53" s="35" t="str">
        <f t="shared" si="1"/>
        <v/>
      </c>
      <c r="AH53" s="36">
        <f t="shared" si="2"/>
        <v>1.0206971677559913</v>
      </c>
    </row>
    <row r="54" spans="1:34" ht="1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29">
        <f t="shared" si="3"/>
        <v>41</v>
      </c>
      <c r="Q54" s="30" t="s">
        <v>106</v>
      </c>
      <c r="R54" s="31">
        <v>46048</v>
      </c>
      <c r="S54" s="68"/>
      <c r="T54" s="39">
        <v>27.85</v>
      </c>
      <c r="U54" s="38">
        <v>34.259</v>
      </c>
      <c r="V54" s="74"/>
      <c r="W54" s="34">
        <f t="shared" si="4"/>
        <v>34.259</v>
      </c>
      <c r="X54" s="34">
        <f t="shared" si="0"/>
        <v>1.0504975047975988</v>
      </c>
      <c r="Y54" s="35" t="str">
        <f t="shared" si="5"/>
        <v/>
      </c>
      <c r="Z54" s="36">
        <f t="shared" si="6"/>
        <v>1.2301256732495511</v>
      </c>
      <c r="AA54" s="6"/>
      <c r="AB54" s="37">
        <v>0.91800000000000004</v>
      </c>
      <c r="AC54" s="38">
        <v>0.96699999999999997</v>
      </c>
      <c r="AD54" s="38"/>
      <c r="AE54" s="34">
        <f t="shared" si="7"/>
        <v>0.96699999999999997</v>
      </c>
      <c r="AF54" s="34">
        <f t="shared" si="8"/>
        <v>0.25813908450538647</v>
      </c>
      <c r="AG54" s="35" t="str">
        <f t="shared" si="1"/>
        <v/>
      </c>
      <c r="AH54" s="36">
        <f t="shared" si="2"/>
        <v>1.0533769063180827</v>
      </c>
    </row>
    <row r="55" spans="1:34" ht="1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29">
        <f t="shared" si="3"/>
        <v>42</v>
      </c>
      <c r="Q55" s="30" t="s">
        <v>106</v>
      </c>
      <c r="R55" s="31">
        <v>46065</v>
      </c>
      <c r="S55" s="68"/>
      <c r="T55" s="40">
        <v>27.85</v>
      </c>
      <c r="U55" s="38">
        <v>33.109000000000002</v>
      </c>
      <c r="V55" s="74"/>
      <c r="W55" s="34">
        <f t="shared" si="4"/>
        <v>33.109000000000002</v>
      </c>
      <c r="X55" s="34">
        <f t="shared" si="0"/>
        <v>0.67583096010499299</v>
      </c>
      <c r="Y55" s="35" t="str">
        <f t="shared" si="5"/>
        <v/>
      </c>
      <c r="Z55" s="36">
        <f t="shared" si="6"/>
        <v>1.1888330341113107</v>
      </c>
      <c r="AA55" s="6"/>
      <c r="AB55" s="41">
        <v>0.91800000000000004</v>
      </c>
      <c r="AC55" s="38">
        <v>0.875</v>
      </c>
      <c r="AD55" s="38"/>
      <c r="AE55" s="34">
        <f t="shared" si="7"/>
        <v>0.875</v>
      </c>
      <c r="AF55" s="34">
        <f t="shared" si="8"/>
        <v>0.59737976147523941</v>
      </c>
      <c r="AG55" s="35" t="str">
        <f t="shared" si="1"/>
        <v/>
      </c>
      <c r="AH55" s="36">
        <f t="shared" si="2"/>
        <v>0.95315904139433549</v>
      </c>
    </row>
    <row r="56" spans="1:34" ht="1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29" t="str">
        <f t="shared" si="3"/>
        <v/>
      </c>
      <c r="Q56" s="30"/>
      <c r="R56" s="31"/>
      <c r="S56" s="68"/>
      <c r="T56" s="40"/>
      <c r="U56" s="38"/>
      <c r="V56" s="74"/>
      <c r="W56" s="34" t="str">
        <f t="shared" si="4"/>
        <v>FALSE</v>
      </c>
      <c r="X56" s="34" t="str">
        <f t="shared" si="0"/>
        <v>FALSE</v>
      </c>
      <c r="Y56" s="35">
        <f t="shared" si="5"/>
        <v>0</v>
      </c>
      <c r="Z56" s="36" t="str">
        <f t="shared" si="6"/>
        <v/>
      </c>
      <c r="AA56" s="6"/>
      <c r="AB56" s="41"/>
      <c r="AC56" s="38"/>
      <c r="AD56" s="38"/>
      <c r="AE56" s="34" t="str">
        <f t="shared" si="7"/>
        <v>FALSE</v>
      </c>
      <c r="AF56" s="34" t="str">
        <f t="shared" si="8"/>
        <v>FALSE</v>
      </c>
      <c r="AG56" s="35">
        <f t="shared" si="1"/>
        <v>0</v>
      </c>
      <c r="AH56" s="36" t="str">
        <f t="shared" si="2"/>
        <v/>
      </c>
    </row>
    <row r="57" spans="1:34" ht="14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29" t="str">
        <f t="shared" si="3"/>
        <v/>
      </c>
      <c r="Q57" s="30"/>
      <c r="R57" s="31"/>
      <c r="S57" s="68"/>
      <c r="T57" s="40"/>
      <c r="U57" s="38"/>
      <c r="V57" s="74"/>
      <c r="W57" s="34" t="str">
        <f t="shared" si="4"/>
        <v>FALSE</v>
      </c>
      <c r="X57" s="34" t="str">
        <f t="shared" si="0"/>
        <v>FALSE</v>
      </c>
      <c r="Y57" s="35">
        <f t="shared" si="5"/>
        <v>0</v>
      </c>
      <c r="Z57" s="36" t="str">
        <f t="shared" si="6"/>
        <v/>
      </c>
      <c r="AA57" s="42"/>
      <c r="AB57" s="41"/>
      <c r="AC57" s="38"/>
      <c r="AD57" s="38"/>
      <c r="AE57" s="34" t="str">
        <f t="shared" si="7"/>
        <v>FALSE</v>
      </c>
      <c r="AF57" s="34" t="str">
        <f t="shared" si="8"/>
        <v>FALSE</v>
      </c>
      <c r="AG57" s="35">
        <f t="shared" si="1"/>
        <v>0</v>
      </c>
      <c r="AH57" s="36" t="str">
        <f t="shared" si="2"/>
        <v/>
      </c>
    </row>
    <row r="58" spans="1:34" ht="1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29" t="str">
        <f t="shared" si="3"/>
        <v/>
      </c>
      <c r="Q58" s="30"/>
      <c r="R58" s="31"/>
      <c r="S58" s="68"/>
      <c r="T58" s="40"/>
      <c r="U58" s="38"/>
      <c r="V58" s="74"/>
      <c r="W58" s="34" t="str">
        <f t="shared" si="4"/>
        <v>FALSE</v>
      </c>
      <c r="X58" s="34" t="str">
        <f t="shared" si="0"/>
        <v>FALSE</v>
      </c>
      <c r="Y58" s="35">
        <f t="shared" si="5"/>
        <v>0</v>
      </c>
      <c r="Z58" s="36" t="str">
        <f t="shared" si="6"/>
        <v/>
      </c>
      <c r="AA58" s="6"/>
      <c r="AB58" s="41"/>
      <c r="AC58" s="38"/>
      <c r="AD58" s="38"/>
      <c r="AE58" s="34" t="str">
        <f t="shared" si="7"/>
        <v>FALSE</v>
      </c>
      <c r="AF58" s="34" t="str">
        <f t="shared" si="8"/>
        <v>FALSE</v>
      </c>
      <c r="AG58" s="35">
        <f t="shared" si="1"/>
        <v>0</v>
      </c>
      <c r="AH58" s="36" t="str">
        <f t="shared" si="2"/>
        <v/>
      </c>
    </row>
    <row r="59" spans="1:34" ht="1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29" t="str">
        <f t="shared" si="3"/>
        <v/>
      </c>
      <c r="Q59" s="30"/>
      <c r="R59" s="31"/>
      <c r="S59" s="68"/>
      <c r="T59" s="40"/>
      <c r="U59" s="38"/>
      <c r="V59" s="74"/>
      <c r="W59" s="34" t="str">
        <f t="shared" si="4"/>
        <v>FALSE</v>
      </c>
      <c r="X59" s="34" t="str">
        <f t="shared" si="0"/>
        <v>FALSE</v>
      </c>
      <c r="Y59" s="35">
        <f t="shared" si="5"/>
        <v>0</v>
      </c>
      <c r="Z59" s="36" t="str">
        <f t="shared" si="6"/>
        <v/>
      </c>
      <c r="AA59" s="6"/>
      <c r="AB59" s="41"/>
      <c r="AC59" s="38"/>
      <c r="AD59" s="38"/>
      <c r="AE59" s="34" t="str">
        <f t="shared" si="7"/>
        <v>FALSE</v>
      </c>
      <c r="AF59" s="34" t="str">
        <f t="shared" si="8"/>
        <v>FALSE</v>
      </c>
      <c r="AG59" s="35">
        <f t="shared" si="1"/>
        <v>0</v>
      </c>
      <c r="AH59" s="36" t="str">
        <f t="shared" si="2"/>
        <v/>
      </c>
    </row>
    <row r="60" spans="1:34" ht="1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29" t="str">
        <f t="shared" si="3"/>
        <v/>
      </c>
      <c r="Q60" s="30"/>
      <c r="R60" s="31"/>
      <c r="S60" s="68"/>
      <c r="T60" s="40"/>
      <c r="U60" s="38"/>
      <c r="V60" s="74"/>
      <c r="W60" s="34" t="str">
        <f t="shared" si="4"/>
        <v>FALSE</v>
      </c>
      <c r="X60" s="34" t="str">
        <f t="shared" si="0"/>
        <v>FALSE</v>
      </c>
      <c r="Y60" s="35">
        <f t="shared" si="5"/>
        <v>0</v>
      </c>
      <c r="Z60" s="36" t="str">
        <f t="shared" si="6"/>
        <v/>
      </c>
      <c r="AA60" s="6"/>
      <c r="AB60" s="41"/>
      <c r="AC60" s="38"/>
      <c r="AD60" s="38"/>
      <c r="AE60" s="34"/>
      <c r="AF60" s="34" t="str">
        <f t="shared" si="8"/>
        <v>FALSE</v>
      </c>
      <c r="AG60" s="35">
        <f t="shared" si="1"/>
        <v>0</v>
      </c>
      <c r="AH60" s="36" t="str">
        <f t="shared" si="2"/>
        <v/>
      </c>
    </row>
    <row r="61" spans="1:34" ht="1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29" t="str">
        <f t="shared" si="3"/>
        <v/>
      </c>
      <c r="Q61" s="30"/>
      <c r="R61" s="31"/>
      <c r="S61" s="68"/>
      <c r="T61" s="40"/>
      <c r="U61" s="38"/>
      <c r="V61" s="74"/>
      <c r="W61" s="34" t="str">
        <f t="shared" si="4"/>
        <v>FALSE</v>
      </c>
      <c r="X61" s="34" t="str">
        <f t="shared" si="0"/>
        <v>FALSE</v>
      </c>
      <c r="Y61" s="35">
        <f t="shared" si="5"/>
        <v>0</v>
      </c>
      <c r="Z61" s="36" t="str">
        <f t="shared" si="6"/>
        <v/>
      </c>
      <c r="AA61" s="6"/>
      <c r="AB61" s="41"/>
      <c r="AC61" s="38"/>
      <c r="AD61" s="38"/>
      <c r="AE61" s="34"/>
      <c r="AF61" s="34" t="str">
        <f t="shared" si="8"/>
        <v>FALSE</v>
      </c>
      <c r="AG61" s="35">
        <f t="shared" si="1"/>
        <v>0</v>
      </c>
      <c r="AH61" s="36" t="str">
        <f t="shared" si="2"/>
        <v/>
      </c>
    </row>
    <row r="62" spans="1:34" ht="1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29" t="str">
        <f t="shared" si="3"/>
        <v/>
      </c>
      <c r="Q62" s="30"/>
      <c r="R62" s="31"/>
      <c r="S62" s="68"/>
      <c r="T62" s="40"/>
      <c r="U62" s="38"/>
      <c r="V62" s="74"/>
      <c r="W62" s="34" t="str">
        <f t="shared" si="4"/>
        <v>FALSE</v>
      </c>
      <c r="X62" s="34" t="str">
        <f t="shared" si="0"/>
        <v>FALSE</v>
      </c>
      <c r="Y62" s="35">
        <f t="shared" si="5"/>
        <v>0</v>
      </c>
      <c r="Z62" s="36" t="str">
        <f t="shared" si="6"/>
        <v/>
      </c>
      <c r="AA62" s="6"/>
      <c r="AB62" s="41"/>
      <c r="AC62" s="38"/>
      <c r="AD62" s="38"/>
      <c r="AE62" s="34"/>
      <c r="AF62" s="34" t="str">
        <f t="shared" si="8"/>
        <v>FALSE</v>
      </c>
      <c r="AG62" s="35">
        <f t="shared" si="1"/>
        <v>0</v>
      </c>
      <c r="AH62" s="36" t="str">
        <f t="shared" si="2"/>
        <v/>
      </c>
    </row>
    <row r="63" spans="1:34" ht="1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29" t="str">
        <f t="shared" si="3"/>
        <v/>
      </c>
      <c r="Q63" s="30"/>
      <c r="R63" s="31"/>
      <c r="S63" s="68"/>
      <c r="T63" s="40"/>
      <c r="U63" s="38"/>
      <c r="V63" s="74"/>
      <c r="W63" s="34" t="str">
        <f t="shared" si="4"/>
        <v>FALSE</v>
      </c>
      <c r="X63" s="34" t="str">
        <f t="shared" si="0"/>
        <v>FALSE</v>
      </c>
      <c r="Y63" s="35">
        <f t="shared" si="5"/>
        <v>0</v>
      </c>
      <c r="Z63" s="36" t="str">
        <f t="shared" si="6"/>
        <v/>
      </c>
      <c r="AA63" s="6"/>
      <c r="AB63" s="41"/>
      <c r="AC63" s="38"/>
      <c r="AD63" s="38"/>
      <c r="AE63" s="34"/>
      <c r="AF63" s="34" t="str">
        <f t="shared" si="8"/>
        <v>FALSE</v>
      </c>
      <c r="AG63" s="35">
        <f t="shared" si="1"/>
        <v>0</v>
      </c>
      <c r="AH63" s="36" t="str">
        <f t="shared" si="2"/>
        <v/>
      </c>
    </row>
    <row r="64" spans="1:34" ht="1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29" t="str">
        <f t="shared" si="3"/>
        <v/>
      </c>
      <c r="Q64" s="30"/>
      <c r="R64" s="31"/>
      <c r="S64" s="68"/>
      <c r="T64" s="40"/>
      <c r="U64" s="38"/>
      <c r="V64" s="74"/>
      <c r="W64" s="34" t="str">
        <f t="shared" si="4"/>
        <v>FALSE</v>
      </c>
      <c r="X64" s="34" t="str">
        <f t="shared" si="0"/>
        <v>FALSE</v>
      </c>
      <c r="Y64" s="35">
        <f t="shared" si="5"/>
        <v>0</v>
      </c>
      <c r="Z64" s="36" t="str">
        <f t="shared" si="6"/>
        <v/>
      </c>
      <c r="AA64" s="6"/>
      <c r="AB64" s="41"/>
      <c r="AC64" s="38"/>
      <c r="AD64" s="38"/>
      <c r="AE64" s="34"/>
      <c r="AF64" s="34" t="str">
        <f t="shared" si="8"/>
        <v>FALSE</v>
      </c>
      <c r="AG64" s="35">
        <f t="shared" si="1"/>
        <v>0</v>
      </c>
      <c r="AH64" s="36" t="str">
        <f t="shared" si="2"/>
        <v/>
      </c>
    </row>
    <row r="65" spans="1:34" ht="1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29" t="str">
        <f t="shared" si="3"/>
        <v/>
      </c>
      <c r="Q65" s="30"/>
      <c r="R65" s="31"/>
      <c r="S65" s="68"/>
      <c r="T65" s="40"/>
      <c r="U65" s="38"/>
      <c r="V65" s="74"/>
      <c r="W65" s="34" t="str">
        <f t="shared" si="4"/>
        <v>FALSE</v>
      </c>
      <c r="X65" s="34" t="str">
        <f t="shared" si="0"/>
        <v>FALSE</v>
      </c>
      <c r="Y65" s="35">
        <f t="shared" si="5"/>
        <v>0</v>
      </c>
      <c r="Z65" s="36" t="str">
        <f t="shared" si="6"/>
        <v/>
      </c>
      <c r="AA65" s="6"/>
      <c r="AB65" s="41"/>
      <c r="AC65" s="38"/>
      <c r="AD65" s="38"/>
      <c r="AE65" s="34"/>
      <c r="AF65" s="34" t="str">
        <f t="shared" si="8"/>
        <v>FALSE</v>
      </c>
      <c r="AG65" s="35">
        <f t="shared" si="1"/>
        <v>0</v>
      </c>
      <c r="AH65" s="36" t="str">
        <f t="shared" si="2"/>
        <v/>
      </c>
    </row>
    <row r="66" spans="1:34" ht="1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29" t="str">
        <f t="shared" si="3"/>
        <v/>
      </c>
      <c r="Q66" s="30"/>
      <c r="R66" s="31"/>
      <c r="S66" s="68"/>
      <c r="T66" s="40"/>
      <c r="U66" s="38"/>
      <c r="V66" s="74"/>
      <c r="W66" s="34" t="str">
        <f t="shared" si="4"/>
        <v>FALSE</v>
      </c>
      <c r="X66" s="34" t="str">
        <f t="shared" si="0"/>
        <v>FALSE</v>
      </c>
      <c r="Y66" s="35">
        <f t="shared" si="5"/>
        <v>0</v>
      </c>
      <c r="Z66" s="36" t="str">
        <f t="shared" si="6"/>
        <v/>
      </c>
      <c r="AA66" s="6"/>
      <c r="AB66" s="41"/>
      <c r="AC66" s="38"/>
      <c r="AD66" s="38"/>
      <c r="AE66" s="34"/>
      <c r="AF66" s="34" t="str">
        <f t="shared" si="8"/>
        <v>FALSE</v>
      </c>
      <c r="AG66" s="35">
        <f t="shared" si="1"/>
        <v>0</v>
      </c>
      <c r="AH66" s="36" t="str">
        <f t="shared" si="2"/>
        <v/>
      </c>
    </row>
    <row r="67" spans="1:34" ht="1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29" t="str">
        <f t="shared" si="3"/>
        <v/>
      </c>
      <c r="Q67" s="30"/>
      <c r="R67" s="31"/>
      <c r="S67" s="68"/>
      <c r="T67" s="40"/>
      <c r="U67" s="38"/>
      <c r="V67" s="74"/>
      <c r="W67" s="34" t="str">
        <f t="shared" si="4"/>
        <v>FALSE</v>
      </c>
      <c r="X67" s="34" t="str">
        <f t="shared" si="0"/>
        <v>FALSE</v>
      </c>
      <c r="Y67" s="35">
        <f t="shared" si="5"/>
        <v>0</v>
      </c>
      <c r="Z67" s="36" t="str">
        <f t="shared" si="6"/>
        <v/>
      </c>
      <c r="AA67" s="6"/>
      <c r="AB67" s="41"/>
      <c r="AC67" s="38"/>
      <c r="AD67" s="38"/>
      <c r="AE67" s="34"/>
      <c r="AF67" s="34" t="str">
        <f t="shared" si="8"/>
        <v>FALSE</v>
      </c>
      <c r="AG67" s="35">
        <f t="shared" si="1"/>
        <v>0</v>
      </c>
      <c r="AH67" s="36" t="str">
        <f t="shared" si="2"/>
        <v/>
      </c>
    </row>
    <row r="68" spans="1:34" ht="1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29" t="str">
        <f t="shared" si="3"/>
        <v/>
      </c>
      <c r="Q68" s="30"/>
      <c r="R68" s="31"/>
      <c r="S68" s="68"/>
      <c r="T68" s="40"/>
      <c r="U68" s="38"/>
      <c r="V68" s="74"/>
      <c r="W68" s="34" t="str">
        <f t="shared" si="4"/>
        <v>FALSE</v>
      </c>
      <c r="X68" s="34" t="str">
        <f t="shared" si="0"/>
        <v>FALSE</v>
      </c>
      <c r="Y68" s="35">
        <f t="shared" si="5"/>
        <v>0</v>
      </c>
      <c r="Z68" s="36" t="str">
        <f t="shared" si="6"/>
        <v/>
      </c>
      <c r="AA68" s="6"/>
      <c r="AB68" s="41"/>
      <c r="AC68" s="38"/>
      <c r="AD68" s="38"/>
      <c r="AE68" s="34"/>
      <c r="AF68" s="34" t="str">
        <f t="shared" si="8"/>
        <v>FALSE</v>
      </c>
      <c r="AG68" s="35">
        <f t="shared" si="1"/>
        <v>0</v>
      </c>
      <c r="AH68" s="36" t="str">
        <f t="shared" si="2"/>
        <v/>
      </c>
    </row>
    <row r="69" spans="1:34" ht="1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29" t="str">
        <f t="shared" si="3"/>
        <v/>
      </c>
      <c r="Q69" s="30"/>
      <c r="R69" s="31"/>
      <c r="S69" s="68"/>
      <c r="T69" s="40"/>
      <c r="U69" s="38"/>
      <c r="V69" s="74"/>
      <c r="W69" s="34" t="str">
        <f t="shared" si="4"/>
        <v>FALSE</v>
      </c>
      <c r="X69" s="34" t="str">
        <f t="shared" si="0"/>
        <v>FALSE</v>
      </c>
      <c r="Y69" s="35">
        <f t="shared" si="5"/>
        <v>0</v>
      </c>
      <c r="Z69" s="36" t="str">
        <f t="shared" si="6"/>
        <v/>
      </c>
      <c r="AA69" s="6"/>
      <c r="AB69" s="41"/>
      <c r="AC69" s="38"/>
      <c r="AD69" s="38"/>
      <c r="AE69" s="34"/>
      <c r="AF69" s="34" t="str">
        <f t="shared" si="8"/>
        <v>FALSE</v>
      </c>
      <c r="AG69" s="35">
        <f t="shared" si="1"/>
        <v>0</v>
      </c>
      <c r="AH69" s="36" t="str">
        <f t="shared" si="2"/>
        <v/>
      </c>
    </row>
    <row r="70" spans="1:34" ht="1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29" t="str">
        <f t="shared" si="3"/>
        <v/>
      </c>
      <c r="Q70" s="30"/>
      <c r="R70" s="31"/>
      <c r="S70" s="68"/>
      <c r="T70" s="40"/>
      <c r="U70" s="38"/>
      <c r="V70" s="74"/>
      <c r="W70" s="34" t="str">
        <f t="shared" si="4"/>
        <v>FALSE</v>
      </c>
      <c r="X70" s="34" t="str">
        <f t="shared" si="0"/>
        <v>FALSE</v>
      </c>
      <c r="Y70" s="35">
        <f t="shared" si="5"/>
        <v>0</v>
      </c>
      <c r="Z70" s="36" t="str">
        <f t="shared" si="6"/>
        <v/>
      </c>
      <c r="AA70" s="6"/>
      <c r="AB70" s="41"/>
      <c r="AC70" s="38"/>
      <c r="AD70" s="38"/>
      <c r="AE70" s="34"/>
      <c r="AF70" s="34" t="str">
        <f t="shared" si="8"/>
        <v>FALSE</v>
      </c>
      <c r="AG70" s="35">
        <f t="shared" si="1"/>
        <v>0</v>
      </c>
      <c r="AH70" s="36" t="str">
        <f t="shared" si="2"/>
        <v/>
      </c>
    </row>
    <row r="71" spans="1:34" ht="1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29" t="str">
        <f t="shared" si="3"/>
        <v/>
      </c>
      <c r="Q71" s="30"/>
      <c r="R71" s="31"/>
      <c r="S71" s="68"/>
      <c r="T71" s="40"/>
      <c r="U71" s="38"/>
      <c r="V71" s="74"/>
      <c r="W71" s="34" t="str">
        <f t="shared" si="4"/>
        <v>FALSE</v>
      </c>
      <c r="X71" s="34" t="str">
        <f t="shared" si="0"/>
        <v>FALSE</v>
      </c>
      <c r="Y71" s="35">
        <f t="shared" si="5"/>
        <v>0</v>
      </c>
      <c r="Z71" s="36" t="str">
        <f t="shared" si="6"/>
        <v/>
      </c>
      <c r="AA71" s="6"/>
      <c r="AB71" s="41"/>
      <c r="AC71" s="38"/>
      <c r="AD71" s="38"/>
      <c r="AE71" s="34"/>
      <c r="AF71" s="34" t="str">
        <f t="shared" si="8"/>
        <v>FALSE</v>
      </c>
      <c r="AG71" s="35">
        <f t="shared" si="1"/>
        <v>0</v>
      </c>
      <c r="AH71" s="36" t="str">
        <f t="shared" si="2"/>
        <v/>
      </c>
    </row>
    <row r="72" spans="1:34" ht="1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29" t="str">
        <f t="shared" si="3"/>
        <v/>
      </c>
      <c r="Q72" s="30"/>
      <c r="R72" s="31"/>
      <c r="S72" s="68"/>
      <c r="T72" s="40"/>
      <c r="U72" s="38"/>
      <c r="V72" s="74"/>
      <c r="W72" s="34" t="str">
        <f t="shared" si="4"/>
        <v>FALSE</v>
      </c>
      <c r="X72" s="34" t="str">
        <f t="shared" si="0"/>
        <v>FALSE</v>
      </c>
      <c r="Y72" s="35">
        <f t="shared" si="5"/>
        <v>0</v>
      </c>
      <c r="Z72" s="36" t="str">
        <f t="shared" si="6"/>
        <v/>
      </c>
      <c r="AA72" s="6"/>
      <c r="AB72" s="41"/>
      <c r="AC72" s="38"/>
      <c r="AD72" s="38"/>
      <c r="AE72" s="34"/>
      <c r="AF72" s="34" t="str">
        <f t="shared" si="8"/>
        <v>FALSE</v>
      </c>
      <c r="AG72" s="35">
        <f t="shared" si="1"/>
        <v>0</v>
      </c>
      <c r="AH72" s="36" t="str">
        <f t="shared" si="2"/>
        <v/>
      </c>
    </row>
    <row r="73" spans="1:34" ht="1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29" t="str">
        <f t="shared" si="3"/>
        <v/>
      </c>
      <c r="Q73" s="30"/>
      <c r="R73" s="31"/>
      <c r="S73" s="68"/>
      <c r="T73" s="40"/>
      <c r="U73" s="38"/>
      <c r="V73" s="74"/>
      <c r="W73" s="34" t="str">
        <f t="shared" si="4"/>
        <v>FALSE</v>
      </c>
      <c r="X73" s="34" t="str">
        <f t="shared" si="0"/>
        <v>FALSE</v>
      </c>
      <c r="Y73" s="35">
        <f t="shared" si="5"/>
        <v>0</v>
      </c>
      <c r="Z73" s="36" t="str">
        <f t="shared" si="6"/>
        <v/>
      </c>
      <c r="AA73" s="6"/>
      <c r="AB73" s="41"/>
      <c r="AC73" s="38"/>
      <c r="AD73" s="38"/>
      <c r="AE73" s="34"/>
      <c r="AF73" s="34" t="str">
        <f t="shared" si="8"/>
        <v>FALSE</v>
      </c>
      <c r="AG73" s="35">
        <f t="shared" si="1"/>
        <v>0</v>
      </c>
      <c r="AH73" s="36" t="str">
        <f t="shared" si="2"/>
        <v/>
      </c>
    </row>
    <row r="74" spans="1:34" ht="1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29" t="str">
        <f t="shared" si="3"/>
        <v/>
      </c>
      <c r="Q74" s="30"/>
      <c r="R74" s="31"/>
      <c r="S74" s="68"/>
      <c r="T74" s="40"/>
      <c r="U74" s="38"/>
      <c r="V74" s="74"/>
      <c r="W74" s="34" t="str">
        <f t="shared" si="4"/>
        <v>FALSE</v>
      </c>
      <c r="X74" s="34" t="str">
        <f t="shared" si="0"/>
        <v>FALSE</v>
      </c>
      <c r="Y74" s="35">
        <f t="shared" si="5"/>
        <v>0</v>
      </c>
      <c r="Z74" s="36" t="str">
        <f t="shared" si="6"/>
        <v/>
      </c>
      <c r="AA74" s="6"/>
      <c r="AB74" s="41"/>
      <c r="AC74" s="38"/>
      <c r="AD74" s="38"/>
      <c r="AE74" s="34"/>
      <c r="AF74" s="34" t="str">
        <f t="shared" si="8"/>
        <v>FALSE</v>
      </c>
      <c r="AG74" s="35">
        <f t="shared" si="1"/>
        <v>0</v>
      </c>
      <c r="AH74" s="36" t="str">
        <f t="shared" si="2"/>
        <v/>
      </c>
    </row>
    <row r="75" spans="1:34" ht="1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29" t="str">
        <f t="shared" si="3"/>
        <v/>
      </c>
      <c r="Q75" s="30"/>
      <c r="R75" s="31"/>
      <c r="S75" s="68"/>
      <c r="T75" s="40"/>
      <c r="U75" s="38"/>
      <c r="V75" s="74"/>
      <c r="W75" s="34" t="str">
        <f t="shared" si="4"/>
        <v>FALSE</v>
      </c>
      <c r="X75" s="34" t="str">
        <f t="shared" si="0"/>
        <v>FALSE</v>
      </c>
      <c r="Y75" s="35">
        <f t="shared" si="5"/>
        <v>0</v>
      </c>
      <c r="Z75" s="36" t="str">
        <f t="shared" si="6"/>
        <v/>
      </c>
      <c r="AA75" s="6"/>
      <c r="AB75" s="41"/>
      <c r="AC75" s="38"/>
      <c r="AD75" s="38"/>
      <c r="AE75" s="34"/>
      <c r="AF75" s="34" t="str">
        <f t="shared" si="8"/>
        <v>FALSE</v>
      </c>
      <c r="AG75" s="35">
        <f t="shared" si="1"/>
        <v>0</v>
      </c>
      <c r="AH75" s="36" t="str">
        <f t="shared" si="2"/>
        <v/>
      </c>
    </row>
    <row r="76" spans="1:34" ht="1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29" t="str">
        <f t="shared" si="3"/>
        <v/>
      </c>
      <c r="Q76" s="30"/>
      <c r="R76" s="31"/>
      <c r="S76" s="68"/>
      <c r="T76" s="40"/>
      <c r="U76" s="38"/>
      <c r="V76" s="74"/>
      <c r="W76" s="34" t="str">
        <f t="shared" si="4"/>
        <v>FALSE</v>
      </c>
      <c r="X76" s="34" t="str">
        <f t="shared" si="0"/>
        <v>FALSE</v>
      </c>
      <c r="Y76" s="35">
        <f t="shared" si="5"/>
        <v>0</v>
      </c>
      <c r="Z76" s="36" t="str">
        <f t="shared" si="6"/>
        <v/>
      </c>
      <c r="AA76" s="6"/>
      <c r="AB76" s="41"/>
      <c r="AC76" s="38"/>
      <c r="AD76" s="38"/>
      <c r="AE76" s="34"/>
      <c r="AF76" s="34" t="str">
        <f t="shared" si="8"/>
        <v>FALSE</v>
      </c>
      <c r="AG76" s="35">
        <f t="shared" si="1"/>
        <v>0</v>
      </c>
      <c r="AH76" s="36" t="str">
        <f t="shared" si="2"/>
        <v/>
      </c>
    </row>
    <row r="77" spans="1:34" ht="1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29" t="str">
        <f t="shared" si="3"/>
        <v/>
      </c>
      <c r="Q77" s="30"/>
      <c r="R77" s="31"/>
      <c r="S77" s="68"/>
      <c r="T77" s="40"/>
      <c r="U77" s="38"/>
      <c r="V77" s="74"/>
      <c r="W77" s="34" t="str">
        <f t="shared" si="4"/>
        <v>FALSE</v>
      </c>
      <c r="X77" s="34" t="str">
        <f t="shared" si="0"/>
        <v>FALSE</v>
      </c>
      <c r="Y77" s="35">
        <f t="shared" si="5"/>
        <v>0</v>
      </c>
      <c r="Z77" s="36" t="str">
        <f t="shared" si="6"/>
        <v/>
      </c>
      <c r="AA77" s="6"/>
      <c r="AB77" s="41"/>
      <c r="AC77" s="38"/>
      <c r="AD77" s="38"/>
      <c r="AE77" s="34"/>
      <c r="AF77" s="34" t="str">
        <f t="shared" si="8"/>
        <v>FALSE</v>
      </c>
      <c r="AG77" s="35">
        <f t="shared" si="1"/>
        <v>0</v>
      </c>
      <c r="AH77" s="36" t="str">
        <f t="shared" si="2"/>
        <v/>
      </c>
    </row>
    <row r="78" spans="1:34" ht="1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29" t="str">
        <f t="shared" si="3"/>
        <v/>
      </c>
      <c r="Q78" s="30"/>
      <c r="R78" s="31"/>
      <c r="S78" s="68"/>
      <c r="T78" s="40"/>
      <c r="U78" s="38"/>
      <c r="V78" s="74"/>
      <c r="W78" s="34" t="str">
        <f t="shared" si="4"/>
        <v>FALSE</v>
      </c>
      <c r="X78" s="34" t="str">
        <f t="shared" ref="X78:X120" si="9">IF(U78="","FALSE",ABS((U78-AVERAGE($U$14:$U$120))/_xlfn.STDEV.S($U$14:$U$104)))</f>
        <v>FALSE</v>
      </c>
      <c r="Y78" s="35">
        <f t="shared" si="5"/>
        <v>0</v>
      </c>
      <c r="Z78" s="36" t="str">
        <f t="shared" si="6"/>
        <v/>
      </c>
      <c r="AA78" s="6"/>
      <c r="AB78" s="41"/>
      <c r="AC78" s="38"/>
      <c r="AD78" s="38"/>
      <c r="AE78" s="34"/>
      <c r="AF78" s="34" t="str">
        <f t="shared" si="8"/>
        <v>FALSE</v>
      </c>
      <c r="AG78" s="35">
        <f t="shared" ref="AG78:AG120" si="10">IF(OR(AC78&gt;$AG$11,AC78&lt;$AF$11),AC78,"")</f>
        <v>0</v>
      </c>
      <c r="AH78" s="36" t="str">
        <f t="shared" ref="AH78:AH120" si="11">IF(AC78="","",AC78/AB78)</f>
        <v/>
      </c>
    </row>
    <row r="79" spans="1:34" ht="1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29" t="str">
        <f t="shared" ref="P79:P120" si="12">IF(R79&lt;&gt;"",P78+1,"")</f>
        <v/>
      </c>
      <c r="Q79" s="30"/>
      <c r="R79" s="31"/>
      <c r="S79" s="68"/>
      <c r="T79" s="40"/>
      <c r="U79" s="38"/>
      <c r="V79" s="74"/>
      <c r="W79" s="34" t="str">
        <f t="shared" ref="W79:W120" si="13">IF(X79&gt;3,"FALSE",U79)</f>
        <v>FALSE</v>
      </c>
      <c r="X79" s="34" t="str">
        <f t="shared" si="9"/>
        <v>FALSE</v>
      </c>
      <c r="Y79" s="35">
        <f t="shared" ref="Y79:Y120" si="14">IF(OR(U79&gt;$Y$11,U79&lt;$X$11),U79,"")</f>
        <v>0</v>
      </c>
      <c r="Z79" s="36" t="str">
        <f t="shared" ref="Z79:Z120" si="15">IF(U79="","",U79/T79)</f>
        <v/>
      </c>
      <c r="AA79" s="6"/>
      <c r="AB79" s="41"/>
      <c r="AC79" s="38"/>
      <c r="AD79" s="38"/>
      <c r="AE79" s="34"/>
      <c r="AF79" s="34" t="str">
        <f t="shared" ref="AF79:AF120" si="16">IF(AC79="","FALSE",ABS((AC79-AVERAGE($AC$14:$AC$120))/_xlfn.STDEV.S($AC$14:$AC$104)))</f>
        <v>FALSE</v>
      </c>
      <c r="AG79" s="35">
        <f t="shared" si="10"/>
        <v>0</v>
      </c>
      <c r="AH79" s="36" t="str">
        <f t="shared" si="11"/>
        <v/>
      </c>
    </row>
    <row r="80" spans="1:34" ht="1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29" t="str">
        <f t="shared" si="12"/>
        <v/>
      </c>
      <c r="Q80" s="30"/>
      <c r="R80" s="31"/>
      <c r="S80" s="68"/>
      <c r="T80" s="40"/>
      <c r="U80" s="38"/>
      <c r="V80" s="74"/>
      <c r="W80" s="34" t="str">
        <f t="shared" si="13"/>
        <v>FALSE</v>
      </c>
      <c r="X80" s="34" t="str">
        <f t="shared" si="9"/>
        <v>FALSE</v>
      </c>
      <c r="Y80" s="35">
        <f t="shared" si="14"/>
        <v>0</v>
      </c>
      <c r="Z80" s="36" t="str">
        <f t="shared" si="15"/>
        <v/>
      </c>
      <c r="AA80" s="6"/>
      <c r="AB80" s="41"/>
      <c r="AC80" s="38"/>
      <c r="AD80" s="38"/>
      <c r="AE80" s="34"/>
      <c r="AF80" s="34" t="str">
        <f t="shared" si="16"/>
        <v>FALSE</v>
      </c>
      <c r="AG80" s="35">
        <f t="shared" si="10"/>
        <v>0</v>
      </c>
      <c r="AH80" s="36" t="str">
        <f t="shared" si="11"/>
        <v/>
      </c>
    </row>
    <row r="81" spans="1:34" ht="1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29" t="str">
        <f t="shared" si="12"/>
        <v/>
      </c>
      <c r="Q81" s="30"/>
      <c r="R81" s="31"/>
      <c r="S81" s="68"/>
      <c r="T81" s="40"/>
      <c r="U81" s="38"/>
      <c r="V81" s="74"/>
      <c r="W81" s="34" t="str">
        <f t="shared" si="13"/>
        <v>FALSE</v>
      </c>
      <c r="X81" s="34" t="str">
        <f t="shared" si="9"/>
        <v>FALSE</v>
      </c>
      <c r="Y81" s="35">
        <f t="shared" si="14"/>
        <v>0</v>
      </c>
      <c r="Z81" s="36" t="str">
        <f t="shared" si="15"/>
        <v/>
      </c>
      <c r="AA81" s="6"/>
      <c r="AB81" s="41"/>
      <c r="AC81" s="38"/>
      <c r="AD81" s="38"/>
      <c r="AE81" s="34"/>
      <c r="AF81" s="34" t="str">
        <f t="shared" si="16"/>
        <v>FALSE</v>
      </c>
      <c r="AG81" s="35">
        <f t="shared" si="10"/>
        <v>0</v>
      </c>
      <c r="AH81" s="36" t="str">
        <f t="shared" si="11"/>
        <v/>
      </c>
    </row>
    <row r="82" spans="1:34" ht="1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29" t="str">
        <f t="shared" si="12"/>
        <v/>
      </c>
      <c r="Q82" s="30"/>
      <c r="R82" s="31"/>
      <c r="S82" s="68"/>
      <c r="T82" s="40"/>
      <c r="U82" s="38"/>
      <c r="V82" s="74"/>
      <c r="W82" s="34" t="str">
        <f t="shared" si="13"/>
        <v>FALSE</v>
      </c>
      <c r="X82" s="34" t="str">
        <f t="shared" si="9"/>
        <v>FALSE</v>
      </c>
      <c r="Y82" s="35">
        <f t="shared" si="14"/>
        <v>0</v>
      </c>
      <c r="Z82" s="36" t="str">
        <f t="shared" si="15"/>
        <v/>
      </c>
      <c r="AA82" s="6"/>
      <c r="AB82" s="41"/>
      <c r="AC82" s="38"/>
      <c r="AD82" s="38"/>
      <c r="AE82" s="34"/>
      <c r="AF82" s="34" t="str">
        <f t="shared" si="16"/>
        <v>FALSE</v>
      </c>
      <c r="AG82" s="35">
        <f t="shared" si="10"/>
        <v>0</v>
      </c>
      <c r="AH82" s="36" t="str">
        <f t="shared" si="11"/>
        <v/>
      </c>
    </row>
    <row r="83" spans="1:34" ht="1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29" t="str">
        <f t="shared" si="12"/>
        <v/>
      </c>
      <c r="Q83" s="30"/>
      <c r="R83" s="31"/>
      <c r="S83" s="68"/>
      <c r="T83" s="40"/>
      <c r="U83" s="38"/>
      <c r="V83" s="74"/>
      <c r="W83" s="34" t="str">
        <f t="shared" si="13"/>
        <v>FALSE</v>
      </c>
      <c r="X83" s="34" t="str">
        <f t="shared" si="9"/>
        <v>FALSE</v>
      </c>
      <c r="Y83" s="35">
        <f t="shared" si="14"/>
        <v>0</v>
      </c>
      <c r="Z83" s="36" t="str">
        <f t="shared" si="15"/>
        <v/>
      </c>
      <c r="AA83" s="6"/>
      <c r="AB83" s="41"/>
      <c r="AC83" s="38"/>
      <c r="AD83" s="38"/>
      <c r="AE83" s="34"/>
      <c r="AF83" s="34" t="str">
        <f t="shared" si="16"/>
        <v>FALSE</v>
      </c>
      <c r="AG83" s="35">
        <f t="shared" si="10"/>
        <v>0</v>
      </c>
      <c r="AH83" s="36" t="str">
        <f t="shared" si="11"/>
        <v/>
      </c>
    </row>
    <row r="84" spans="1:34" ht="1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29" t="str">
        <f t="shared" si="12"/>
        <v/>
      </c>
      <c r="Q84" s="30"/>
      <c r="R84" s="31"/>
      <c r="S84" s="68"/>
      <c r="T84" s="40"/>
      <c r="U84" s="38"/>
      <c r="V84" s="74"/>
      <c r="W84" s="34" t="str">
        <f t="shared" si="13"/>
        <v>FALSE</v>
      </c>
      <c r="X84" s="34" t="str">
        <f t="shared" si="9"/>
        <v>FALSE</v>
      </c>
      <c r="Y84" s="35">
        <f t="shared" si="14"/>
        <v>0</v>
      </c>
      <c r="Z84" s="36" t="str">
        <f t="shared" si="15"/>
        <v/>
      </c>
      <c r="AA84" s="6"/>
      <c r="AB84" s="41"/>
      <c r="AC84" s="38"/>
      <c r="AD84" s="38"/>
      <c r="AE84" s="34"/>
      <c r="AF84" s="34" t="str">
        <f t="shared" si="16"/>
        <v>FALSE</v>
      </c>
      <c r="AG84" s="35">
        <f t="shared" si="10"/>
        <v>0</v>
      </c>
      <c r="AH84" s="36" t="str">
        <f t="shared" si="11"/>
        <v/>
      </c>
    </row>
    <row r="85" spans="1:34" ht="1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29" t="str">
        <f t="shared" si="12"/>
        <v/>
      </c>
      <c r="Q85" s="30"/>
      <c r="R85" s="31"/>
      <c r="S85" s="68"/>
      <c r="T85" s="40"/>
      <c r="U85" s="38"/>
      <c r="V85" s="74"/>
      <c r="W85" s="34" t="str">
        <f t="shared" si="13"/>
        <v>FALSE</v>
      </c>
      <c r="X85" s="34" t="str">
        <f t="shared" si="9"/>
        <v>FALSE</v>
      </c>
      <c r="Y85" s="35">
        <f t="shared" si="14"/>
        <v>0</v>
      </c>
      <c r="Z85" s="36" t="str">
        <f t="shared" si="15"/>
        <v/>
      </c>
      <c r="AA85" s="6"/>
      <c r="AB85" s="41"/>
      <c r="AC85" s="38"/>
      <c r="AD85" s="38"/>
      <c r="AE85" s="34"/>
      <c r="AF85" s="34" t="str">
        <f t="shared" si="16"/>
        <v>FALSE</v>
      </c>
      <c r="AG85" s="35">
        <f t="shared" si="10"/>
        <v>0</v>
      </c>
      <c r="AH85" s="36" t="str">
        <f t="shared" si="11"/>
        <v/>
      </c>
    </row>
    <row r="86" spans="1:34" ht="1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29" t="str">
        <f t="shared" si="12"/>
        <v/>
      </c>
      <c r="Q86" s="30"/>
      <c r="R86" s="31"/>
      <c r="S86" s="68"/>
      <c r="T86" s="40"/>
      <c r="U86" s="38"/>
      <c r="V86" s="74"/>
      <c r="W86" s="34" t="str">
        <f t="shared" si="13"/>
        <v>FALSE</v>
      </c>
      <c r="X86" s="34" t="str">
        <f t="shared" si="9"/>
        <v>FALSE</v>
      </c>
      <c r="Y86" s="35">
        <f t="shared" si="14"/>
        <v>0</v>
      </c>
      <c r="Z86" s="36" t="str">
        <f t="shared" si="15"/>
        <v/>
      </c>
      <c r="AA86" s="6"/>
      <c r="AB86" s="41"/>
      <c r="AC86" s="38"/>
      <c r="AD86" s="38"/>
      <c r="AE86" s="34"/>
      <c r="AF86" s="34" t="str">
        <f t="shared" si="16"/>
        <v>FALSE</v>
      </c>
      <c r="AG86" s="35">
        <f t="shared" si="10"/>
        <v>0</v>
      </c>
      <c r="AH86" s="36" t="str">
        <f t="shared" si="11"/>
        <v/>
      </c>
    </row>
    <row r="87" spans="1:34" ht="1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29" t="str">
        <f t="shared" si="12"/>
        <v/>
      </c>
      <c r="Q87" s="30"/>
      <c r="R87" s="31"/>
      <c r="S87" s="68"/>
      <c r="T87" s="40"/>
      <c r="U87" s="38"/>
      <c r="V87" s="74"/>
      <c r="W87" s="34" t="str">
        <f t="shared" si="13"/>
        <v>FALSE</v>
      </c>
      <c r="X87" s="34" t="str">
        <f t="shared" si="9"/>
        <v>FALSE</v>
      </c>
      <c r="Y87" s="35">
        <f t="shared" si="14"/>
        <v>0</v>
      </c>
      <c r="Z87" s="36" t="str">
        <f t="shared" si="15"/>
        <v/>
      </c>
      <c r="AA87" s="6"/>
      <c r="AB87" s="41"/>
      <c r="AC87" s="38"/>
      <c r="AD87" s="38"/>
      <c r="AE87" s="34"/>
      <c r="AF87" s="34" t="str">
        <f t="shared" si="16"/>
        <v>FALSE</v>
      </c>
      <c r="AG87" s="35">
        <f t="shared" si="10"/>
        <v>0</v>
      </c>
      <c r="AH87" s="36" t="str">
        <f t="shared" si="11"/>
        <v/>
      </c>
    </row>
    <row r="88" spans="1:34" ht="1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29" t="str">
        <f t="shared" si="12"/>
        <v/>
      </c>
      <c r="Q88" s="30"/>
      <c r="R88" s="31"/>
      <c r="S88" s="68"/>
      <c r="T88" s="40"/>
      <c r="U88" s="38"/>
      <c r="V88" s="74"/>
      <c r="W88" s="34" t="str">
        <f t="shared" si="13"/>
        <v>FALSE</v>
      </c>
      <c r="X88" s="34" t="str">
        <f t="shared" si="9"/>
        <v>FALSE</v>
      </c>
      <c r="Y88" s="35">
        <f t="shared" si="14"/>
        <v>0</v>
      </c>
      <c r="Z88" s="36" t="str">
        <f t="shared" si="15"/>
        <v/>
      </c>
      <c r="AA88" s="6"/>
      <c r="AB88" s="41"/>
      <c r="AC88" s="38"/>
      <c r="AD88" s="38"/>
      <c r="AE88" s="34"/>
      <c r="AF88" s="34" t="str">
        <f t="shared" si="16"/>
        <v>FALSE</v>
      </c>
      <c r="AG88" s="35">
        <f t="shared" si="10"/>
        <v>0</v>
      </c>
      <c r="AH88" s="36" t="str">
        <f t="shared" si="11"/>
        <v/>
      </c>
    </row>
    <row r="89" spans="1:34" ht="1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29" t="str">
        <f t="shared" si="12"/>
        <v/>
      </c>
      <c r="Q89" s="30"/>
      <c r="R89" s="31"/>
      <c r="S89" s="68"/>
      <c r="T89" s="40"/>
      <c r="U89" s="38"/>
      <c r="V89" s="74"/>
      <c r="W89" s="34" t="str">
        <f t="shared" si="13"/>
        <v>FALSE</v>
      </c>
      <c r="X89" s="34" t="str">
        <f t="shared" si="9"/>
        <v>FALSE</v>
      </c>
      <c r="Y89" s="35">
        <f t="shared" si="14"/>
        <v>0</v>
      </c>
      <c r="Z89" s="36" t="str">
        <f t="shared" si="15"/>
        <v/>
      </c>
      <c r="AA89" s="6"/>
      <c r="AB89" s="41"/>
      <c r="AC89" s="38"/>
      <c r="AD89" s="38"/>
      <c r="AE89" s="34"/>
      <c r="AF89" s="34" t="str">
        <f t="shared" si="16"/>
        <v>FALSE</v>
      </c>
      <c r="AG89" s="35">
        <f t="shared" si="10"/>
        <v>0</v>
      </c>
      <c r="AH89" s="36" t="str">
        <f t="shared" si="11"/>
        <v/>
      </c>
    </row>
    <row r="90" spans="1:34" ht="1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29" t="str">
        <f t="shared" si="12"/>
        <v/>
      </c>
      <c r="Q90" s="30"/>
      <c r="R90" s="31"/>
      <c r="S90" s="68"/>
      <c r="T90" s="40"/>
      <c r="U90" s="38"/>
      <c r="V90" s="74"/>
      <c r="W90" s="34" t="str">
        <f t="shared" si="13"/>
        <v>FALSE</v>
      </c>
      <c r="X90" s="34" t="str">
        <f t="shared" si="9"/>
        <v>FALSE</v>
      </c>
      <c r="Y90" s="35">
        <f t="shared" si="14"/>
        <v>0</v>
      </c>
      <c r="Z90" s="36" t="str">
        <f t="shared" si="15"/>
        <v/>
      </c>
      <c r="AA90" s="6"/>
      <c r="AB90" s="41"/>
      <c r="AC90" s="38"/>
      <c r="AD90" s="38"/>
      <c r="AE90" s="34"/>
      <c r="AF90" s="34" t="str">
        <f t="shared" si="16"/>
        <v>FALSE</v>
      </c>
      <c r="AG90" s="35">
        <f t="shared" si="10"/>
        <v>0</v>
      </c>
      <c r="AH90" s="36" t="str">
        <f t="shared" si="11"/>
        <v/>
      </c>
    </row>
    <row r="91" spans="1:34" ht="1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29" t="str">
        <f t="shared" si="12"/>
        <v/>
      </c>
      <c r="Q91" s="30"/>
      <c r="R91" s="31"/>
      <c r="S91" s="68"/>
      <c r="T91" s="40"/>
      <c r="U91" s="38"/>
      <c r="V91" s="74"/>
      <c r="W91" s="34" t="str">
        <f t="shared" si="13"/>
        <v>FALSE</v>
      </c>
      <c r="X91" s="34" t="str">
        <f t="shared" si="9"/>
        <v>FALSE</v>
      </c>
      <c r="Y91" s="35">
        <f t="shared" si="14"/>
        <v>0</v>
      </c>
      <c r="Z91" s="36" t="str">
        <f t="shared" si="15"/>
        <v/>
      </c>
      <c r="AA91" s="6"/>
      <c r="AB91" s="41"/>
      <c r="AC91" s="38"/>
      <c r="AD91" s="38"/>
      <c r="AE91" s="34"/>
      <c r="AF91" s="34" t="str">
        <f t="shared" si="16"/>
        <v>FALSE</v>
      </c>
      <c r="AG91" s="35">
        <f t="shared" si="10"/>
        <v>0</v>
      </c>
      <c r="AH91" s="36" t="str">
        <f t="shared" si="11"/>
        <v/>
      </c>
    </row>
    <row r="92" spans="1:34" ht="1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29" t="str">
        <f t="shared" si="12"/>
        <v/>
      </c>
      <c r="Q92" s="30"/>
      <c r="R92" s="31"/>
      <c r="S92" s="68"/>
      <c r="T92" s="40"/>
      <c r="U92" s="38"/>
      <c r="V92" s="74"/>
      <c r="W92" s="34" t="str">
        <f t="shared" si="13"/>
        <v>FALSE</v>
      </c>
      <c r="X92" s="34" t="str">
        <f t="shared" si="9"/>
        <v>FALSE</v>
      </c>
      <c r="Y92" s="35">
        <f t="shared" si="14"/>
        <v>0</v>
      </c>
      <c r="Z92" s="36" t="str">
        <f t="shared" si="15"/>
        <v/>
      </c>
      <c r="AA92" s="6"/>
      <c r="AB92" s="41"/>
      <c r="AC92" s="38"/>
      <c r="AD92" s="38"/>
      <c r="AE92" s="34"/>
      <c r="AF92" s="34" t="str">
        <f t="shared" si="16"/>
        <v>FALSE</v>
      </c>
      <c r="AG92" s="35">
        <f t="shared" si="10"/>
        <v>0</v>
      </c>
      <c r="AH92" s="36" t="str">
        <f t="shared" si="11"/>
        <v/>
      </c>
    </row>
    <row r="93" spans="1:34" ht="1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29" t="str">
        <f t="shared" si="12"/>
        <v/>
      </c>
      <c r="Q93" s="30"/>
      <c r="R93" s="31"/>
      <c r="S93" s="68"/>
      <c r="T93" s="40"/>
      <c r="U93" s="38"/>
      <c r="V93" s="74"/>
      <c r="W93" s="34" t="str">
        <f t="shared" si="13"/>
        <v>FALSE</v>
      </c>
      <c r="X93" s="34" t="str">
        <f t="shared" si="9"/>
        <v>FALSE</v>
      </c>
      <c r="Y93" s="35">
        <f t="shared" si="14"/>
        <v>0</v>
      </c>
      <c r="Z93" s="36" t="str">
        <f t="shared" si="15"/>
        <v/>
      </c>
      <c r="AA93" s="6"/>
      <c r="AB93" s="41"/>
      <c r="AC93" s="38"/>
      <c r="AD93" s="38"/>
      <c r="AE93" s="34"/>
      <c r="AF93" s="34" t="str">
        <f t="shared" si="16"/>
        <v>FALSE</v>
      </c>
      <c r="AG93" s="35">
        <f t="shared" si="10"/>
        <v>0</v>
      </c>
      <c r="AH93" s="36" t="str">
        <f t="shared" si="11"/>
        <v/>
      </c>
    </row>
    <row r="94" spans="1:34" ht="1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29" t="str">
        <f t="shared" si="12"/>
        <v/>
      </c>
      <c r="Q94" s="30"/>
      <c r="R94" s="31"/>
      <c r="S94" s="68"/>
      <c r="T94" s="40"/>
      <c r="U94" s="38"/>
      <c r="V94" s="74"/>
      <c r="W94" s="34" t="str">
        <f t="shared" si="13"/>
        <v>FALSE</v>
      </c>
      <c r="X94" s="34" t="str">
        <f t="shared" si="9"/>
        <v>FALSE</v>
      </c>
      <c r="Y94" s="35">
        <f t="shared" si="14"/>
        <v>0</v>
      </c>
      <c r="Z94" s="36" t="str">
        <f t="shared" si="15"/>
        <v/>
      </c>
      <c r="AA94" s="6"/>
      <c r="AB94" s="41"/>
      <c r="AC94" s="38"/>
      <c r="AD94" s="38"/>
      <c r="AE94" s="34"/>
      <c r="AF94" s="34" t="str">
        <f t="shared" si="16"/>
        <v>FALSE</v>
      </c>
      <c r="AG94" s="35">
        <f t="shared" si="10"/>
        <v>0</v>
      </c>
      <c r="AH94" s="36" t="str">
        <f t="shared" si="11"/>
        <v/>
      </c>
    </row>
    <row r="95" spans="1:34" ht="1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29" t="str">
        <f t="shared" si="12"/>
        <v/>
      </c>
      <c r="Q95" s="30"/>
      <c r="R95" s="31"/>
      <c r="S95" s="68"/>
      <c r="T95" s="40"/>
      <c r="U95" s="38"/>
      <c r="V95" s="74"/>
      <c r="W95" s="34" t="str">
        <f t="shared" si="13"/>
        <v>FALSE</v>
      </c>
      <c r="X95" s="34" t="str">
        <f t="shared" si="9"/>
        <v>FALSE</v>
      </c>
      <c r="Y95" s="35">
        <f t="shared" si="14"/>
        <v>0</v>
      </c>
      <c r="Z95" s="36" t="str">
        <f t="shared" si="15"/>
        <v/>
      </c>
      <c r="AA95" s="6"/>
      <c r="AB95" s="41"/>
      <c r="AC95" s="38"/>
      <c r="AD95" s="38"/>
      <c r="AE95" s="34"/>
      <c r="AF95" s="34" t="str">
        <f t="shared" si="16"/>
        <v>FALSE</v>
      </c>
      <c r="AG95" s="35">
        <f t="shared" si="10"/>
        <v>0</v>
      </c>
      <c r="AH95" s="36" t="str">
        <f t="shared" si="11"/>
        <v/>
      </c>
    </row>
    <row r="96" spans="1:34" ht="1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29" t="str">
        <f t="shared" si="12"/>
        <v/>
      </c>
      <c r="Q96" s="30"/>
      <c r="R96" s="31"/>
      <c r="S96" s="68"/>
      <c r="T96" s="40"/>
      <c r="U96" s="38"/>
      <c r="V96" s="74"/>
      <c r="W96" s="34" t="str">
        <f t="shared" si="13"/>
        <v>FALSE</v>
      </c>
      <c r="X96" s="34" t="str">
        <f t="shared" si="9"/>
        <v>FALSE</v>
      </c>
      <c r="Y96" s="35">
        <f t="shared" si="14"/>
        <v>0</v>
      </c>
      <c r="Z96" s="36" t="str">
        <f t="shared" si="15"/>
        <v/>
      </c>
      <c r="AA96" s="6"/>
      <c r="AB96" s="41"/>
      <c r="AC96" s="38"/>
      <c r="AD96" s="38"/>
      <c r="AE96" s="34"/>
      <c r="AF96" s="34" t="str">
        <f t="shared" si="16"/>
        <v>FALSE</v>
      </c>
      <c r="AG96" s="35">
        <f t="shared" si="10"/>
        <v>0</v>
      </c>
      <c r="AH96" s="36" t="str">
        <f t="shared" si="11"/>
        <v/>
      </c>
    </row>
    <row r="97" spans="1:34" ht="1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29" t="str">
        <f t="shared" si="12"/>
        <v/>
      </c>
      <c r="Q97" s="30"/>
      <c r="R97" s="31"/>
      <c r="S97" s="68"/>
      <c r="T97" s="40"/>
      <c r="U97" s="38"/>
      <c r="V97" s="74"/>
      <c r="W97" s="34" t="str">
        <f t="shared" si="13"/>
        <v>FALSE</v>
      </c>
      <c r="X97" s="34" t="str">
        <f t="shared" si="9"/>
        <v>FALSE</v>
      </c>
      <c r="Y97" s="35">
        <f t="shared" si="14"/>
        <v>0</v>
      </c>
      <c r="Z97" s="36" t="str">
        <f t="shared" si="15"/>
        <v/>
      </c>
      <c r="AA97" s="6"/>
      <c r="AB97" s="41"/>
      <c r="AC97" s="38"/>
      <c r="AD97" s="38"/>
      <c r="AE97" s="34"/>
      <c r="AF97" s="34" t="str">
        <f t="shared" si="16"/>
        <v>FALSE</v>
      </c>
      <c r="AG97" s="35">
        <f t="shared" si="10"/>
        <v>0</v>
      </c>
      <c r="AH97" s="36" t="str">
        <f t="shared" si="11"/>
        <v/>
      </c>
    </row>
    <row r="98" spans="1:34" ht="1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29" t="str">
        <f t="shared" si="12"/>
        <v/>
      </c>
      <c r="Q98" s="30"/>
      <c r="R98" s="31"/>
      <c r="S98" s="68"/>
      <c r="T98" s="40"/>
      <c r="U98" s="38"/>
      <c r="V98" s="74"/>
      <c r="W98" s="34" t="str">
        <f t="shared" si="13"/>
        <v>FALSE</v>
      </c>
      <c r="X98" s="34" t="str">
        <f t="shared" si="9"/>
        <v>FALSE</v>
      </c>
      <c r="Y98" s="35">
        <f t="shared" si="14"/>
        <v>0</v>
      </c>
      <c r="Z98" s="36" t="str">
        <f t="shared" si="15"/>
        <v/>
      </c>
      <c r="AA98" s="6"/>
      <c r="AB98" s="41"/>
      <c r="AC98" s="38"/>
      <c r="AD98" s="38"/>
      <c r="AE98" s="34"/>
      <c r="AF98" s="34" t="str">
        <f t="shared" si="16"/>
        <v>FALSE</v>
      </c>
      <c r="AG98" s="35">
        <f t="shared" si="10"/>
        <v>0</v>
      </c>
      <c r="AH98" s="36" t="str">
        <f t="shared" si="11"/>
        <v/>
      </c>
    </row>
    <row r="99" spans="1:34" ht="1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29" t="str">
        <f t="shared" si="12"/>
        <v/>
      </c>
      <c r="Q99" s="30"/>
      <c r="R99" s="31"/>
      <c r="S99" s="68"/>
      <c r="T99" s="40"/>
      <c r="U99" s="38"/>
      <c r="V99" s="74"/>
      <c r="W99" s="34" t="str">
        <f t="shared" si="13"/>
        <v>FALSE</v>
      </c>
      <c r="X99" s="34" t="str">
        <f t="shared" si="9"/>
        <v>FALSE</v>
      </c>
      <c r="Y99" s="35">
        <f t="shared" si="14"/>
        <v>0</v>
      </c>
      <c r="Z99" s="36" t="str">
        <f t="shared" si="15"/>
        <v/>
      </c>
      <c r="AA99" s="6"/>
      <c r="AB99" s="41"/>
      <c r="AC99" s="38"/>
      <c r="AD99" s="38"/>
      <c r="AE99" s="34"/>
      <c r="AF99" s="34" t="str">
        <f t="shared" si="16"/>
        <v>FALSE</v>
      </c>
      <c r="AG99" s="35">
        <f t="shared" si="10"/>
        <v>0</v>
      </c>
      <c r="AH99" s="36" t="str">
        <f t="shared" si="11"/>
        <v/>
      </c>
    </row>
    <row r="100" spans="1:34" ht="1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29" t="str">
        <f t="shared" si="12"/>
        <v/>
      </c>
      <c r="Q100" s="30"/>
      <c r="R100" s="31"/>
      <c r="S100" s="68"/>
      <c r="T100" s="40"/>
      <c r="U100" s="38"/>
      <c r="V100" s="74"/>
      <c r="W100" s="34" t="str">
        <f t="shared" si="13"/>
        <v>FALSE</v>
      </c>
      <c r="X100" s="34" t="str">
        <f t="shared" si="9"/>
        <v>FALSE</v>
      </c>
      <c r="Y100" s="35">
        <f t="shared" si="14"/>
        <v>0</v>
      </c>
      <c r="Z100" s="36" t="str">
        <f t="shared" si="15"/>
        <v/>
      </c>
      <c r="AA100" s="6"/>
      <c r="AB100" s="41"/>
      <c r="AC100" s="38"/>
      <c r="AD100" s="38"/>
      <c r="AE100" s="34"/>
      <c r="AF100" s="34" t="str">
        <f t="shared" si="16"/>
        <v>FALSE</v>
      </c>
      <c r="AG100" s="35">
        <f t="shared" si="10"/>
        <v>0</v>
      </c>
      <c r="AH100" s="36" t="str">
        <f t="shared" si="11"/>
        <v/>
      </c>
    </row>
    <row r="101" spans="1:34" ht="1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29" t="str">
        <f t="shared" si="12"/>
        <v/>
      </c>
      <c r="Q101" s="30"/>
      <c r="R101" s="31"/>
      <c r="S101" s="68"/>
      <c r="T101" s="40"/>
      <c r="U101" s="38"/>
      <c r="V101" s="74"/>
      <c r="W101" s="34" t="str">
        <f t="shared" si="13"/>
        <v>FALSE</v>
      </c>
      <c r="X101" s="34" t="str">
        <f t="shared" si="9"/>
        <v>FALSE</v>
      </c>
      <c r="Y101" s="35">
        <f t="shared" si="14"/>
        <v>0</v>
      </c>
      <c r="Z101" s="36" t="str">
        <f t="shared" si="15"/>
        <v/>
      </c>
      <c r="AA101" s="6"/>
      <c r="AB101" s="41"/>
      <c r="AC101" s="38"/>
      <c r="AD101" s="38"/>
      <c r="AE101" s="34"/>
      <c r="AF101" s="34" t="str">
        <f t="shared" si="16"/>
        <v>FALSE</v>
      </c>
      <c r="AG101" s="35">
        <f t="shared" si="10"/>
        <v>0</v>
      </c>
      <c r="AH101" s="36" t="str">
        <f t="shared" si="11"/>
        <v/>
      </c>
    </row>
    <row r="102" spans="1:34" ht="1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29" t="str">
        <f t="shared" si="12"/>
        <v/>
      </c>
      <c r="Q102" s="30"/>
      <c r="R102" s="31"/>
      <c r="S102" s="68"/>
      <c r="T102" s="40"/>
      <c r="U102" s="38"/>
      <c r="V102" s="74"/>
      <c r="W102" s="34" t="str">
        <f t="shared" si="13"/>
        <v>FALSE</v>
      </c>
      <c r="X102" s="34" t="str">
        <f t="shared" si="9"/>
        <v>FALSE</v>
      </c>
      <c r="Y102" s="35">
        <f t="shared" si="14"/>
        <v>0</v>
      </c>
      <c r="Z102" s="36" t="str">
        <f t="shared" si="15"/>
        <v/>
      </c>
      <c r="AA102" s="6"/>
      <c r="AB102" s="41"/>
      <c r="AC102" s="38"/>
      <c r="AD102" s="38"/>
      <c r="AE102" s="34"/>
      <c r="AF102" s="34" t="str">
        <f t="shared" si="16"/>
        <v>FALSE</v>
      </c>
      <c r="AG102" s="35">
        <f t="shared" si="10"/>
        <v>0</v>
      </c>
      <c r="AH102" s="36" t="str">
        <f t="shared" si="11"/>
        <v/>
      </c>
    </row>
    <row r="103" spans="1:34" ht="1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29" t="str">
        <f t="shared" si="12"/>
        <v/>
      </c>
      <c r="Q103" s="30"/>
      <c r="R103" s="31"/>
      <c r="S103" s="68"/>
      <c r="T103" s="40"/>
      <c r="U103" s="38"/>
      <c r="V103" s="74"/>
      <c r="W103" s="34" t="str">
        <f t="shared" si="13"/>
        <v>FALSE</v>
      </c>
      <c r="X103" s="34" t="str">
        <f t="shared" si="9"/>
        <v>FALSE</v>
      </c>
      <c r="Y103" s="35">
        <f t="shared" si="14"/>
        <v>0</v>
      </c>
      <c r="Z103" s="36" t="str">
        <f t="shared" si="15"/>
        <v/>
      </c>
      <c r="AA103" s="6"/>
      <c r="AB103" s="41"/>
      <c r="AC103" s="38"/>
      <c r="AD103" s="38"/>
      <c r="AE103" s="34"/>
      <c r="AF103" s="34" t="str">
        <f t="shared" si="16"/>
        <v>FALSE</v>
      </c>
      <c r="AG103" s="35">
        <f t="shared" si="10"/>
        <v>0</v>
      </c>
      <c r="AH103" s="36" t="str">
        <f t="shared" si="11"/>
        <v/>
      </c>
    </row>
    <row r="104" spans="1:34" ht="1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29" t="str">
        <f t="shared" si="12"/>
        <v/>
      </c>
      <c r="Q104" s="30"/>
      <c r="R104" s="31"/>
      <c r="S104" s="68"/>
      <c r="T104" s="40"/>
      <c r="U104" s="38"/>
      <c r="V104" s="74"/>
      <c r="W104" s="34" t="str">
        <f t="shared" si="13"/>
        <v>FALSE</v>
      </c>
      <c r="X104" s="34" t="str">
        <f t="shared" si="9"/>
        <v>FALSE</v>
      </c>
      <c r="Y104" s="35">
        <f t="shared" si="14"/>
        <v>0</v>
      </c>
      <c r="Z104" s="36" t="str">
        <f t="shared" si="15"/>
        <v/>
      </c>
      <c r="AA104" s="6"/>
      <c r="AB104" s="41"/>
      <c r="AC104" s="38"/>
      <c r="AD104" s="38"/>
      <c r="AE104" s="34"/>
      <c r="AF104" s="34" t="str">
        <f t="shared" si="16"/>
        <v>FALSE</v>
      </c>
      <c r="AG104" s="35">
        <f t="shared" si="10"/>
        <v>0</v>
      </c>
      <c r="AH104" s="36" t="str">
        <f t="shared" si="11"/>
        <v/>
      </c>
    </row>
    <row r="105" spans="1:34" ht="1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29" t="str">
        <f t="shared" si="12"/>
        <v/>
      </c>
      <c r="Q105" s="30"/>
      <c r="R105" s="31"/>
      <c r="S105" s="68"/>
      <c r="T105" s="40"/>
      <c r="U105" s="38"/>
      <c r="V105" s="74"/>
      <c r="W105" s="34" t="str">
        <f t="shared" si="13"/>
        <v>FALSE</v>
      </c>
      <c r="X105" s="34" t="str">
        <f t="shared" si="9"/>
        <v>FALSE</v>
      </c>
      <c r="Y105" s="35">
        <f t="shared" si="14"/>
        <v>0</v>
      </c>
      <c r="Z105" s="36" t="str">
        <f t="shared" si="15"/>
        <v/>
      </c>
      <c r="AA105" s="6"/>
      <c r="AB105" s="41"/>
      <c r="AC105" s="38"/>
      <c r="AD105" s="38"/>
      <c r="AE105" s="34"/>
      <c r="AF105" s="34" t="str">
        <f t="shared" si="16"/>
        <v>FALSE</v>
      </c>
      <c r="AG105" s="35">
        <f t="shared" si="10"/>
        <v>0</v>
      </c>
      <c r="AH105" s="36" t="str">
        <f t="shared" si="11"/>
        <v/>
      </c>
    </row>
    <row r="106" spans="1:34" ht="1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29" t="str">
        <f t="shared" si="12"/>
        <v/>
      </c>
      <c r="Q106" s="30"/>
      <c r="R106" s="31"/>
      <c r="S106" s="68"/>
      <c r="T106" s="40"/>
      <c r="U106" s="38"/>
      <c r="V106" s="74"/>
      <c r="W106" s="34" t="str">
        <f t="shared" si="13"/>
        <v>FALSE</v>
      </c>
      <c r="X106" s="34" t="str">
        <f t="shared" si="9"/>
        <v>FALSE</v>
      </c>
      <c r="Y106" s="35">
        <f t="shared" si="14"/>
        <v>0</v>
      </c>
      <c r="Z106" s="36" t="str">
        <f t="shared" si="15"/>
        <v/>
      </c>
      <c r="AA106" s="6"/>
      <c r="AB106" s="41"/>
      <c r="AC106" s="38"/>
      <c r="AD106" s="38"/>
      <c r="AE106" s="34"/>
      <c r="AF106" s="34" t="str">
        <f t="shared" si="16"/>
        <v>FALSE</v>
      </c>
      <c r="AG106" s="35">
        <f t="shared" si="10"/>
        <v>0</v>
      </c>
      <c r="AH106" s="36" t="str">
        <f t="shared" si="11"/>
        <v/>
      </c>
    </row>
    <row r="107" spans="1:34" ht="1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29" t="str">
        <f t="shared" si="12"/>
        <v/>
      </c>
      <c r="Q107" s="30"/>
      <c r="R107" s="31"/>
      <c r="S107" s="68"/>
      <c r="T107" s="40"/>
      <c r="U107" s="38"/>
      <c r="V107" s="74"/>
      <c r="W107" s="34" t="str">
        <f t="shared" si="13"/>
        <v>FALSE</v>
      </c>
      <c r="X107" s="34" t="str">
        <f t="shared" si="9"/>
        <v>FALSE</v>
      </c>
      <c r="Y107" s="35">
        <f t="shared" si="14"/>
        <v>0</v>
      </c>
      <c r="Z107" s="36" t="str">
        <f t="shared" si="15"/>
        <v/>
      </c>
      <c r="AA107" s="6"/>
      <c r="AB107" s="41"/>
      <c r="AC107" s="38"/>
      <c r="AD107" s="38"/>
      <c r="AE107" s="34"/>
      <c r="AF107" s="34" t="str">
        <f t="shared" si="16"/>
        <v>FALSE</v>
      </c>
      <c r="AG107" s="35">
        <f t="shared" si="10"/>
        <v>0</v>
      </c>
      <c r="AH107" s="36" t="str">
        <f t="shared" si="11"/>
        <v/>
      </c>
    </row>
    <row r="108" spans="1:34" ht="1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29" t="str">
        <f t="shared" si="12"/>
        <v/>
      </c>
      <c r="Q108" s="30"/>
      <c r="R108" s="31"/>
      <c r="S108" s="68"/>
      <c r="T108" s="40"/>
      <c r="U108" s="38"/>
      <c r="V108" s="74"/>
      <c r="W108" s="34" t="str">
        <f t="shared" si="13"/>
        <v>FALSE</v>
      </c>
      <c r="X108" s="34" t="str">
        <f t="shared" si="9"/>
        <v>FALSE</v>
      </c>
      <c r="Y108" s="35">
        <f t="shared" si="14"/>
        <v>0</v>
      </c>
      <c r="Z108" s="36" t="str">
        <f t="shared" si="15"/>
        <v/>
      </c>
      <c r="AA108" s="6"/>
      <c r="AB108" s="41"/>
      <c r="AC108" s="38"/>
      <c r="AD108" s="38"/>
      <c r="AE108" s="34"/>
      <c r="AF108" s="34" t="str">
        <f t="shared" si="16"/>
        <v>FALSE</v>
      </c>
      <c r="AG108" s="35">
        <f t="shared" si="10"/>
        <v>0</v>
      </c>
      <c r="AH108" s="36" t="str">
        <f t="shared" si="11"/>
        <v/>
      </c>
    </row>
    <row r="109" spans="1:34" ht="1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29" t="str">
        <f t="shared" si="12"/>
        <v/>
      </c>
      <c r="Q109" s="30"/>
      <c r="R109" s="31"/>
      <c r="S109" s="68"/>
      <c r="T109" s="40"/>
      <c r="U109" s="38"/>
      <c r="V109" s="74"/>
      <c r="W109" s="34" t="str">
        <f t="shared" si="13"/>
        <v>FALSE</v>
      </c>
      <c r="X109" s="34" t="str">
        <f t="shared" si="9"/>
        <v>FALSE</v>
      </c>
      <c r="Y109" s="35">
        <f t="shared" si="14"/>
        <v>0</v>
      </c>
      <c r="Z109" s="36" t="str">
        <f t="shared" si="15"/>
        <v/>
      </c>
      <c r="AA109" s="6"/>
      <c r="AB109" s="41"/>
      <c r="AC109" s="38"/>
      <c r="AD109" s="38"/>
      <c r="AE109" s="34"/>
      <c r="AF109" s="34" t="str">
        <f t="shared" si="16"/>
        <v>FALSE</v>
      </c>
      <c r="AG109" s="35">
        <f t="shared" si="10"/>
        <v>0</v>
      </c>
      <c r="AH109" s="36" t="str">
        <f t="shared" si="11"/>
        <v/>
      </c>
    </row>
    <row r="110" spans="1:34" ht="1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29" t="str">
        <f t="shared" si="12"/>
        <v/>
      </c>
      <c r="Q110" s="30"/>
      <c r="R110" s="31"/>
      <c r="S110" s="68"/>
      <c r="T110" s="40"/>
      <c r="U110" s="38"/>
      <c r="V110" s="74"/>
      <c r="W110" s="34" t="str">
        <f t="shared" si="13"/>
        <v>FALSE</v>
      </c>
      <c r="X110" s="34" t="str">
        <f t="shared" si="9"/>
        <v>FALSE</v>
      </c>
      <c r="Y110" s="35">
        <f t="shared" si="14"/>
        <v>0</v>
      </c>
      <c r="Z110" s="36" t="str">
        <f t="shared" si="15"/>
        <v/>
      </c>
      <c r="AA110" s="6"/>
      <c r="AB110" s="41"/>
      <c r="AC110" s="38"/>
      <c r="AD110" s="38"/>
      <c r="AE110" s="34"/>
      <c r="AF110" s="34" t="str">
        <f t="shared" si="16"/>
        <v>FALSE</v>
      </c>
      <c r="AG110" s="35">
        <f t="shared" si="10"/>
        <v>0</v>
      </c>
      <c r="AH110" s="36" t="str">
        <f t="shared" si="11"/>
        <v/>
      </c>
    </row>
    <row r="111" spans="1:34" ht="1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29" t="str">
        <f t="shared" si="12"/>
        <v/>
      </c>
      <c r="Q111" s="30"/>
      <c r="R111" s="31"/>
      <c r="S111" s="68"/>
      <c r="T111" s="40"/>
      <c r="U111" s="38"/>
      <c r="V111" s="74"/>
      <c r="W111" s="34" t="str">
        <f t="shared" si="13"/>
        <v>FALSE</v>
      </c>
      <c r="X111" s="34" t="str">
        <f t="shared" si="9"/>
        <v>FALSE</v>
      </c>
      <c r="Y111" s="35">
        <f t="shared" si="14"/>
        <v>0</v>
      </c>
      <c r="Z111" s="36" t="str">
        <f t="shared" si="15"/>
        <v/>
      </c>
      <c r="AA111" s="6"/>
      <c r="AB111" s="41"/>
      <c r="AC111" s="38"/>
      <c r="AD111" s="38"/>
      <c r="AE111" s="34"/>
      <c r="AF111" s="34" t="str">
        <f t="shared" si="16"/>
        <v>FALSE</v>
      </c>
      <c r="AG111" s="35">
        <f t="shared" si="10"/>
        <v>0</v>
      </c>
      <c r="AH111" s="36" t="str">
        <f t="shared" si="11"/>
        <v/>
      </c>
    </row>
    <row r="112" spans="1:34" ht="1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29" t="str">
        <f t="shared" si="12"/>
        <v/>
      </c>
      <c r="Q112" s="30"/>
      <c r="R112" s="31"/>
      <c r="S112" s="68"/>
      <c r="T112" s="40"/>
      <c r="U112" s="38"/>
      <c r="V112" s="74"/>
      <c r="W112" s="34" t="str">
        <f t="shared" si="13"/>
        <v>FALSE</v>
      </c>
      <c r="X112" s="34" t="str">
        <f t="shared" si="9"/>
        <v>FALSE</v>
      </c>
      <c r="Y112" s="35">
        <f t="shared" si="14"/>
        <v>0</v>
      </c>
      <c r="Z112" s="36" t="str">
        <f t="shared" si="15"/>
        <v/>
      </c>
      <c r="AA112" s="6"/>
      <c r="AB112" s="41"/>
      <c r="AC112" s="38"/>
      <c r="AD112" s="38"/>
      <c r="AE112" s="34"/>
      <c r="AF112" s="34" t="str">
        <f t="shared" si="16"/>
        <v>FALSE</v>
      </c>
      <c r="AG112" s="35">
        <f t="shared" si="10"/>
        <v>0</v>
      </c>
      <c r="AH112" s="36" t="str">
        <f t="shared" si="11"/>
        <v/>
      </c>
    </row>
    <row r="113" spans="1:34" ht="1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29" t="str">
        <f t="shared" si="12"/>
        <v/>
      </c>
      <c r="Q113" s="30"/>
      <c r="R113" s="31"/>
      <c r="S113" s="68"/>
      <c r="T113" s="40"/>
      <c r="U113" s="38"/>
      <c r="V113" s="74"/>
      <c r="W113" s="34" t="str">
        <f t="shared" si="13"/>
        <v>FALSE</v>
      </c>
      <c r="X113" s="34" t="str">
        <f t="shared" si="9"/>
        <v>FALSE</v>
      </c>
      <c r="Y113" s="35">
        <f t="shared" si="14"/>
        <v>0</v>
      </c>
      <c r="Z113" s="36" t="str">
        <f t="shared" si="15"/>
        <v/>
      </c>
      <c r="AA113" s="6"/>
      <c r="AB113" s="41"/>
      <c r="AC113" s="38"/>
      <c r="AD113" s="38"/>
      <c r="AE113" s="34"/>
      <c r="AF113" s="34" t="str">
        <f t="shared" si="16"/>
        <v>FALSE</v>
      </c>
      <c r="AG113" s="35">
        <f t="shared" si="10"/>
        <v>0</v>
      </c>
      <c r="AH113" s="36" t="str">
        <f t="shared" si="11"/>
        <v/>
      </c>
    </row>
    <row r="114" spans="1:34" ht="1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29" t="str">
        <f t="shared" si="12"/>
        <v/>
      </c>
      <c r="Q114" s="30"/>
      <c r="R114" s="31"/>
      <c r="S114" s="68"/>
      <c r="T114" s="40"/>
      <c r="U114" s="38"/>
      <c r="V114" s="74"/>
      <c r="W114" s="34" t="str">
        <f t="shared" si="13"/>
        <v>FALSE</v>
      </c>
      <c r="X114" s="34" t="str">
        <f t="shared" si="9"/>
        <v>FALSE</v>
      </c>
      <c r="Y114" s="35">
        <f t="shared" si="14"/>
        <v>0</v>
      </c>
      <c r="Z114" s="36" t="str">
        <f t="shared" si="15"/>
        <v/>
      </c>
      <c r="AA114" s="6"/>
      <c r="AB114" s="41"/>
      <c r="AC114" s="38"/>
      <c r="AD114" s="38"/>
      <c r="AE114" s="34"/>
      <c r="AF114" s="34" t="str">
        <f t="shared" si="16"/>
        <v>FALSE</v>
      </c>
      <c r="AG114" s="35">
        <f t="shared" si="10"/>
        <v>0</v>
      </c>
      <c r="AH114" s="36" t="str">
        <f t="shared" si="11"/>
        <v/>
      </c>
    </row>
    <row r="115" spans="1:34" ht="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29" t="str">
        <f t="shared" si="12"/>
        <v/>
      </c>
      <c r="Q115" s="30"/>
      <c r="R115" s="31"/>
      <c r="S115" s="68"/>
      <c r="T115" s="40"/>
      <c r="U115" s="38"/>
      <c r="V115" s="74"/>
      <c r="W115" s="34" t="str">
        <f t="shared" si="13"/>
        <v>FALSE</v>
      </c>
      <c r="X115" s="34" t="str">
        <f t="shared" si="9"/>
        <v>FALSE</v>
      </c>
      <c r="Y115" s="35">
        <f t="shared" si="14"/>
        <v>0</v>
      </c>
      <c r="Z115" s="36" t="str">
        <f t="shared" si="15"/>
        <v/>
      </c>
      <c r="AA115" s="6"/>
      <c r="AB115" s="41"/>
      <c r="AC115" s="38"/>
      <c r="AD115" s="38"/>
      <c r="AE115" s="34"/>
      <c r="AF115" s="34" t="str">
        <f t="shared" si="16"/>
        <v>FALSE</v>
      </c>
      <c r="AG115" s="35">
        <f t="shared" si="10"/>
        <v>0</v>
      </c>
      <c r="AH115" s="36" t="str">
        <f t="shared" si="11"/>
        <v/>
      </c>
    </row>
    <row r="116" spans="1:34" ht="1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29" t="str">
        <f t="shared" si="12"/>
        <v/>
      </c>
      <c r="Q116" s="30"/>
      <c r="R116" s="31"/>
      <c r="S116" s="68"/>
      <c r="T116" s="40"/>
      <c r="U116" s="38"/>
      <c r="V116" s="74"/>
      <c r="W116" s="34" t="str">
        <f t="shared" si="13"/>
        <v>FALSE</v>
      </c>
      <c r="X116" s="34" t="str">
        <f t="shared" si="9"/>
        <v>FALSE</v>
      </c>
      <c r="Y116" s="35">
        <f t="shared" si="14"/>
        <v>0</v>
      </c>
      <c r="Z116" s="36" t="str">
        <f t="shared" si="15"/>
        <v/>
      </c>
      <c r="AA116" s="6"/>
      <c r="AB116" s="41"/>
      <c r="AC116" s="38"/>
      <c r="AD116" s="38"/>
      <c r="AE116" s="34"/>
      <c r="AF116" s="34" t="str">
        <f t="shared" si="16"/>
        <v>FALSE</v>
      </c>
      <c r="AG116" s="35">
        <f t="shared" si="10"/>
        <v>0</v>
      </c>
      <c r="AH116" s="36" t="str">
        <f t="shared" si="11"/>
        <v/>
      </c>
    </row>
    <row r="117" spans="1:34" ht="1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29" t="str">
        <f t="shared" si="12"/>
        <v/>
      </c>
      <c r="Q117" s="30"/>
      <c r="R117" s="31"/>
      <c r="S117" s="68"/>
      <c r="T117" s="40"/>
      <c r="U117" s="38"/>
      <c r="V117" s="74"/>
      <c r="W117" s="34" t="str">
        <f t="shared" si="13"/>
        <v>FALSE</v>
      </c>
      <c r="X117" s="34" t="str">
        <f t="shared" si="9"/>
        <v>FALSE</v>
      </c>
      <c r="Y117" s="35">
        <f t="shared" si="14"/>
        <v>0</v>
      </c>
      <c r="Z117" s="36" t="str">
        <f t="shared" si="15"/>
        <v/>
      </c>
      <c r="AA117" s="6"/>
      <c r="AB117" s="41"/>
      <c r="AC117" s="38"/>
      <c r="AD117" s="38"/>
      <c r="AE117" s="34"/>
      <c r="AF117" s="34" t="str">
        <f t="shared" si="16"/>
        <v>FALSE</v>
      </c>
      <c r="AG117" s="35">
        <f t="shared" si="10"/>
        <v>0</v>
      </c>
      <c r="AH117" s="36" t="str">
        <f t="shared" si="11"/>
        <v/>
      </c>
    </row>
    <row r="118" spans="1:34" ht="1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29" t="str">
        <f t="shared" si="12"/>
        <v/>
      </c>
      <c r="Q118" s="30"/>
      <c r="R118" s="31"/>
      <c r="S118" s="68"/>
      <c r="T118" s="40"/>
      <c r="U118" s="38"/>
      <c r="V118" s="74"/>
      <c r="W118" s="34" t="str">
        <f t="shared" si="13"/>
        <v>FALSE</v>
      </c>
      <c r="X118" s="34" t="str">
        <f t="shared" si="9"/>
        <v>FALSE</v>
      </c>
      <c r="Y118" s="35">
        <f t="shared" si="14"/>
        <v>0</v>
      </c>
      <c r="Z118" s="36" t="str">
        <f t="shared" si="15"/>
        <v/>
      </c>
      <c r="AA118" s="6"/>
      <c r="AB118" s="41"/>
      <c r="AC118" s="38"/>
      <c r="AD118" s="38"/>
      <c r="AE118" s="34"/>
      <c r="AF118" s="34" t="str">
        <f t="shared" si="16"/>
        <v>FALSE</v>
      </c>
      <c r="AG118" s="35">
        <f t="shared" si="10"/>
        <v>0</v>
      </c>
      <c r="AH118" s="36" t="str">
        <f t="shared" si="11"/>
        <v/>
      </c>
    </row>
    <row r="119" spans="1:34" ht="1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29" t="str">
        <f t="shared" si="12"/>
        <v/>
      </c>
      <c r="Q119" s="30"/>
      <c r="R119" s="31"/>
      <c r="S119" s="68"/>
      <c r="T119" s="40"/>
      <c r="U119" s="38"/>
      <c r="V119" s="74"/>
      <c r="W119" s="34" t="str">
        <f t="shared" si="13"/>
        <v>FALSE</v>
      </c>
      <c r="X119" s="34" t="str">
        <f t="shared" si="9"/>
        <v>FALSE</v>
      </c>
      <c r="Y119" s="35">
        <f t="shared" si="14"/>
        <v>0</v>
      </c>
      <c r="Z119" s="36" t="str">
        <f t="shared" si="15"/>
        <v/>
      </c>
      <c r="AA119" s="6"/>
      <c r="AB119" s="41"/>
      <c r="AC119" s="38"/>
      <c r="AD119" s="38"/>
      <c r="AE119" s="34"/>
      <c r="AF119" s="34" t="str">
        <f t="shared" si="16"/>
        <v>FALSE</v>
      </c>
      <c r="AG119" s="35">
        <f t="shared" si="10"/>
        <v>0</v>
      </c>
      <c r="AH119" s="36" t="str">
        <f t="shared" si="11"/>
        <v/>
      </c>
    </row>
    <row r="120" spans="1:34" ht="1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29" t="str">
        <f t="shared" si="12"/>
        <v/>
      </c>
      <c r="Q120" s="30"/>
      <c r="R120" s="31"/>
      <c r="S120" s="68"/>
      <c r="T120" s="40"/>
      <c r="U120" s="38"/>
      <c r="V120" s="74"/>
      <c r="W120" s="34" t="str">
        <f t="shared" si="13"/>
        <v>FALSE</v>
      </c>
      <c r="X120" s="34" t="str">
        <f t="shared" si="9"/>
        <v>FALSE</v>
      </c>
      <c r="Y120" s="35">
        <f t="shared" si="14"/>
        <v>0</v>
      </c>
      <c r="Z120" s="36" t="str">
        <f t="shared" si="15"/>
        <v/>
      </c>
      <c r="AA120" s="6"/>
      <c r="AB120" s="41"/>
      <c r="AC120" s="38"/>
      <c r="AD120" s="38"/>
      <c r="AE120" s="34"/>
      <c r="AF120" s="34" t="str">
        <f t="shared" si="16"/>
        <v>FALSE</v>
      </c>
      <c r="AG120" s="35">
        <f t="shared" si="10"/>
        <v>0</v>
      </c>
      <c r="AH120" s="36" t="str">
        <f t="shared" si="11"/>
        <v/>
      </c>
    </row>
  </sheetData>
  <mergeCells count="11">
    <mergeCell ref="P6:U6"/>
    <mergeCell ref="X6:AA6"/>
    <mergeCell ref="Q8:Z8"/>
    <mergeCell ref="AB8:AH8"/>
    <mergeCell ref="D1:L2"/>
    <mergeCell ref="X2:AA2"/>
    <mergeCell ref="AC2:AG2"/>
    <mergeCell ref="P3:R3"/>
    <mergeCell ref="T3:U3"/>
    <mergeCell ref="X3:AA3"/>
    <mergeCell ref="AC3:AG3"/>
  </mergeCells>
  <conditionalFormatting sqref="U14:U120">
    <cfRule type="containsBlanks" dxfId="79" priority="1">
      <formula>LEN(TRIM(U14))=0</formula>
    </cfRule>
    <cfRule type="expression" dxfId="78" priority="2">
      <formula>AND(X14&gt;=2,X14&lt;3)</formula>
    </cfRule>
    <cfRule type="expression" dxfId="77" priority="3">
      <formula>X14&gt;3</formula>
    </cfRule>
  </conditionalFormatting>
  <conditionalFormatting sqref="W14:W120">
    <cfRule type="expression" dxfId="76" priority="15">
      <formula>X14="FALSE"</formula>
    </cfRule>
  </conditionalFormatting>
  <conditionalFormatting sqref="X14:X120">
    <cfRule type="expression" dxfId="75" priority="14">
      <formula>X14="FALSE"</formula>
    </cfRule>
    <cfRule type="expression" dxfId="74" priority="16">
      <formula>AND(X14&gt;2,X14&lt;3)</formula>
    </cfRule>
  </conditionalFormatting>
  <conditionalFormatting sqref="X14:Y50 X51:X120">
    <cfRule type="expression" dxfId="73" priority="20">
      <formula>X14&gt;=3</formula>
    </cfRule>
  </conditionalFormatting>
  <conditionalFormatting sqref="Y14:Y50">
    <cfRule type="expression" dxfId="72" priority="19">
      <formula>AND(X14&gt;=2,X14&lt;3)</formula>
    </cfRule>
  </conditionalFormatting>
  <conditionalFormatting sqref="Z14:Z120">
    <cfRule type="cellIs" dxfId="71" priority="17" operator="notBetween">
      <formula>0.8</formula>
      <formula>1.15</formula>
    </cfRule>
  </conditionalFormatting>
  <conditionalFormatting sqref="AC14:AC120">
    <cfRule type="containsBlanks" dxfId="70" priority="4">
      <formula>LEN(TRIM(AC14))=0</formula>
    </cfRule>
    <cfRule type="expression" dxfId="69" priority="5">
      <formula>AND(AF14&gt;=2,AF14&lt;3)</formula>
    </cfRule>
    <cfRule type="expression" dxfId="68" priority="6">
      <formula>AF14&gt;3</formula>
    </cfRule>
  </conditionalFormatting>
  <conditionalFormatting sqref="AE14:AE120">
    <cfRule type="expression" dxfId="67" priority="13">
      <formula>AF14="FALSE"</formula>
    </cfRule>
  </conditionalFormatting>
  <conditionalFormatting sqref="AF14:AF120">
    <cfRule type="expression" dxfId="66" priority="10">
      <formula>AF14="FALSE"</formula>
    </cfRule>
    <cfRule type="expression" dxfId="65" priority="11">
      <formula>AND(AF14&gt;2,AF14&lt;3)</formula>
    </cfRule>
    <cfRule type="expression" dxfId="64" priority="12">
      <formula>AF14&gt;=3</formula>
    </cfRule>
  </conditionalFormatting>
  <conditionalFormatting sqref="AG14:AG120">
    <cfRule type="expression" dxfId="63" priority="7">
      <formula>AF14=0</formula>
    </cfRule>
    <cfRule type="expression" dxfId="62" priority="8">
      <formula>AND(AF14&gt;=2,AF14&lt;3)</formula>
    </cfRule>
    <cfRule type="expression" dxfId="61" priority="9">
      <formula>AG14&gt;=3</formula>
    </cfRule>
  </conditionalFormatting>
  <conditionalFormatting sqref="AH14:AH120">
    <cfRule type="cellIs" dxfId="60" priority="18" operator="notBetween">
      <formula>0.8</formula>
      <formula>1.15</formula>
    </cfRule>
  </conditionalFormatting>
  <pageMargins left="0.4" right="0.4" top="0.4" bottom="0.4" header="0" footer="0"/>
  <pageSetup scale="10" fitToHeight="0" orientation="landscape" horizontalDpi="4294967292" verticalDpi="4294967292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8FEE3-EB0E-45BA-98C1-72FEFD3BB98B}">
  <sheetPr>
    <tabColor theme="8" tint="0.59999389629810485"/>
    <pageSetUpPr fitToPage="1"/>
  </sheetPr>
  <dimension ref="A1:AH120"/>
  <sheetViews>
    <sheetView showGridLines="0" topLeftCell="A3" zoomScale="70" zoomScaleNormal="70" workbookViewId="0">
      <selection activeCell="Q53" sqref="Q53:R53"/>
    </sheetView>
  </sheetViews>
  <sheetFormatPr defaultColWidth="11" defaultRowHeight="13.5" customHeight="1"/>
  <cols>
    <col min="1" max="2" width="3.125" style="12" customWidth="1"/>
    <col min="3" max="8" width="11" style="12"/>
    <col min="9" max="9" width="9" style="12" customWidth="1"/>
    <col min="10" max="13" width="11" style="12"/>
    <col min="14" max="15" width="4" style="12" customWidth="1"/>
    <col min="16" max="16" width="6.125" style="43" customWidth="1"/>
    <col min="17" max="17" width="13" style="12" customWidth="1"/>
    <col min="18" max="18" width="12.875" style="44" customWidth="1"/>
    <col min="19" max="19" width="3" style="44" customWidth="1"/>
    <col min="20" max="20" width="12" style="45" customWidth="1"/>
    <col min="21" max="21" width="14.875" style="8" customWidth="1"/>
    <col min="22" max="22" width="2.375" style="12" customWidth="1"/>
    <col min="23" max="23" width="12.875" style="6" customWidth="1"/>
    <col min="24" max="24" width="11.5" style="6" customWidth="1"/>
    <col min="25" max="25" width="13" style="12" customWidth="1"/>
    <col min="26" max="26" width="11.625" style="12" customWidth="1"/>
    <col min="27" max="27" width="9.125" style="12" customWidth="1"/>
    <col min="28" max="28" width="13.375" style="8" customWidth="1"/>
    <col min="29" max="29" width="13.75" style="12" customWidth="1"/>
    <col min="30" max="30" width="2" style="12" customWidth="1"/>
    <col min="31" max="31" width="12.75" style="12" customWidth="1"/>
    <col min="32" max="32" width="12.375" style="12" customWidth="1"/>
    <col min="33" max="33" width="13.125" style="12" customWidth="1"/>
    <col min="34" max="34" width="15.25" style="12" customWidth="1"/>
    <col min="35" max="16384" width="11" style="12"/>
  </cols>
  <sheetData>
    <row r="1" spans="1:34" s="7" customFormat="1" ht="31.5" customHeight="1">
      <c r="A1" s="1"/>
      <c r="B1" s="1"/>
      <c r="C1" s="1"/>
      <c r="D1" s="162" t="s">
        <v>113</v>
      </c>
      <c r="E1" s="162"/>
      <c r="F1" s="162"/>
      <c r="G1" s="162"/>
      <c r="H1" s="162"/>
      <c r="I1" s="162"/>
      <c r="J1" s="162"/>
      <c r="K1" s="162"/>
      <c r="L1" s="162"/>
      <c r="M1" s="1"/>
      <c r="N1" s="1"/>
      <c r="O1" s="1"/>
      <c r="P1" s="2"/>
      <c r="Q1" s="3" t="s">
        <v>74</v>
      </c>
      <c r="R1" s="4"/>
      <c r="S1" s="4"/>
      <c r="T1" s="4"/>
      <c r="U1" s="5"/>
      <c r="V1" s="6"/>
      <c r="W1" s="6"/>
      <c r="X1" s="6"/>
      <c r="Y1" s="5"/>
      <c r="Z1" s="5"/>
      <c r="AA1" s="5"/>
      <c r="AB1" s="5"/>
      <c r="AC1" s="5"/>
      <c r="AD1" s="5"/>
      <c r="AE1" s="5"/>
      <c r="AF1" s="5"/>
      <c r="AG1" s="5"/>
      <c r="AH1"/>
    </row>
    <row r="2" spans="1:34" ht="15.75" customHeight="1">
      <c r="A2" s="8"/>
      <c r="B2" s="8"/>
      <c r="C2" s="8"/>
      <c r="D2" s="162"/>
      <c r="E2" s="162"/>
      <c r="F2" s="162"/>
      <c r="G2" s="162"/>
      <c r="H2" s="162"/>
      <c r="I2" s="162"/>
      <c r="J2" s="162"/>
      <c r="K2" s="162"/>
      <c r="L2" s="162"/>
      <c r="M2" s="8"/>
      <c r="N2" s="8"/>
      <c r="O2" s="8"/>
      <c r="P2" s="9"/>
      <c r="Q2" s="10" t="s">
        <v>75</v>
      </c>
      <c r="R2" s="11"/>
      <c r="S2" s="11"/>
      <c r="T2" s="10" t="s">
        <v>76</v>
      </c>
      <c r="X2" s="163" t="s">
        <v>77</v>
      </c>
      <c r="Y2" s="163"/>
      <c r="Z2" s="163"/>
      <c r="AA2" s="163"/>
      <c r="AC2" s="163" t="s">
        <v>78</v>
      </c>
      <c r="AD2" s="163"/>
      <c r="AE2" s="163"/>
      <c r="AF2" s="163"/>
      <c r="AG2" s="163"/>
      <c r="AH2"/>
    </row>
    <row r="3" spans="1:34" ht="26.2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164">
        <f>MIN(R14:R16)</f>
        <v>45677</v>
      </c>
      <c r="Q3" s="165"/>
      <c r="R3" s="166"/>
      <c r="S3" s="65"/>
      <c r="T3" s="167">
        <f>MAX(R14:R116)</f>
        <v>46065</v>
      </c>
      <c r="U3" s="168"/>
      <c r="X3" s="164" t="s">
        <v>79</v>
      </c>
      <c r="Y3" s="165"/>
      <c r="Z3" s="165"/>
      <c r="AA3" s="168"/>
      <c r="AC3" s="169" t="s">
        <v>80</v>
      </c>
      <c r="AD3" s="170"/>
      <c r="AE3" s="170"/>
      <c r="AF3" s="170"/>
      <c r="AG3" s="171"/>
      <c r="AH3"/>
    </row>
    <row r="4" spans="1:34" ht="15.7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13"/>
      <c r="Q4" s="14"/>
      <c r="R4" s="15">
        <f>MIN(P14:P120)</f>
        <v>1</v>
      </c>
      <c r="S4" s="15"/>
      <c r="T4" s="16">
        <f>MAX(P14:P120)</f>
        <v>40</v>
      </c>
      <c r="U4" s="14"/>
      <c r="V4" s="6"/>
      <c r="X4" s="14"/>
      <c r="Y4" s="14"/>
      <c r="Z4" s="14"/>
      <c r="AA4" s="14"/>
      <c r="AB4"/>
      <c r="AC4" s="14"/>
      <c r="AD4" s="14"/>
      <c r="AE4" s="14"/>
      <c r="AF4" s="14"/>
      <c r="AH4" s="8"/>
    </row>
    <row r="5" spans="1:34" ht="20.2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17"/>
      <c r="Q5" s="17" t="s">
        <v>81</v>
      </c>
      <c r="R5" s="11"/>
      <c r="S5" s="11"/>
      <c r="T5" s="18"/>
      <c r="U5" s="17"/>
      <c r="V5" s="6"/>
      <c r="X5" s="17" t="s">
        <v>82</v>
      </c>
      <c r="Y5" s="17"/>
      <c r="Z5" s="17"/>
      <c r="AA5" s="14"/>
      <c r="AB5"/>
      <c r="AC5" s="10"/>
      <c r="AD5" s="10"/>
    </row>
    <row r="6" spans="1:34" ht="25.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158" t="s">
        <v>83</v>
      </c>
      <c r="Q6" s="158"/>
      <c r="R6" s="158"/>
      <c r="S6" s="158"/>
      <c r="T6" s="158"/>
      <c r="U6" s="158"/>
      <c r="V6" s="6"/>
      <c r="X6" s="159"/>
      <c r="Y6" s="159"/>
      <c r="Z6" s="159"/>
      <c r="AA6" s="159"/>
      <c r="AB6"/>
      <c r="AC6" s="6"/>
      <c r="AD6" s="6"/>
    </row>
    <row r="7" spans="1:34" ht="23.2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19"/>
      <c r="Q7" s="20" t="s">
        <v>84</v>
      </c>
      <c r="R7" s="21"/>
      <c r="S7" s="21"/>
      <c r="T7" s="22"/>
      <c r="V7" s="8"/>
      <c r="Y7" s="8"/>
      <c r="Z7" s="8"/>
      <c r="AA7" s="8"/>
      <c r="AC7" s="8"/>
      <c r="AD7" s="8"/>
      <c r="AE7" s="8"/>
      <c r="AF7" s="8"/>
      <c r="AG7" s="8"/>
      <c r="AH7" s="8"/>
    </row>
    <row r="8" spans="1:34" ht="31.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19"/>
      <c r="Q8" s="160" t="s">
        <v>85</v>
      </c>
      <c r="R8" s="160"/>
      <c r="S8" s="160"/>
      <c r="T8" s="160"/>
      <c r="U8" s="160"/>
      <c r="V8" s="160"/>
      <c r="W8" s="160"/>
      <c r="X8" s="160"/>
      <c r="Y8" s="160"/>
      <c r="Z8" s="160"/>
      <c r="AA8" s="6"/>
      <c r="AB8" s="161"/>
      <c r="AC8" s="161"/>
      <c r="AD8" s="161"/>
      <c r="AE8" s="161"/>
      <c r="AF8" s="161"/>
      <c r="AG8" s="161"/>
      <c r="AH8" s="161"/>
    </row>
    <row r="9" spans="1:34" customFormat="1" ht="11.25" customHeight="1" thickBot="1"/>
    <row r="10" spans="1:34" s="52" customFormat="1" ht="27.75" customHeight="1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Q10" s="73" t="s">
        <v>87</v>
      </c>
      <c r="R10" s="73" t="s">
        <v>88</v>
      </c>
      <c r="S10" s="66"/>
      <c r="T10" s="49" t="s">
        <v>89</v>
      </c>
      <c r="U10" s="46" t="s">
        <v>90</v>
      </c>
      <c r="V10" s="50"/>
      <c r="W10" s="47" t="s">
        <v>91</v>
      </c>
      <c r="X10" s="61" t="s">
        <v>92</v>
      </c>
      <c r="Y10" s="61" t="s">
        <v>93</v>
      </c>
      <c r="Z10" s="48" t="s">
        <v>94</v>
      </c>
      <c r="AA10" s="53"/>
      <c r="AB10" s="49" t="s">
        <v>95</v>
      </c>
      <c r="AC10" s="46" t="s">
        <v>90</v>
      </c>
      <c r="AE10" s="47" t="s">
        <v>91</v>
      </c>
      <c r="AF10" s="61" t="s">
        <v>92</v>
      </c>
      <c r="AG10" s="61" t="s">
        <v>93</v>
      </c>
      <c r="AH10" s="48" t="s">
        <v>94</v>
      </c>
    </row>
    <row r="11" spans="1:34" s="55" customFormat="1" ht="27.75" customHeight="1" thickBot="1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Q11" s="64">
        <f>IF(U11="","",1.15)</f>
        <v>1.1499999999999999</v>
      </c>
      <c r="R11" s="64">
        <f>IF(U11="","",0.8)</f>
        <v>0.8</v>
      </c>
      <c r="S11" s="67"/>
      <c r="T11" s="62">
        <f>_xlfn.STDEV.P($U$14:$U$120)/$U$11</f>
        <v>0.10627757933660366</v>
      </c>
      <c r="U11" s="63">
        <f>AVERAGE($W$14:$W$120)</f>
        <v>82.009302500000018</v>
      </c>
      <c r="V11" s="56"/>
      <c r="W11" s="60">
        <f>$U$11-(3*_xlfn.STDEV.S($W$14:$W$120))</f>
        <v>55.528952619832737</v>
      </c>
      <c r="X11" s="59">
        <f>$U$11-(2*_xlfn.STDEV.S($W$14:$W$120))</f>
        <v>64.355735913221835</v>
      </c>
      <c r="Y11" s="59">
        <f>$U$11+(2*_xlfn.STDEV.S($W$14:$W$120))</f>
        <v>99.662869086778201</v>
      </c>
      <c r="Z11" s="58">
        <f>$U$11+(3*_xlfn.STDEV.S($W$14:$W$120))</f>
        <v>108.4896523801673</v>
      </c>
      <c r="AA11" s="57"/>
      <c r="AB11" s="62">
        <f>_xlfn.STDEV.P($AC$14:$AC$120)/$AC$11</f>
        <v>0.1249067624753479</v>
      </c>
      <c r="AC11" s="63">
        <f>AVERAGE($AC$14:$AC$120)</f>
        <v>4.3113500000000009</v>
      </c>
      <c r="AE11" s="60">
        <f>$AC$11-(3*_xlfn.STDEV.S($AE$14:$AE$120))</f>
        <v>2.6752186003492868</v>
      </c>
      <c r="AF11" s="59">
        <f>$AC$11-(2*_xlfn.STDEV.S($AE$14:$AE$120))</f>
        <v>3.2205957335661912</v>
      </c>
      <c r="AG11" s="59">
        <f>$AC$11+(2*_xlfn.STDEV.S($AE$14:$AE$120))</f>
        <v>5.4021042664338106</v>
      </c>
      <c r="AH11" s="58">
        <f>$AC$11+(3*_xlfn.STDEV.S($AE$14:$AE$120))</f>
        <v>5.947481399650715</v>
      </c>
    </row>
    <row r="12" spans="1:34" ht="11.2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19"/>
      <c r="Q12" s="20"/>
      <c r="R12" s="21"/>
      <c r="S12" s="21"/>
      <c r="T12" s="22"/>
      <c r="V12" s="8"/>
      <c r="Y12" s="8"/>
      <c r="Z12" s="8"/>
      <c r="AA12" s="6"/>
      <c r="AC12" s="8"/>
      <c r="AD12" s="8"/>
      <c r="AE12" s="8"/>
      <c r="AF12" s="8"/>
      <c r="AG12" s="8"/>
      <c r="AH12" s="8"/>
    </row>
    <row r="13" spans="1:34" ht="4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70" t="s">
        <v>96</v>
      </c>
      <c r="Q13" s="71" t="s">
        <v>97</v>
      </c>
      <c r="R13" s="71" t="s">
        <v>98</v>
      </c>
      <c r="S13" s="69"/>
      <c r="T13" s="72" t="s">
        <v>99</v>
      </c>
      <c r="U13" s="71" t="s">
        <v>100</v>
      </c>
      <c r="V13" s="69"/>
      <c r="W13" s="75" t="s">
        <v>101</v>
      </c>
      <c r="X13" s="75" t="s">
        <v>102</v>
      </c>
      <c r="Y13" s="76" t="s">
        <v>103</v>
      </c>
      <c r="Z13" s="77" t="s">
        <v>104</v>
      </c>
      <c r="AA13" s="6"/>
      <c r="AB13" s="26" t="s">
        <v>99</v>
      </c>
      <c r="AC13" s="27" t="s">
        <v>100</v>
      </c>
      <c r="AD13" s="28"/>
      <c r="AE13" s="23" t="s">
        <v>101</v>
      </c>
      <c r="AF13" s="23" t="s">
        <v>102</v>
      </c>
      <c r="AG13" s="24" t="s">
        <v>105</v>
      </c>
      <c r="AH13" s="25" t="s">
        <v>104</v>
      </c>
    </row>
    <row r="14" spans="1:34" ht="1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29">
        <v>1</v>
      </c>
      <c r="Q14" s="30" t="s">
        <v>106</v>
      </c>
      <c r="R14" s="31">
        <v>45677</v>
      </c>
      <c r="S14" s="68"/>
      <c r="T14" s="32">
        <v>80.2</v>
      </c>
      <c r="U14" s="38">
        <v>89.442999999999998</v>
      </c>
      <c r="V14" s="74"/>
      <c r="W14" s="34">
        <f>IF(X14&gt;3,"FALSE",U14)</f>
        <v>89.442999999999998</v>
      </c>
      <c r="X14" s="34">
        <f t="shared" ref="X14:X77" si="0">IF(U14="","FALSE",ABS((U14-AVERAGE($U$14:$U$120))/_xlfn.STDEV.S($U$14:$U$104)))</f>
        <v>0.84217514500072987</v>
      </c>
      <c r="Y14" s="35" t="str">
        <f>IF(OR(U14&gt;$Y$11,U14&lt;$X$11),U14,"")</f>
        <v/>
      </c>
      <c r="Z14" s="36">
        <f>IF(U14="","",U14/T14)</f>
        <v>1.1152493765586033</v>
      </c>
      <c r="AA14" s="6"/>
      <c r="AB14" s="37">
        <v>4.25</v>
      </c>
      <c r="AC14" s="38">
        <v>3.3759999999999999</v>
      </c>
      <c r="AD14" s="38"/>
      <c r="AE14" s="34">
        <f>IF(AF14&gt;3,"FALSE",AC14)</f>
        <v>3.3759999999999999</v>
      </c>
      <c r="AF14" s="34">
        <f>IF(AC14="","FALSE",ABS((AC14-AVERAGE($AC$14:$AC$120))/_xlfn.STDEV.S($AC$14:$AC$104)))</f>
        <v>1.715051737653251</v>
      </c>
      <c r="AG14" s="35" t="str">
        <f t="shared" ref="AG14:AG77" si="1">IF(OR(AC14&gt;$AG$11,AC14&lt;$AF$11),AC14,"")</f>
        <v/>
      </c>
      <c r="AH14" s="36">
        <f t="shared" ref="AH14:AH77" si="2">IF(AC14="","",AC14/AB14)</f>
        <v>0.79435294117647059</v>
      </c>
    </row>
    <row r="15" spans="1:34" ht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29">
        <f t="shared" ref="P15:P78" si="3">IF(R15&lt;&gt;"",P14+1,"")</f>
        <v>2</v>
      </c>
      <c r="Q15" s="30" t="s">
        <v>106</v>
      </c>
      <c r="R15" s="31">
        <v>45677</v>
      </c>
      <c r="S15" s="68"/>
      <c r="T15" s="32">
        <v>80.2</v>
      </c>
      <c r="U15" s="38">
        <v>86.244</v>
      </c>
      <c r="V15" s="74"/>
      <c r="W15" s="34">
        <f t="shared" ref="W15:W78" si="4">IF(X15&gt;3,"FALSE",U15)</f>
        <v>86.244</v>
      </c>
      <c r="X15" s="34">
        <f t="shared" si="0"/>
        <v>0.47975546235190797</v>
      </c>
      <c r="Y15" s="35" t="str">
        <f t="shared" ref="Y15:Y78" si="5">IF(OR(U15&gt;$Y$11,U15&lt;$X$11),U15,"")</f>
        <v/>
      </c>
      <c r="Z15" s="36">
        <f t="shared" ref="Z15:Z78" si="6">IF(U15="","",U15/T15)</f>
        <v>1.0753615960099749</v>
      </c>
      <c r="AA15" s="6"/>
      <c r="AB15" s="37">
        <v>4.25</v>
      </c>
      <c r="AC15" s="38">
        <v>4.4720000000000004</v>
      </c>
      <c r="AD15" s="38"/>
      <c r="AE15" s="34">
        <f t="shared" ref="AE15:AE67" si="7">IF(AF15&gt;3,"FALSE",AC15)</f>
        <v>4.4720000000000004</v>
      </c>
      <c r="AF15" s="34">
        <f t="shared" ref="AF15:AF78" si="8">IF(AC15="","FALSE",ABS((AC15-AVERAGE($AC$14:$AC$120))/_xlfn.STDEV.S($AC$14:$AC$104)))</f>
        <v>0.29456680563852422</v>
      </c>
      <c r="AG15" s="35" t="str">
        <f t="shared" si="1"/>
        <v/>
      </c>
      <c r="AH15" s="36">
        <f t="shared" si="2"/>
        <v>1.0522352941176472</v>
      </c>
    </row>
    <row r="16" spans="1:34" ht="1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29">
        <f t="shared" si="3"/>
        <v>3</v>
      </c>
      <c r="Q16" s="30" t="s">
        <v>106</v>
      </c>
      <c r="R16" s="31">
        <v>45677</v>
      </c>
      <c r="S16" s="68"/>
      <c r="T16" s="32">
        <v>80.2</v>
      </c>
      <c r="U16" s="38">
        <v>82.123000000000005</v>
      </c>
      <c r="V16" s="74"/>
      <c r="W16" s="34">
        <f t="shared" si="4"/>
        <v>82.123000000000005</v>
      </c>
      <c r="X16" s="34">
        <f t="shared" si="0"/>
        <v>1.2880966510771974E-2</v>
      </c>
      <c r="Y16" s="35" t="str">
        <f t="shared" si="5"/>
        <v/>
      </c>
      <c r="Z16" s="36">
        <f t="shared" si="6"/>
        <v>1.0239775561097257</v>
      </c>
      <c r="AA16" s="6"/>
      <c r="AB16" s="37">
        <v>4.25</v>
      </c>
      <c r="AC16" s="38">
        <v>3.83</v>
      </c>
      <c r="AD16" s="38"/>
      <c r="AE16" s="34">
        <f t="shared" si="7"/>
        <v>3.83</v>
      </c>
      <c r="AF16" s="34">
        <f t="shared" si="8"/>
        <v>0.88260026077873832</v>
      </c>
      <c r="AG16" s="35" t="str">
        <f t="shared" si="1"/>
        <v/>
      </c>
      <c r="AH16" s="36">
        <f t="shared" si="2"/>
        <v>0.90117647058823536</v>
      </c>
    </row>
    <row r="17" spans="1:34" ht="1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29">
        <f t="shared" si="3"/>
        <v>4</v>
      </c>
      <c r="Q17" s="30" t="s">
        <v>106</v>
      </c>
      <c r="R17" s="31">
        <v>45677</v>
      </c>
      <c r="S17" s="68"/>
      <c r="T17" s="32">
        <v>80.2</v>
      </c>
      <c r="U17" s="38">
        <v>86.846999999999994</v>
      </c>
      <c r="V17" s="74"/>
      <c r="W17" s="34">
        <f t="shared" si="4"/>
        <v>86.846999999999994</v>
      </c>
      <c r="X17" s="34">
        <f t="shared" si="0"/>
        <v>0.54807026967833428</v>
      </c>
      <c r="Y17" s="35" t="str">
        <f t="shared" si="5"/>
        <v/>
      </c>
      <c r="Z17" s="36">
        <f t="shared" si="6"/>
        <v>1.0828802992518702</v>
      </c>
      <c r="AA17" s="6"/>
      <c r="AB17" s="37">
        <v>4.25</v>
      </c>
      <c r="AC17" s="38">
        <v>3.585</v>
      </c>
      <c r="AD17" s="38"/>
      <c r="AE17" s="34">
        <f t="shared" si="7"/>
        <v>3.585</v>
      </c>
      <c r="AF17" s="34">
        <f t="shared" si="8"/>
        <v>1.3318306833211515</v>
      </c>
      <c r="AG17" s="35" t="str">
        <f t="shared" si="1"/>
        <v/>
      </c>
      <c r="AH17" s="36">
        <f t="shared" si="2"/>
        <v>0.84352941176470586</v>
      </c>
    </row>
    <row r="18" spans="1:34" ht="1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29">
        <f t="shared" si="3"/>
        <v>5</v>
      </c>
      <c r="Q18" s="30" t="s">
        <v>106</v>
      </c>
      <c r="R18" s="31">
        <v>45677</v>
      </c>
      <c r="S18" s="68"/>
      <c r="T18" s="32">
        <v>80.2</v>
      </c>
      <c r="U18" s="38">
        <v>81.623999999999995</v>
      </c>
      <c r="V18" s="74"/>
      <c r="W18" s="34">
        <f t="shared" si="4"/>
        <v>81.623999999999995</v>
      </c>
      <c r="X18" s="34">
        <f t="shared" si="0"/>
        <v>4.365151915405005E-2</v>
      </c>
      <c r="Y18" s="35" t="str">
        <f t="shared" si="5"/>
        <v/>
      </c>
      <c r="Z18" s="36">
        <f t="shared" si="6"/>
        <v>1.0177556109725685</v>
      </c>
      <c r="AA18" s="6"/>
      <c r="AB18" s="37">
        <v>4.25</v>
      </c>
      <c r="AC18" s="38">
        <v>3.5960000000000001</v>
      </c>
      <c r="AD18" s="38"/>
      <c r="AE18" s="34">
        <f t="shared" si="7"/>
        <v>3.5960000000000001</v>
      </c>
      <c r="AF18" s="34">
        <f t="shared" si="8"/>
        <v>1.3116611541457777</v>
      </c>
      <c r="AG18" s="35" t="str">
        <f t="shared" si="1"/>
        <v/>
      </c>
      <c r="AH18" s="36">
        <f t="shared" si="2"/>
        <v>0.84611764705882353</v>
      </c>
    </row>
    <row r="19" spans="1:34" ht="1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29">
        <f t="shared" si="3"/>
        <v>6</v>
      </c>
      <c r="Q19" s="30" t="s">
        <v>106</v>
      </c>
      <c r="R19" s="31">
        <v>45678</v>
      </c>
      <c r="S19" s="68"/>
      <c r="T19" s="32">
        <v>80.2</v>
      </c>
      <c r="U19" s="38">
        <v>84.787999999999997</v>
      </c>
      <c r="V19" s="74"/>
      <c r="W19" s="34">
        <f t="shared" si="4"/>
        <v>84.787999999999997</v>
      </c>
      <c r="X19" s="34">
        <f t="shared" si="0"/>
        <v>0.31480295908942407</v>
      </c>
      <c r="Y19" s="35" t="str">
        <f t="shared" si="5"/>
        <v/>
      </c>
      <c r="Z19" s="36">
        <f t="shared" si="6"/>
        <v>1.0572069825436408</v>
      </c>
      <c r="AA19" s="6"/>
      <c r="AB19" s="37">
        <v>4.25</v>
      </c>
      <c r="AC19" s="38">
        <v>4.0279999999999996</v>
      </c>
      <c r="AD19" s="38"/>
      <c r="AE19" s="34">
        <f t="shared" si="7"/>
        <v>4.0279999999999996</v>
      </c>
      <c r="AF19" s="34">
        <f t="shared" si="8"/>
        <v>0.51954873562201365</v>
      </c>
      <c r="AG19" s="35" t="str">
        <f t="shared" si="1"/>
        <v/>
      </c>
      <c r="AH19" s="36">
        <f t="shared" si="2"/>
        <v>0.94776470588235284</v>
      </c>
    </row>
    <row r="20" spans="1:34" ht="1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29">
        <f t="shared" si="3"/>
        <v>7</v>
      </c>
      <c r="Q20" s="30" t="s">
        <v>106</v>
      </c>
      <c r="R20" s="31">
        <v>45678</v>
      </c>
      <c r="S20" s="68"/>
      <c r="T20" s="32">
        <v>80.2</v>
      </c>
      <c r="U20" s="38">
        <v>92.337000000000003</v>
      </c>
      <c r="V20" s="74"/>
      <c r="W20" s="34">
        <f t="shared" si="4"/>
        <v>92.337000000000003</v>
      </c>
      <c r="X20" s="34">
        <f t="shared" si="0"/>
        <v>1.1700409035458044</v>
      </c>
      <c r="Y20" s="35" t="str">
        <f t="shared" si="5"/>
        <v/>
      </c>
      <c r="Z20" s="36">
        <f t="shared" si="6"/>
        <v>1.1513341645885287</v>
      </c>
      <c r="AA20" s="6"/>
      <c r="AB20" s="37">
        <v>4.25</v>
      </c>
      <c r="AC20" s="38">
        <v>4.5960000000000001</v>
      </c>
      <c r="AD20" s="38"/>
      <c r="AE20" s="34">
        <f t="shared" si="7"/>
        <v>4.5960000000000001</v>
      </c>
      <c r="AF20" s="34">
        <f t="shared" si="8"/>
        <v>0.52193240725182655</v>
      </c>
      <c r="AG20" s="35" t="str">
        <f t="shared" si="1"/>
        <v/>
      </c>
      <c r="AH20" s="36">
        <f t="shared" si="2"/>
        <v>1.0814117647058823</v>
      </c>
    </row>
    <row r="21" spans="1:34" ht="1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29">
        <f t="shared" si="3"/>
        <v>8</v>
      </c>
      <c r="Q21" s="30" t="s">
        <v>106</v>
      </c>
      <c r="R21" s="31">
        <v>45678</v>
      </c>
      <c r="S21" s="68"/>
      <c r="T21" s="32">
        <v>80.2</v>
      </c>
      <c r="U21" s="38">
        <v>88.369</v>
      </c>
      <c r="V21" s="74"/>
      <c r="W21" s="34">
        <f t="shared" si="4"/>
        <v>88.369</v>
      </c>
      <c r="X21" s="34">
        <f t="shared" si="0"/>
        <v>0.72050001553376075</v>
      </c>
      <c r="Y21" s="35" t="str">
        <f t="shared" si="5"/>
        <v/>
      </c>
      <c r="Z21" s="36">
        <f t="shared" si="6"/>
        <v>1.1018578553615959</v>
      </c>
      <c r="AA21" s="6"/>
      <c r="AB21" s="37">
        <v>4.25</v>
      </c>
      <c r="AC21" s="38">
        <v>4.2759999999999998</v>
      </c>
      <c r="AD21" s="38"/>
      <c r="AE21" s="34">
        <f t="shared" si="7"/>
        <v>4.2759999999999998</v>
      </c>
      <c r="AF21" s="34">
        <f t="shared" si="8"/>
        <v>6.4817532395407329E-2</v>
      </c>
      <c r="AG21" s="35" t="str">
        <f t="shared" si="1"/>
        <v/>
      </c>
      <c r="AH21" s="36">
        <f t="shared" si="2"/>
        <v>1.0061176470588236</v>
      </c>
    </row>
    <row r="22" spans="1:34" ht="1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29">
        <f t="shared" si="3"/>
        <v>9</v>
      </c>
      <c r="Q22" s="30" t="s">
        <v>106</v>
      </c>
      <c r="R22" s="31">
        <v>45678</v>
      </c>
      <c r="S22" s="68"/>
      <c r="T22" s="32">
        <v>80.2</v>
      </c>
      <c r="U22" s="38">
        <v>101.75</v>
      </c>
      <c r="V22" s="74"/>
      <c r="W22" s="34">
        <f t="shared" si="4"/>
        <v>101.75</v>
      </c>
      <c r="X22" s="34">
        <f t="shared" si="0"/>
        <v>2.2364543054755828</v>
      </c>
      <c r="Y22" s="35">
        <f t="shared" si="5"/>
        <v>101.75</v>
      </c>
      <c r="Z22" s="36">
        <f t="shared" si="6"/>
        <v>1.2687032418952617</v>
      </c>
      <c r="AA22" s="6"/>
      <c r="AB22" s="37">
        <v>4.25</v>
      </c>
      <c r="AC22" s="38">
        <v>4.343</v>
      </c>
      <c r="AD22" s="38"/>
      <c r="AE22" s="34">
        <f t="shared" si="7"/>
        <v>4.343</v>
      </c>
      <c r="AF22" s="34">
        <f t="shared" si="8"/>
        <v>5.8033236218232469E-2</v>
      </c>
      <c r="AG22" s="35" t="str">
        <f t="shared" si="1"/>
        <v/>
      </c>
      <c r="AH22" s="36">
        <f t="shared" si="2"/>
        <v>1.0218823529411765</v>
      </c>
    </row>
    <row r="23" spans="1:34" ht="1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29">
        <f t="shared" si="3"/>
        <v>10</v>
      </c>
      <c r="Q23" s="30" t="s">
        <v>106</v>
      </c>
      <c r="R23" s="31">
        <v>45678</v>
      </c>
      <c r="S23" s="68"/>
      <c r="T23" s="32">
        <v>80.2</v>
      </c>
      <c r="U23" s="38">
        <v>96.022000000000006</v>
      </c>
      <c r="V23" s="74"/>
      <c r="W23" s="34">
        <f t="shared" si="4"/>
        <v>96.022000000000006</v>
      </c>
      <c r="X23" s="34">
        <f t="shared" si="0"/>
        <v>1.5875202816517469</v>
      </c>
      <c r="Y23" s="35" t="str">
        <f t="shared" si="5"/>
        <v/>
      </c>
      <c r="Z23" s="36">
        <f t="shared" si="6"/>
        <v>1.197281795511222</v>
      </c>
      <c r="AA23" s="6"/>
      <c r="AB23" s="37">
        <v>4.25</v>
      </c>
      <c r="AC23" s="38">
        <v>5.7039999999999997</v>
      </c>
      <c r="AD23" s="38"/>
      <c r="AE23" s="34">
        <f t="shared" si="7"/>
        <v>5.7039999999999997</v>
      </c>
      <c r="AF23" s="34">
        <f t="shared" si="8"/>
        <v>2.5535540732803717</v>
      </c>
      <c r="AG23" s="35">
        <f t="shared" si="1"/>
        <v>5.7039999999999997</v>
      </c>
      <c r="AH23" s="36">
        <f t="shared" si="2"/>
        <v>1.3421176470588234</v>
      </c>
    </row>
    <row r="24" spans="1:34" ht="1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29">
        <f t="shared" si="3"/>
        <v>11</v>
      </c>
      <c r="Q24" s="30" t="s">
        <v>106</v>
      </c>
      <c r="R24" s="31">
        <v>45679</v>
      </c>
      <c r="S24" s="68"/>
      <c r="T24" s="32">
        <v>80.2</v>
      </c>
      <c r="U24" s="38">
        <v>75.186999999999998</v>
      </c>
      <c r="V24" s="74"/>
      <c r="W24" s="34">
        <f t="shared" si="4"/>
        <v>75.186999999999998</v>
      </c>
      <c r="X24" s="34">
        <f t="shared" si="0"/>
        <v>0.77290925507479624</v>
      </c>
      <c r="Y24" s="35" t="str">
        <f t="shared" si="5"/>
        <v/>
      </c>
      <c r="Z24" s="36">
        <f t="shared" si="6"/>
        <v>0.93749376558603481</v>
      </c>
      <c r="AA24" s="6"/>
      <c r="AB24" s="37">
        <v>4.25</v>
      </c>
      <c r="AC24" s="38">
        <v>4.59</v>
      </c>
      <c r="AD24" s="38"/>
      <c r="AE24" s="34">
        <f t="shared" si="7"/>
        <v>4.59</v>
      </c>
      <c r="AF24" s="34">
        <f t="shared" si="8"/>
        <v>0.51093084588344051</v>
      </c>
      <c r="AG24" s="35" t="str">
        <f t="shared" si="1"/>
        <v/>
      </c>
      <c r="AH24" s="36">
        <f t="shared" si="2"/>
        <v>1.08</v>
      </c>
    </row>
    <row r="25" spans="1:34" ht="1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29">
        <f t="shared" si="3"/>
        <v>12</v>
      </c>
      <c r="Q25" s="30" t="s">
        <v>106</v>
      </c>
      <c r="R25" s="31">
        <v>45679</v>
      </c>
      <c r="S25" s="68"/>
      <c r="T25" s="32">
        <v>80.2</v>
      </c>
      <c r="U25" s="38">
        <v>69.540000000000006</v>
      </c>
      <c r="V25" s="74"/>
      <c r="W25" s="34">
        <f t="shared" si="4"/>
        <v>69.540000000000006</v>
      </c>
      <c r="X25" s="34">
        <f t="shared" si="0"/>
        <v>1.4126666629891118</v>
      </c>
      <c r="Y25" s="35" t="str">
        <f t="shared" si="5"/>
        <v/>
      </c>
      <c r="Z25" s="36">
        <f t="shared" si="6"/>
        <v>0.86708229426433925</v>
      </c>
      <c r="AA25" s="6"/>
      <c r="AB25" s="37">
        <v>4.25</v>
      </c>
      <c r="AC25" s="38">
        <v>3.5529999999999999</v>
      </c>
      <c r="AD25" s="38"/>
      <c r="AE25" s="34">
        <f t="shared" si="7"/>
        <v>3.5529999999999999</v>
      </c>
      <c r="AF25" s="34">
        <f t="shared" si="8"/>
        <v>1.390505677285875</v>
      </c>
      <c r="AG25" s="35" t="str">
        <f t="shared" si="1"/>
        <v/>
      </c>
      <c r="AH25" s="36">
        <f t="shared" si="2"/>
        <v>0.83599999999999997</v>
      </c>
    </row>
    <row r="26" spans="1:34" ht="1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29">
        <f t="shared" si="3"/>
        <v>13</v>
      </c>
      <c r="Q26" s="30" t="s">
        <v>106</v>
      </c>
      <c r="R26" s="31">
        <v>45679</v>
      </c>
      <c r="S26" s="68"/>
      <c r="T26" s="32">
        <v>80.2</v>
      </c>
      <c r="U26" s="38">
        <v>63.639000000000003</v>
      </c>
      <c r="V26" s="74"/>
      <c r="W26" s="34">
        <f t="shared" si="4"/>
        <v>63.639000000000003</v>
      </c>
      <c r="X26" s="34">
        <f t="shared" si="0"/>
        <v>2.0812001257308124</v>
      </c>
      <c r="Y26" s="35">
        <f t="shared" si="5"/>
        <v>63.639000000000003</v>
      </c>
      <c r="Z26" s="36">
        <f t="shared" si="6"/>
        <v>0.79350374064837903</v>
      </c>
      <c r="AA26" s="6"/>
      <c r="AB26" s="37">
        <v>4.25</v>
      </c>
      <c r="AC26" s="38">
        <v>4.3259999999999996</v>
      </c>
      <c r="AD26" s="38"/>
      <c r="AE26" s="34">
        <f t="shared" si="7"/>
        <v>4.3259999999999996</v>
      </c>
      <c r="AF26" s="34">
        <f t="shared" si="8"/>
        <v>2.6862145674472555E-2</v>
      </c>
      <c r="AG26" s="35" t="str">
        <f t="shared" si="1"/>
        <v/>
      </c>
      <c r="AH26" s="36">
        <f t="shared" si="2"/>
        <v>1.0178823529411765</v>
      </c>
    </row>
    <row r="27" spans="1:34" ht="1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29">
        <f t="shared" si="3"/>
        <v>14</v>
      </c>
      <c r="Q27" s="30" t="s">
        <v>106</v>
      </c>
      <c r="R27" s="31">
        <v>45679</v>
      </c>
      <c r="S27" s="68"/>
      <c r="T27" s="32">
        <v>80.2</v>
      </c>
      <c r="U27" s="38">
        <v>99.813999999999993</v>
      </c>
      <c r="V27" s="74"/>
      <c r="W27" s="34">
        <f t="shared" si="4"/>
        <v>99.813999999999993</v>
      </c>
      <c r="X27" s="34">
        <f t="shared" si="0"/>
        <v>2.0171218560826092</v>
      </c>
      <c r="Y27" s="35">
        <f t="shared" si="5"/>
        <v>99.813999999999993</v>
      </c>
      <c r="Z27" s="36">
        <f t="shared" si="6"/>
        <v>1.2445635910224437</v>
      </c>
      <c r="AA27" s="6"/>
      <c r="AB27" s="37">
        <v>4.25</v>
      </c>
      <c r="AC27" s="38">
        <v>4.4160000000000004</v>
      </c>
      <c r="AD27" s="38"/>
      <c r="AE27" s="34">
        <f t="shared" si="7"/>
        <v>4.4160000000000004</v>
      </c>
      <c r="AF27" s="34">
        <f t="shared" si="8"/>
        <v>0.19188556620025832</v>
      </c>
      <c r="AG27" s="35" t="str">
        <f t="shared" si="1"/>
        <v/>
      </c>
      <c r="AH27" s="36">
        <f t="shared" si="2"/>
        <v>1.0390588235294118</v>
      </c>
    </row>
    <row r="28" spans="1:34" ht="1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29">
        <f t="shared" si="3"/>
        <v>15</v>
      </c>
      <c r="Q28" s="30" t="s">
        <v>106</v>
      </c>
      <c r="R28" s="31">
        <v>45679</v>
      </c>
      <c r="S28" s="68"/>
      <c r="T28" s="32">
        <v>80.2</v>
      </c>
      <c r="U28" s="38">
        <v>70.427999999999997</v>
      </c>
      <c r="V28" s="74"/>
      <c r="W28" s="34">
        <f t="shared" si="4"/>
        <v>70.427999999999997</v>
      </c>
      <c r="X28" s="34">
        <f t="shared" si="0"/>
        <v>1.3120637626477079</v>
      </c>
      <c r="Y28" s="35" t="str">
        <f t="shared" si="5"/>
        <v/>
      </c>
      <c r="Z28" s="36">
        <f t="shared" si="6"/>
        <v>0.87815461346633406</v>
      </c>
      <c r="AA28" s="6"/>
      <c r="AB28" s="37">
        <v>4.25</v>
      </c>
      <c r="AC28" s="38">
        <v>5.2169999999999996</v>
      </c>
      <c r="AD28" s="38"/>
      <c r="AE28" s="34">
        <f t="shared" si="7"/>
        <v>5.2169999999999996</v>
      </c>
      <c r="AF28" s="34">
        <f t="shared" si="8"/>
        <v>1.660594008879738</v>
      </c>
      <c r="AG28" s="35" t="str">
        <f t="shared" si="1"/>
        <v/>
      </c>
      <c r="AH28" s="36">
        <f t="shared" si="2"/>
        <v>1.2275294117647058</v>
      </c>
    </row>
    <row r="29" spans="1:34" ht="1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 t="s">
        <v>107</v>
      </c>
      <c r="O29" s="8"/>
      <c r="P29" s="29">
        <f t="shared" si="3"/>
        <v>16</v>
      </c>
      <c r="Q29" s="30" t="s">
        <v>106</v>
      </c>
      <c r="R29" s="31">
        <v>45681</v>
      </c>
      <c r="S29" s="68"/>
      <c r="T29" s="32">
        <v>80.2</v>
      </c>
      <c r="U29" s="38">
        <v>78.628</v>
      </c>
      <c r="V29" s="74"/>
      <c r="W29" s="34">
        <f t="shared" si="4"/>
        <v>78.628</v>
      </c>
      <c r="X29" s="34">
        <f t="shared" si="0"/>
        <v>0.38307301625185225</v>
      </c>
      <c r="Y29" s="35" t="str">
        <f t="shared" si="5"/>
        <v/>
      </c>
      <c r="Z29" s="36">
        <f t="shared" si="6"/>
        <v>0.98039900249376555</v>
      </c>
      <c r="AA29" s="6"/>
      <c r="AB29" s="37">
        <v>4.25</v>
      </c>
      <c r="AC29" s="38">
        <v>5.0650000000000004</v>
      </c>
      <c r="AD29" s="38"/>
      <c r="AE29" s="34">
        <f t="shared" si="7"/>
        <v>5.0650000000000004</v>
      </c>
      <c r="AF29" s="34">
        <f t="shared" si="8"/>
        <v>1.3818877875473035</v>
      </c>
      <c r="AG29" s="35" t="str">
        <f t="shared" si="1"/>
        <v/>
      </c>
      <c r="AH29" s="36">
        <f t="shared" si="2"/>
        <v>1.1917647058823531</v>
      </c>
    </row>
    <row r="30" spans="1:34" ht="1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29">
        <f t="shared" si="3"/>
        <v>17</v>
      </c>
      <c r="Q30" s="30" t="s">
        <v>106</v>
      </c>
      <c r="R30" s="31">
        <v>45681</v>
      </c>
      <c r="S30" s="68"/>
      <c r="T30" s="32">
        <v>80.2</v>
      </c>
      <c r="U30" s="38">
        <v>95.713999999999999</v>
      </c>
      <c r="V30" s="74"/>
      <c r="W30" s="34">
        <f t="shared" si="4"/>
        <v>95.713999999999999</v>
      </c>
      <c r="X30" s="34">
        <f t="shared" si="0"/>
        <v>1.5526264828846823</v>
      </c>
      <c r="Y30" s="35" t="str">
        <f t="shared" si="5"/>
        <v/>
      </c>
      <c r="Z30" s="36">
        <f t="shared" si="6"/>
        <v>1.193441396508728</v>
      </c>
      <c r="AA30" s="6"/>
      <c r="AB30" s="37">
        <v>4.25</v>
      </c>
      <c r="AC30" s="38">
        <v>5.798</v>
      </c>
      <c r="AD30" s="38"/>
      <c r="AE30" s="34">
        <f t="shared" si="7"/>
        <v>5.798</v>
      </c>
      <c r="AF30" s="34">
        <f t="shared" si="8"/>
        <v>2.7259118680517469</v>
      </c>
      <c r="AG30" s="35">
        <f t="shared" si="1"/>
        <v>5.798</v>
      </c>
      <c r="AH30" s="36">
        <f t="shared" si="2"/>
        <v>1.364235294117647</v>
      </c>
    </row>
    <row r="31" spans="1:34" ht="1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29">
        <f t="shared" si="3"/>
        <v>18</v>
      </c>
      <c r="Q31" s="30" t="s">
        <v>106</v>
      </c>
      <c r="R31" s="31">
        <v>45681</v>
      </c>
      <c r="S31" s="68"/>
      <c r="T31" s="32">
        <v>80.2</v>
      </c>
      <c r="U31" s="38">
        <v>86.99</v>
      </c>
      <c r="V31" s="74"/>
      <c r="W31" s="34">
        <f t="shared" si="4"/>
        <v>86.99</v>
      </c>
      <c r="X31" s="34">
        <f t="shared" si="0"/>
        <v>0.56427096196304261</v>
      </c>
      <c r="Y31" s="35" t="str">
        <f t="shared" si="5"/>
        <v/>
      </c>
      <c r="Z31" s="36">
        <f t="shared" si="6"/>
        <v>1.0846633416458853</v>
      </c>
      <c r="AA31" s="6"/>
      <c r="AB31" s="37">
        <v>4.25</v>
      </c>
      <c r="AC31" s="38">
        <v>4.7839999999999998</v>
      </c>
      <c r="AD31" s="38"/>
      <c r="AE31" s="34">
        <f t="shared" si="7"/>
        <v>4.7839999999999998</v>
      </c>
      <c r="AF31" s="34">
        <f t="shared" si="8"/>
        <v>0.8666479967945756</v>
      </c>
      <c r="AG31" s="35" t="str">
        <f t="shared" si="1"/>
        <v/>
      </c>
      <c r="AH31" s="36">
        <f t="shared" si="2"/>
        <v>1.1256470588235294</v>
      </c>
    </row>
    <row r="32" spans="1:34" ht="1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29">
        <f t="shared" si="3"/>
        <v>19</v>
      </c>
      <c r="Q32" s="30" t="s">
        <v>106</v>
      </c>
      <c r="R32" s="31">
        <v>45681</v>
      </c>
      <c r="S32" s="68"/>
      <c r="T32" s="32">
        <v>80.2</v>
      </c>
      <c r="U32" s="38">
        <v>76.605000000000004</v>
      </c>
      <c r="V32" s="74"/>
      <c r="W32" s="34">
        <f t="shared" si="4"/>
        <v>76.605000000000004</v>
      </c>
      <c r="X32" s="34">
        <f t="shared" si="0"/>
        <v>0.61226183088097563</v>
      </c>
      <c r="Y32" s="35" t="str">
        <f t="shared" si="5"/>
        <v/>
      </c>
      <c r="Z32" s="36">
        <f t="shared" si="6"/>
        <v>0.95517456359102249</v>
      </c>
      <c r="AA32" s="6"/>
      <c r="AB32" s="37">
        <v>4.25</v>
      </c>
      <c r="AC32" s="38">
        <v>3.6829999999999998</v>
      </c>
      <c r="AD32" s="38"/>
      <c r="AE32" s="34">
        <f t="shared" si="7"/>
        <v>3.6829999999999998</v>
      </c>
      <c r="AF32" s="34">
        <f t="shared" si="8"/>
        <v>1.1521385143041867</v>
      </c>
      <c r="AG32" s="35" t="str">
        <f t="shared" si="1"/>
        <v/>
      </c>
      <c r="AH32" s="36">
        <f t="shared" si="2"/>
        <v>0.86658823529411766</v>
      </c>
    </row>
    <row r="33" spans="1:34" ht="1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29">
        <f t="shared" si="3"/>
        <v>20</v>
      </c>
      <c r="Q33" s="30" t="s">
        <v>106</v>
      </c>
      <c r="R33" s="31">
        <v>45681</v>
      </c>
      <c r="S33" s="68"/>
      <c r="T33" s="32">
        <v>80.2</v>
      </c>
      <c r="U33" s="38">
        <v>77.722999999999999</v>
      </c>
      <c r="V33" s="74"/>
      <c r="W33" s="34">
        <f t="shared" si="4"/>
        <v>77.722999999999999</v>
      </c>
      <c r="X33" s="34">
        <f t="shared" si="0"/>
        <v>0.48560187301871205</v>
      </c>
      <c r="Y33" s="35" t="str">
        <f t="shared" si="5"/>
        <v/>
      </c>
      <c r="Z33" s="36">
        <f t="shared" si="6"/>
        <v>0.96911471321695752</v>
      </c>
      <c r="AA33" s="6"/>
      <c r="AB33" s="37">
        <v>4.25</v>
      </c>
      <c r="AC33" s="38">
        <v>4.7489999999999997</v>
      </c>
      <c r="AD33" s="38"/>
      <c r="AE33" s="34">
        <f t="shared" si="7"/>
        <v>4.7489999999999997</v>
      </c>
      <c r="AF33" s="34">
        <f t="shared" si="8"/>
        <v>0.80247222214565928</v>
      </c>
      <c r="AG33" s="35" t="str">
        <f t="shared" si="1"/>
        <v/>
      </c>
      <c r="AH33" s="36">
        <f t="shared" si="2"/>
        <v>1.1174117647058823</v>
      </c>
    </row>
    <row r="34" spans="1:34" ht="1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29">
        <f t="shared" si="3"/>
        <v>21</v>
      </c>
      <c r="Q34" s="30" t="s">
        <v>108</v>
      </c>
      <c r="R34" s="31">
        <v>45743</v>
      </c>
      <c r="S34" s="68"/>
      <c r="T34" s="39">
        <v>82.2</v>
      </c>
      <c r="U34" s="38">
        <v>74.856999999999999</v>
      </c>
      <c r="V34" s="74"/>
      <c r="W34" s="34">
        <f t="shared" si="4"/>
        <v>74.856999999999999</v>
      </c>
      <c r="X34" s="34">
        <f t="shared" si="0"/>
        <v>0.81029546803950725</v>
      </c>
      <c r="Y34" s="35" t="str">
        <f t="shared" si="5"/>
        <v/>
      </c>
      <c r="Z34" s="36">
        <f t="shared" si="6"/>
        <v>0.91066909975669097</v>
      </c>
      <c r="AA34" s="6"/>
      <c r="AB34" s="37">
        <v>4.42</v>
      </c>
      <c r="AC34" s="38">
        <v>3.6640000000000001</v>
      </c>
      <c r="AD34" s="38"/>
      <c r="AE34" s="34">
        <f t="shared" si="7"/>
        <v>3.6640000000000001</v>
      </c>
      <c r="AF34" s="34">
        <f t="shared" si="8"/>
        <v>1.1869767919707406</v>
      </c>
      <c r="AG34" s="35" t="str">
        <f t="shared" si="1"/>
        <v/>
      </c>
      <c r="AH34" s="36">
        <f t="shared" si="2"/>
        <v>0.8289592760180996</v>
      </c>
    </row>
    <row r="35" spans="1:34" ht="1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29">
        <f t="shared" si="3"/>
        <v>22</v>
      </c>
      <c r="Q35" s="30" t="s">
        <v>108</v>
      </c>
      <c r="R35" s="31">
        <v>45743</v>
      </c>
      <c r="S35" s="68"/>
      <c r="T35" s="39">
        <v>82.2</v>
      </c>
      <c r="U35" s="38">
        <v>71.168000000000006</v>
      </c>
      <c r="V35" s="74"/>
      <c r="W35" s="34">
        <f t="shared" si="4"/>
        <v>71.168000000000006</v>
      </c>
      <c r="X35" s="34">
        <f t="shared" si="0"/>
        <v>1.2282280123632028</v>
      </c>
      <c r="Y35" s="35" t="str">
        <f t="shared" si="5"/>
        <v/>
      </c>
      <c r="Z35" s="36">
        <f t="shared" si="6"/>
        <v>0.86579075425790764</v>
      </c>
      <c r="AA35" s="6"/>
      <c r="AB35" s="37">
        <v>4.42</v>
      </c>
      <c r="AC35" s="38">
        <v>4.0010000000000003</v>
      </c>
      <c r="AD35" s="38"/>
      <c r="AE35" s="34">
        <f t="shared" si="7"/>
        <v>4.0010000000000003</v>
      </c>
      <c r="AF35" s="34">
        <f t="shared" si="8"/>
        <v>0.56905576177974748</v>
      </c>
      <c r="AG35" s="35" t="str">
        <f t="shared" si="1"/>
        <v/>
      </c>
      <c r="AH35" s="36">
        <f t="shared" si="2"/>
        <v>0.90520361990950238</v>
      </c>
    </row>
    <row r="36" spans="1:34" ht="1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29">
        <f t="shared" si="3"/>
        <v>23</v>
      </c>
      <c r="Q36" s="30" t="s">
        <v>108</v>
      </c>
      <c r="R36" s="31">
        <v>45772</v>
      </c>
      <c r="S36" s="68"/>
      <c r="T36" s="39">
        <v>82.2</v>
      </c>
      <c r="U36" s="38">
        <v>80.721999999999994</v>
      </c>
      <c r="V36" s="74"/>
      <c r="W36" s="34">
        <f t="shared" si="4"/>
        <v>80.721999999999994</v>
      </c>
      <c r="X36" s="34">
        <f t="shared" si="0"/>
        <v>0.14584050125759426</v>
      </c>
      <c r="Y36" s="35" t="str">
        <f t="shared" si="5"/>
        <v/>
      </c>
      <c r="Z36" s="36">
        <f t="shared" si="6"/>
        <v>0.98201946472019452</v>
      </c>
      <c r="AA36" s="6"/>
      <c r="AB36" s="37">
        <v>4.42</v>
      </c>
      <c r="AC36" s="38">
        <v>4.0994999999999999</v>
      </c>
      <c r="AD36" s="38"/>
      <c r="AE36" s="34">
        <f t="shared" si="7"/>
        <v>4.0994999999999999</v>
      </c>
      <c r="AF36" s="34">
        <f t="shared" si="8"/>
        <v>0.38844679598208426</v>
      </c>
      <c r="AG36" s="35" t="str">
        <f t="shared" si="1"/>
        <v/>
      </c>
      <c r="AH36" s="36">
        <f t="shared" si="2"/>
        <v>0.92748868778280547</v>
      </c>
    </row>
    <row r="37" spans="1:34" ht="1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29">
        <f t="shared" si="3"/>
        <v>24</v>
      </c>
      <c r="Q37" s="30" t="s">
        <v>108</v>
      </c>
      <c r="R37" s="31">
        <v>45772</v>
      </c>
      <c r="S37" s="68"/>
      <c r="T37" s="39">
        <v>82.2</v>
      </c>
      <c r="U37" s="38">
        <v>84.869200000000006</v>
      </c>
      <c r="V37" s="74"/>
      <c r="W37" s="34">
        <f t="shared" si="4"/>
        <v>84.869200000000006</v>
      </c>
      <c r="X37" s="34">
        <f t="shared" si="0"/>
        <v>0.32400223330983291</v>
      </c>
      <c r="Y37" s="35" t="str">
        <f t="shared" si="5"/>
        <v/>
      </c>
      <c r="Z37" s="36">
        <f t="shared" si="6"/>
        <v>1.0324720194647203</v>
      </c>
      <c r="AA37" s="6"/>
      <c r="AB37" s="37">
        <v>4.42</v>
      </c>
      <c r="AC37" s="38">
        <v>3.9308000000000001</v>
      </c>
      <c r="AD37" s="38"/>
      <c r="AE37" s="34">
        <f t="shared" si="7"/>
        <v>3.9308000000000001</v>
      </c>
      <c r="AF37" s="34">
        <f t="shared" si="8"/>
        <v>0.69777402978985981</v>
      </c>
      <c r="AG37" s="35" t="str">
        <f t="shared" si="1"/>
        <v/>
      </c>
      <c r="AH37" s="36">
        <f t="shared" si="2"/>
        <v>0.88932126696832581</v>
      </c>
    </row>
    <row r="38" spans="1:34" ht="1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29">
        <f t="shared" si="3"/>
        <v>25</v>
      </c>
      <c r="Q38" s="30" t="s">
        <v>108</v>
      </c>
      <c r="R38" s="31">
        <v>45785</v>
      </c>
      <c r="S38" s="68"/>
      <c r="T38" s="39">
        <v>82.2</v>
      </c>
      <c r="U38" s="38">
        <v>75.329800000000006</v>
      </c>
      <c r="V38" s="74"/>
      <c r="W38" s="34">
        <f t="shared" si="4"/>
        <v>75.329800000000006</v>
      </c>
      <c r="X38" s="34">
        <f t="shared" si="0"/>
        <v>0.75673122110097479</v>
      </c>
      <c r="Y38" s="35" t="str">
        <f t="shared" si="5"/>
        <v/>
      </c>
      <c r="Z38" s="36">
        <f t="shared" si="6"/>
        <v>0.91642092457420932</v>
      </c>
      <c r="AA38" s="6"/>
      <c r="AB38" s="37">
        <v>4.42</v>
      </c>
      <c r="AC38" s="38">
        <v>4.1849999999999996</v>
      </c>
      <c r="AD38" s="38"/>
      <c r="AE38" s="34">
        <f t="shared" si="7"/>
        <v>4.1849999999999996</v>
      </c>
      <c r="AF38" s="34">
        <f t="shared" si="8"/>
        <v>0.23167454648258967</v>
      </c>
      <c r="AG38" s="35" t="str">
        <f t="shared" si="1"/>
        <v/>
      </c>
      <c r="AH38" s="36">
        <f t="shared" si="2"/>
        <v>0.94683257918552033</v>
      </c>
    </row>
    <row r="39" spans="1:34" ht="1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29">
        <f t="shared" si="3"/>
        <v>26</v>
      </c>
      <c r="Q39" s="30" t="s">
        <v>108</v>
      </c>
      <c r="R39" s="31">
        <v>45785</v>
      </c>
      <c r="S39" s="68"/>
      <c r="T39" s="39">
        <v>82.2</v>
      </c>
      <c r="U39" s="38">
        <v>79.344099999999997</v>
      </c>
      <c r="V39" s="74"/>
      <c r="W39" s="34">
        <f t="shared" si="4"/>
        <v>79.344099999999997</v>
      </c>
      <c r="X39" s="34">
        <f t="shared" si="0"/>
        <v>0.30194493411842915</v>
      </c>
      <c r="Y39" s="35" t="str">
        <f t="shared" si="5"/>
        <v/>
      </c>
      <c r="Z39" s="36">
        <f t="shared" si="6"/>
        <v>0.96525669099756684</v>
      </c>
      <c r="AA39" s="6"/>
      <c r="AB39" s="37">
        <v>4.42</v>
      </c>
      <c r="AC39" s="38">
        <v>4.1957000000000004</v>
      </c>
      <c r="AD39" s="38"/>
      <c r="AE39" s="34">
        <f t="shared" si="7"/>
        <v>4.1957000000000004</v>
      </c>
      <c r="AF39" s="34">
        <f t="shared" si="8"/>
        <v>0.2120550953756338</v>
      </c>
      <c r="AG39" s="35" t="str">
        <f t="shared" si="1"/>
        <v/>
      </c>
      <c r="AH39" s="36">
        <f t="shared" si="2"/>
        <v>0.94925339366515848</v>
      </c>
    </row>
    <row r="40" spans="1:34" ht="1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29">
        <f t="shared" si="3"/>
        <v>27</v>
      </c>
      <c r="Q40" s="30" t="s">
        <v>109</v>
      </c>
      <c r="R40" s="31">
        <v>45793</v>
      </c>
      <c r="S40" s="68"/>
      <c r="T40" s="39">
        <v>82.2</v>
      </c>
      <c r="U40" s="38">
        <v>77.674000000000007</v>
      </c>
      <c r="V40" s="74"/>
      <c r="W40" s="34">
        <f t="shared" si="4"/>
        <v>77.674000000000007</v>
      </c>
      <c r="X40" s="34">
        <f t="shared" si="0"/>
        <v>0.49115315918619862</v>
      </c>
      <c r="Y40" s="35" t="str">
        <f t="shared" si="5"/>
        <v/>
      </c>
      <c r="Z40" s="36">
        <f t="shared" si="6"/>
        <v>0.94493917274939176</v>
      </c>
      <c r="AA40" s="6"/>
      <c r="AB40" s="37">
        <v>4.42</v>
      </c>
      <c r="AC40" s="38">
        <v>4.6429999999999998</v>
      </c>
      <c r="AD40" s="38"/>
      <c r="AE40" s="34">
        <f t="shared" si="7"/>
        <v>4.6429999999999998</v>
      </c>
      <c r="AF40" s="34">
        <f t="shared" si="8"/>
        <v>0.60811130463751339</v>
      </c>
      <c r="AG40" s="35" t="str">
        <f t="shared" si="1"/>
        <v/>
      </c>
      <c r="AH40" s="36">
        <f t="shared" si="2"/>
        <v>1.0504524886877828</v>
      </c>
    </row>
    <row r="41" spans="1:34" ht="1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29">
        <f t="shared" si="3"/>
        <v>28</v>
      </c>
      <c r="Q41" s="30" t="s">
        <v>109</v>
      </c>
      <c r="R41" s="31">
        <v>45793</v>
      </c>
      <c r="S41" s="68"/>
      <c r="T41" s="39">
        <v>82.2</v>
      </c>
      <c r="U41" s="38">
        <v>97.813000000000002</v>
      </c>
      <c r="V41" s="74"/>
      <c r="W41" s="34">
        <f t="shared" si="4"/>
        <v>97.813000000000002</v>
      </c>
      <c r="X41" s="34">
        <f t="shared" si="0"/>
        <v>1.7904254556511339</v>
      </c>
      <c r="Y41" s="35" t="str">
        <f t="shared" si="5"/>
        <v/>
      </c>
      <c r="Z41" s="36">
        <f t="shared" si="6"/>
        <v>1.1899391727493918</v>
      </c>
      <c r="AA41" s="6"/>
      <c r="AB41" s="37">
        <v>4.42</v>
      </c>
      <c r="AC41" s="38">
        <v>5.069</v>
      </c>
      <c r="AD41" s="38"/>
      <c r="AE41" s="34">
        <f t="shared" si="7"/>
        <v>5.069</v>
      </c>
      <c r="AF41" s="34">
        <f t="shared" si="8"/>
        <v>1.389222161792893</v>
      </c>
      <c r="AG41" s="35" t="str">
        <f t="shared" si="1"/>
        <v/>
      </c>
      <c r="AH41" s="36">
        <f t="shared" si="2"/>
        <v>1.1468325791855203</v>
      </c>
    </row>
    <row r="42" spans="1:34" ht="1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29">
        <f t="shared" si="3"/>
        <v>29</v>
      </c>
      <c r="Q42" s="30" t="s">
        <v>108</v>
      </c>
      <c r="R42" s="31">
        <v>45804</v>
      </c>
      <c r="S42" s="68"/>
      <c r="T42" s="39">
        <v>82.2</v>
      </c>
      <c r="U42" s="38">
        <v>74.254999999999995</v>
      </c>
      <c r="V42" s="74"/>
      <c r="W42" s="34">
        <f t="shared" si="4"/>
        <v>74.254999999999995</v>
      </c>
      <c r="X42" s="34">
        <f t="shared" si="0"/>
        <v>0.8784969838114961</v>
      </c>
      <c r="Y42" s="35" t="str">
        <f t="shared" si="5"/>
        <v/>
      </c>
      <c r="Z42" s="36">
        <f t="shared" si="6"/>
        <v>0.90334549878345494</v>
      </c>
      <c r="AA42" s="6"/>
      <c r="AB42" s="37">
        <v>4.42</v>
      </c>
      <c r="AC42" s="38">
        <v>4.0090000000000003</v>
      </c>
      <c r="AD42" s="38"/>
      <c r="AE42" s="34">
        <f t="shared" si="7"/>
        <v>4.0090000000000003</v>
      </c>
      <c r="AF42" s="34">
        <f t="shared" si="8"/>
        <v>0.55438701328856665</v>
      </c>
      <c r="AG42" s="35" t="str">
        <f t="shared" si="1"/>
        <v/>
      </c>
      <c r="AH42" s="36">
        <f t="shared" si="2"/>
        <v>0.90701357466063359</v>
      </c>
    </row>
    <row r="43" spans="1:34" ht="1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29">
        <f t="shared" si="3"/>
        <v>30</v>
      </c>
      <c r="Q43" s="30" t="s">
        <v>108</v>
      </c>
      <c r="R43" s="31">
        <v>45804</v>
      </c>
      <c r="S43" s="68"/>
      <c r="T43" s="39">
        <v>82.2</v>
      </c>
      <c r="U43" s="38">
        <v>80.671999999999997</v>
      </c>
      <c r="V43" s="74"/>
      <c r="W43" s="34">
        <f t="shared" si="4"/>
        <v>80.671999999999997</v>
      </c>
      <c r="X43" s="34">
        <f t="shared" si="0"/>
        <v>0.15150507897951987</v>
      </c>
      <c r="Y43" s="35" t="str">
        <f t="shared" si="5"/>
        <v/>
      </c>
      <c r="Z43" s="36">
        <f t="shared" si="6"/>
        <v>0.98141119221411188</v>
      </c>
      <c r="AA43" s="6"/>
      <c r="AB43" s="37">
        <v>4.42</v>
      </c>
      <c r="AC43" s="38">
        <v>4.2190000000000003</v>
      </c>
      <c r="AD43" s="38"/>
      <c r="AE43" s="34">
        <f t="shared" si="7"/>
        <v>4.2190000000000003</v>
      </c>
      <c r="AF43" s="34">
        <f t="shared" si="8"/>
        <v>0.16933236539506985</v>
      </c>
      <c r="AG43" s="35" t="str">
        <f t="shared" si="1"/>
        <v/>
      </c>
      <c r="AH43" s="36">
        <f t="shared" si="2"/>
        <v>0.9545248868778281</v>
      </c>
    </row>
    <row r="44" spans="1:34" ht="1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29">
        <f t="shared" si="3"/>
        <v>31</v>
      </c>
      <c r="Q44" s="30" t="s">
        <v>108</v>
      </c>
      <c r="R44" s="31">
        <v>45825</v>
      </c>
      <c r="S44" s="68"/>
      <c r="T44" s="39">
        <v>82.2</v>
      </c>
      <c r="U44" s="38">
        <v>79.222999999999999</v>
      </c>
      <c r="V44" s="74"/>
      <c r="W44" s="34">
        <f t="shared" si="4"/>
        <v>79.222999999999999</v>
      </c>
      <c r="X44" s="34">
        <f t="shared" si="0"/>
        <v>0.31566454136093364</v>
      </c>
      <c r="Y44" s="35" t="str">
        <f t="shared" si="5"/>
        <v/>
      </c>
      <c r="Z44" s="36">
        <f t="shared" si="6"/>
        <v>0.96378345498783446</v>
      </c>
      <c r="AA44" s="6"/>
      <c r="AB44" s="37">
        <v>4.42</v>
      </c>
      <c r="AC44" s="38">
        <v>4.4909999999999997</v>
      </c>
      <c r="AD44" s="38"/>
      <c r="AE44" s="34">
        <f t="shared" si="7"/>
        <v>4.4909999999999997</v>
      </c>
      <c r="AF44" s="34">
        <f t="shared" si="8"/>
        <v>0.32940508330507734</v>
      </c>
      <c r="AG44" s="35" t="str">
        <f t="shared" si="1"/>
        <v/>
      </c>
      <c r="AH44" s="36">
        <f t="shared" si="2"/>
        <v>1.0160633484162895</v>
      </c>
    </row>
    <row r="45" spans="1:34" ht="1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29">
        <f t="shared" si="3"/>
        <v>32</v>
      </c>
      <c r="Q45" s="30" t="s">
        <v>108</v>
      </c>
      <c r="R45" s="31">
        <v>45825</v>
      </c>
      <c r="S45" s="68"/>
      <c r="T45" s="39">
        <v>82.2</v>
      </c>
      <c r="U45" s="38">
        <v>78.152000000000001</v>
      </c>
      <c r="V45" s="74"/>
      <c r="W45" s="34">
        <f t="shared" si="4"/>
        <v>78.152000000000001</v>
      </c>
      <c r="X45" s="34">
        <f t="shared" si="0"/>
        <v>0.43699979616458717</v>
      </c>
      <c r="Y45" s="35" t="str">
        <f t="shared" si="5"/>
        <v/>
      </c>
      <c r="Z45" s="36">
        <f t="shared" si="6"/>
        <v>0.95075425790754253</v>
      </c>
      <c r="AA45" s="6"/>
      <c r="AB45" s="37">
        <v>4.42</v>
      </c>
      <c r="AC45" s="38">
        <v>4.2919999999999998</v>
      </c>
      <c r="AD45" s="38"/>
      <c r="AE45" s="34">
        <f t="shared" si="7"/>
        <v>4.2919999999999998</v>
      </c>
      <c r="AF45" s="34">
        <f t="shared" si="8"/>
        <v>3.5480035413045639E-2</v>
      </c>
      <c r="AG45" s="35" t="str">
        <f t="shared" si="1"/>
        <v/>
      </c>
      <c r="AH45" s="36">
        <f t="shared" si="2"/>
        <v>0.97104072398190044</v>
      </c>
    </row>
    <row r="46" spans="1:34" ht="1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29">
        <f t="shared" si="3"/>
        <v>33</v>
      </c>
      <c r="Q46" s="30" t="s">
        <v>108</v>
      </c>
      <c r="R46" s="31">
        <v>45825</v>
      </c>
      <c r="S46" s="68"/>
      <c r="T46" s="39">
        <v>82.2</v>
      </c>
      <c r="U46" s="38">
        <v>84.022999999999996</v>
      </c>
      <c r="V46" s="74"/>
      <c r="W46" s="34">
        <f t="shared" si="4"/>
        <v>84.022999999999996</v>
      </c>
      <c r="X46" s="34">
        <f t="shared" si="0"/>
        <v>0.22813491994395702</v>
      </c>
      <c r="Y46" s="35" t="str">
        <f t="shared" si="5"/>
        <v/>
      </c>
      <c r="Z46" s="36">
        <f t="shared" si="6"/>
        <v>1.0221776155717761</v>
      </c>
      <c r="AA46" s="6"/>
      <c r="AB46" s="37">
        <v>4.42</v>
      </c>
      <c r="AC46" s="38">
        <v>4.5629999999999997</v>
      </c>
      <c r="AD46" s="38"/>
      <c r="AE46" s="34">
        <f t="shared" si="7"/>
        <v>4.5629999999999997</v>
      </c>
      <c r="AF46" s="34">
        <f t="shared" si="8"/>
        <v>0.46142381972570495</v>
      </c>
      <c r="AG46" s="35" t="str">
        <f t="shared" si="1"/>
        <v/>
      </c>
      <c r="AH46" s="36">
        <f t="shared" si="2"/>
        <v>1.0323529411764705</v>
      </c>
    </row>
    <row r="47" spans="1:34" ht="1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29">
        <f t="shared" si="3"/>
        <v>34</v>
      </c>
      <c r="Q47" s="30" t="s">
        <v>108</v>
      </c>
      <c r="R47" s="31">
        <v>45825</v>
      </c>
      <c r="S47" s="68"/>
      <c r="T47" s="39">
        <v>82.2</v>
      </c>
      <c r="U47" s="38">
        <v>90.686000000000007</v>
      </c>
      <c r="V47" s="74"/>
      <c r="W47" s="34">
        <f t="shared" si="4"/>
        <v>90.686000000000007</v>
      </c>
      <c r="X47" s="34">
        <f t="shared" si="0"/>
        <v>0.98299654716780993</v>
      </c>
      <c r="Y47" s="35" t="str">
        <f t="shared" si="5"/>
        <v/>
      </c>
      <c r="Z47" s="36">
        <f t="shared" si="6"/>
        <v>1.1032360097323601</v>
      </c>
      <c r="AA47" s="6"/>
      <c r="AB47" s="37">
        <v>4.42</v>
      </c>
      <c r="AC47" s="38">
        <v>4.0140000000000002</v>
      </c>
      <c r="AD47" s="38"/>
      <c r="AE47" s="34">
        <f t="shared" si="7"/>
        <v>4.0140000000000002</v>
      </c>
      <c r="AF47" s="34">
        <f t="shared" si="8"/>
        <v>0.54521904548157885</v>
      </c>
      <c r="AG47" s="35" t="str">
        <f t="shared" si="1"/>
        <v/>
      </c>
      <c r="AH47" s="36">
        <f t="shared" si="2"/>
        <v>0.9081447963800906</v>
      </c>
    </row>
    <row r="48" spans="1:34" ht="1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29">
        <f t="shared" si="3"/>
        <v>35</v>
      </c>
      <c r="Q48" s="30" t="s">
        <v>106</v>
      </c>
      <c r="R48" s="31">
        <v>45860</v>
      </c>
      <c r="S48" s="68"/>
      <c r="T48" s="39">
        <v>82.2</v>
      </c>
      <c r="U48" s="38">
        <v>74.272999999999996</v>
      </c>
      <c r="V48" s="74"/>
      <c r="W48" s="34">
        <f t="shared" si="4"/>
        <v>74.272999999999996</v>
      </c>
      <c r="X48" s="34">
        <f t="shared" si="0"/>
        <v>0.87645773583160269</v>
      </c>
      <c r="Y48" s="35" t="str">
        <f t="shared" si="5"/>
        <v/>
      </c>
      <c r="Z48" s="36">
        <f t="shared" si="6"/>
        <v>0.90356447688564467</v>
      </c>
      <c r="AA48" s="6"/>
      <c r="AB48" s="37">
        <v>4.42</v>
      </c>
      <c r="AC48" s="38">
        <v>3.7330000000000001</v>
      </c>
      <c r="AD48" s="38"/>
      <c r="AE48" s="34">
        <f t="shared" si="7"/>
        <v>3.7330000000000001</v>
      </c>
      <c r="AF48" s="34">
        <f t="shared" si="8"/>
        <v>1.0604588362343059</v>
      </c>
      <c r="AG48" s="35" t="str">
        <f t="shared" si="1"/>
        <v/>
      </c>
      <c r="AH48" s="36">
        <f t="shared" si="2"/>
        <v>0.84457013574660633</v>
      </c>
    </row>
    <row r="49" spans="1:34" ht="1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29">
        <f t="shared" si="3"/>
        <v>36</v>
      </c>
      <c r="Q49" s="30" t="s">
        <v>106</v>
      </c>
      <c r="R49" s="31">
        <v>45860</v>
      </c>
      <c r="S49" s="68"/>
      <c r="T49" s="39">
        <v>82.2</v>
      </c>
      <c r="U49" s="38">
        <v>76.893000000000001</v>
      </c>
      <c r="V49" s="74"/>
      <c r="W49" s="34">
        <f t="shared" si="4"/>
        <v>76.893000000000001</v>
      </c>
      <c r="X49" s="34">
        <f t="shared" si="0"/>
        <v>0.57963386320268251</v>
      </c>
      <c r="Y49" s="35" t="str">
        <f t="shared" si="5"/>
        <v/>
      </c>
      <c r="Z49" s="36">
        <f t="shared" si="6"/>
        <v>0.93543795620437953</v>
      </c>
      <c r="AA49" s="6"/>
      <c r="AB49" s="37">
        <v>4.42</v>
      </c>
      <c r="AC49" s="38">
        <v>3.9129999999999998</v>
      </c>
      <c r="AD49" s="38"/>
      <c r="AE49" s="34">
        <f t="shared" si="7"/>
        <v>3.9129999999999998</v>
      </c>
      <c r="AF49" s="34">
        <f t="shared" si="8"/>
        <v>0.73041199518273769</v>
      </c>
      <c r="AG49" s="35" t="str">
        <f t="shared" si="1"/>
        <v/>
      </c>
      <c r="AH49" s="36">
        <f t="shared" si="2"/>
        <v>0.88529411764705879</v>
      </c>
    </row>
    <row r="50" spans="1:34" ht="1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29">
        <f t="shared" si="3"/>
        <v>37</v>
      </c>
      <c r="Q50" s="30" t="s">
        <v>106</v>
      </c>
      <c r="R50" s="31">
        <v>45912</v>
      </c>
      <c r="S50" s="68"/>
      <c r="T50" s="39">
        <v>82.2</v>
      </c>
      <c r="U50" s="38">
        <v>72.114999999999995</v>
      </c>
      <c r="V50" s="74"/>
      <c r="W50" s="34">
        <f t="shared" si="4"/>
        <v>72.114999999999995</v>
      </c>
      <c r="X50" s="34">
        <f t="shared" si="0"/>
        <v>1.1209409103099268</v>
      </c>
      <c r="Y50" s="35" t="str">
        <f t="shared" si="5"/>
        <v/>
      </c>
      <c r="Z50" s="36">
        <f t="shared" si="6"/>
        <v>0.8773114355231143</v>
      </c>
      <c r="AA50" s="6"/>
      <c r="AB50" s="37">
        <v>4.42</v>
      </c>
      <c r="AC50" s="38">
        <v>4.4640000000000004</v>
      </c>
      <c r="AD50" s="38"/>
      <c r="AE50" s="34">
        <f t="shared" si="7"/>
        <v>4.4640000000000004</v>
      </c>
      <c r="AF50" s="34">
        <f t="shared" si="8"/>
        <v>0.27989805714734339</v>
      </c>
      <c r="AG50" s="35" t="str">
        <f t="shared" si="1"/>
        <v/>
      </c>
      <c r="AH50" s="36">
        <f t="shared" si="2"/>
        <v>1.0099547511312219</v>
      </c>
    </row>
    <row r="51" spans="1:34" ht="1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29">
        <f t="shared" si="3"/>
        <v>38</v>
      </c>
      <c r="Q51" s="30" t="s">
        <v>106</v>
      </c>
      <c r="R51" s="31">
        <v>46044</v>
      </c>
      <c r="S51" s="68"/>
      <c r="T51" s="39">
        <v>82.2</v>
      </c>
      <c r="U51" s="33">
        <v>77.296000000000006</v>
      </c>
      <c r="V51" s="74"/>
      <c r="W51" s="34">
        <f t="shared" si="4"/>
        <v>77.296000000000006</v>
      </c>
      <c r="X51" s="34">
        <f t="shared" si="0"/>
        <v>0.53397736676395879</v>
      </c>
      <c r="Y51" s="35" t="str">
        <f t="shared" si="5"/>
        <v/>
      </c>
      <c r="Z51" s="36">
        <f t="shared" si="6"/>
        <v>0.94034063260340639</v>
      </c>
      <c r="AA51" s="6"/>
      <c r="AB51" s="37">
        <v>4.42</v>
      </c>
      <c r="AC51" s="38">
        <v>4.4029999999999996</v>
      </c>
      <c r="AD51" s="38"/>
      <c r="AE51" s="34">
        <f t="shared" si="7"/>
        <v>4.4029999999999996</v>
      </c>
      <c r="AF51" s="34">
        <f t="shared" si="8"/>
        <v>0.16804884990208802</v>
      </c>
      <c r="AG51" s="35" t="str">
        <f t="shared" si="1"/>
        <v/>
      </c>
      <c r="AH51" s="36">
        <f t="shared" si="2"/>
        <v>0.99615384615384606</v>
      </c>
    </row>
    <row r="52" spans="1:34" ht="1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29">
        <f t="shared" si="3"/>
        <v>39</v>
      </c>
      <c r="Q52" s="30" t="s">
        <v>106</v>
      </c>
      <c r="R52" s="31">
        <v>46044</v>
      </c>
      <c r="S52" s="68"/>
      <c r="T52" s="39">
        <v>82.2</v>
      </c>
      <c r="U52" s="33">
        <v>89.287999999999997</v>
      </c>
      <c r="V52" s="74"/>
      <c r="W52" s="34">
        <f t="shared" si="4"/>
        <v>89.287999999999997</v>
      </c>
      <c r="X52" s="34">
        <f t="shared" si="0"/>
        <v>0.82461495406275931</v>
      </c>
      <c r="Y52" s="35" t="str">
        <f t="shared" si="5"/>
        <v/>
      </c>
      <c r="Z52" s="36">
        <f t="shared" si="6"/>
        <v>1.086228710462287</v>
      </c>
      <c r="AA52" s="6"/>
      <c r="AB52" s="37">
        <v>4.42</v>
      </c>
      <c r="AC52" s="38">
        <v>4.4000000000000004</v>
      </c>
      <c r="AD52" s="38"/>
      <c r="AE52" s="34">
        <f t="shared" si="7"/>
        <v>4.4000000000000004</v>
      </c>
      <c r="AF52" s="34">
        <f t="shared" si="8"/>
        <v>0.16254806921789661</v>
      </c>
      <c r="AG52" s="35" t="str">
        <f t="shared" si="1"/>
        <v/>
      </c>
      <c r="AH52" s="36">
        <f t="shared" si="2"/>
        <v>0.99547511312217207</v>
      </c>
    </row>
    <row r="53" spans="1:34" ht="1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29">
        <f t="shared" si="3"/>
        <v>40</v>
      </c>
      <c r="Q53" s="30" t="s">
        <v>106</v>
      </c>
      <c r="R53" s="31">
        <v>46065</v>
      </c>
      <c r="S53" s="68"/>
      <c r="T53" s="39">
        <v>82.2</v>
      </c>
      <c r="U53" s="33">
        <v>77.903999999999996</v>
      </c>
      <c r="V53" s="74"/>
      <c r="W53" s="34">
        <f t="shared" si="4"/>
        <v>77.903999999999996</v>
      </c>
      <c r="X53" s="34">
        <f t="shared" si="0"/>
        <v>0.46509610166534038</v>
      </c>
      <c r="Y53" s="35" t="str">
        <f t="shared" si="5"/>
        <v/>
      </c>
      <c r="Z53" s="36">
        <f t="shared" si="6"/>
        <v>0.94773722627737222</v>
      </c>
      <c r="AA53" s="6"/>
      <c r="AB53" s="37">
        <v>4.42</v>
      </c>
      <c r="AC53" s="33">
        <v>4.1779999999999999</v>
      </c>
      <c r="AD53" s="38"/>
      <c r="AE53" s="34">
        <f t="shared" si="7"/>
        <v>4.1779999999999999</v>
      </c>
      <c r="AF53" s="34">
        <f t="shared" si="8"/>
        <v>0.2445097014123723</v>
      </c>
      <c r="AG53" s="35" t="str">
        <f t="shared" si="1"/>
        <v/>
      </c>
      <c r="AH53" s="36">
        <f t="shared" si="2"/>
        <v>0.94524886877828052</v>
      </c>
    </row>
    <row r="54" spans="1:34" ht="1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29" t="str">
        <f t="shared" si="3"/>
        <v/>
      </c>
      <c r="Q54" s="30"/>
      <c r="R54" s="31"/>
      <c r="S54" s="68"/>
      <c r="T54" s="39">
        <v>82.2</v>
      </c>
      <c r="U54" s="33"/>
      <c r="V54" s="74"/>
      <c r="W54" s="34" t="str">
        <f t="shared" si="4"/>
        <v>FALSE</v>
      </c>
      <c r="X54" s="34" t="str">
        <f t="shared" si="0"/>
        <v>FALSE</v>
      </c>
      <c r="Y54" s="35">
        <f t="shared" si="5"/>
        <v>0</v>
      </c>
      <c r="Z54" s="36" t="str">
        <f t="shared" si="6"/>
        <v/>
      </c>
      <c r="AA54" s="6"/>
      <c r="AB54" s="37">
        <v>4.42</v>
      </c>
      <c r="AC54" s="33"/>
      <c r="AD54" s="38"/>
      <c r="AE54" s="34" t="str">
        <f t="shared" si="7"/>
        <v>FALSE</v>
      </c>
      <c r="AF54" s="34" t="str">
        <f t="shared" si="8"/>
        <v>FALSE</v>
      </c>
      <c r="AG54" s="35">
        <f t="shared" si="1"/>
        <v>0</v>
      </c>
      <c r="AH54" s="36" t="str">
        <f t="shared" si="2"/>
        <v/>
      </c>
    </row>
    <row r="55" spans="1:34" ht="1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29" t="str">
        <f t="shared" si="3"/>
        <v/>
      </c>
      <c r="Q55" s="30"/>
      <c r="R55" s="31"/>
      <c r="S55" s="68"/>
      <c r="T55" s="39">
        <v>82.2</v>
      </c>
      <c r="U55" s="33"/>
      <c r="V55" s="74"/>
      <c r="W55" s="34" t="str">
        <f t="shared" si="4"/>
        <v>FALSE</v>
      </c>
      <c r="X55" s="34" t="str">
        <f t="shared" si="0"/>
        <v>FALSE</v>
      </c>
      <c r="Y55" s="35">
        <f t="shared" si="5"/>
        <v>0</v>
      </c>
      <c r="Z55" s="36" t="str">
        <f t="shared" si="6"/>
        <v/>
      </c>
      <c r="AA55" s="6"/>
      <c r="AB55" s="41"/>
      <c r="AC55" s="33"/>
      <c r="AD55" s="38"/>
      <c r="AE55" s="34" t="str">
        <f t="shared" si="7"/>
        <v>FALSE</v>
      </c>
      <c r="AF55" s="34" t="str">
        <f t="shared" si="8"/>
        <v>FALSE</v>
      </c>
      <c r="AG55" s="35">
        <f t="shared" si="1"/>
        <v>0</v>
      </c>
      <c r="AH55" s="36" t="str">
        <f t="shared" si="2"/>
        <v/>
      </c>
    </row>
    <row r="56" spans="1:34" ht="1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29" t="str">
        <f t="shared" si="3"/>
        <v/>
      </c>
      <c r="Q56" s="30"/>
      <c r="R56" s="31"/>
      <c r="S56" s="68"/>
      <c r="T56" s="40"/>
      <c r="U56" s="33"/>
      <c r="V56" s="74"/>
      <c r="W56" s="34" t="str">
        <f t="shared" si="4"/>
        <v>FALSE</v>
      </c>
      <c r="X56" s="34" t="str">
        <f t="shared" si="0"/>
        <v>FALSE</v>
      </c>
      <c r="Y56" s="35">
        <f t="shared" si="5"/>
        <v>0</v>
      </c>
      <c r="Z56" s="36" t="str">
        <f t="shared" si="6"/>
        <v/>
      </c>
      <c r="AA56" s="6"/>
      <c r="AB56" s="41"/>
      <c r="AC56" s="33"/>
      <c r="AD56" s="38"/>
      <c r="AE56" s="34" t="str">
        <f t="shared" si="7"/>
        <v>FALSE</v>
      </c>
      <c r="AF56" s="34" t="str">
        <f t="shared" si="8"/>
        <v>FALSE</v>
      </c>
      <c r="AG56" s="35">
        <f t="shared" si="1"/>
        <v>0</v>
      </c>
      <c r="AH56" s="36" t="str">
        <f t="shared" si="2"/>
        <v/>
      </c>
    </row>
    <row r="57" spans="1:34" ht="14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29" t="str">
        <f t="shared" si="3"/>
        <v/>
      </c>
      <c r="Q57" s="30"/>
      <c r="R57" s="31"/>
      <c r="S57" s="68"/>
      <c r="T57" s="40"/>
      <c r="U57" s="33"/>
      <c r="V57" s="74"/>
      <c r="W57" s="34" t="str">
        <f t="shared" si="4"/>
        <v>FALSE</v>
      </c>
      <c r="X57" s="34" t="str">
        <f t="shared" si="0"/>
        <v>FALSE</v>
      </c>
      <c r="Y57" s="35">
        <f t="shared" si="5"/>
        <v>0</v>
      </c>
      <c r="Z57" s="36" t="str">
        <f t="shared" si="6"/>
        <v/>
      </c>
      <c r="AA57" s="42"/>
      <c r="AB57" s="41"/>
      <c r="AC57" s="33"/>
      <c r="AD57" s="38"/>
      <c r="AE57" s="34" t="str">
        <f t="shared" si="7"/>
        <v>FALSE</v>
      </c>
      <c r="AF57" s="34" t="str">
        <f t="shared" si="8"/>
        <v>FALSE</v>
      </c>
      <c r="AG57" s="35">
        <f t="shared" si="1"/>
        <v>0</v>
      </c>
      <c r="AH57" s="36" t="str">
        <f t="shared" si="2"/>
        <v/>
      </c>
    </row>
    <row r="58" spans="1:34" ht="1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29" t="str">
        <f t="shared" si="3"/>
        <v/>
      </c>
      <c r="Q58" s="30"/>
      <c r="R58" s="31"/>
      <c r="S58" s="68"/>
      <c r="T58" s="40"/>
      <c r="U58" s="33"/>
      <c r="V58" s="74"/>
      <c r="W58" s="34" t="str">
        <f t="shared" si="4"/>
        <v>FALSE</v>
      </c>
      <c r="X58" s="34" t="str">
        <f t="shared" si="0"/>
        <v>FALSE</v>
      </c>
      <c r="Y58" s="35">
        <f t="shared" si="5"/>
        <v>0</v>
      </c>
      <c r="Z58" s="36" t="str">
        <f t="shared" si="6"/>
        <v/>
      </c>
      <c r="AA58" s="6"/>
      <c r="AB58" s="41"/>
      <c r="AC58" s="33"/>
      <c r="AD58" s="38"/>
      <c r="AE58" s="34" t="str">
        <f t="shared" si="7"/>
        <v>FALSE</v>
      </c>
      <c r="AF58" s="34" t="str">
        <f t="shared" si="8"/>
        <v>FALSE</v>
      </c>
      <c r="AG58" s="35">
        <f t="shared" si="1"/>
        <v>0</v>
      </c>
      <c r="AH58" s="36" t="str">
        <f t="shared" si="2"/>
        <v/>
      </c>
    </row>
    <row r="59" spans="1:34" ht="1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29" t="str">
        <f t="shared" si="3"/>
        <v/>
      </c>
      <c r="Q59" s="30"/>
      <c r="R59" s="31"/>
      <c r="S59" s="68"/>
      <c r="T59" s="40"/>
      <c r="U59" s="33"/>
      <c r="V59" s="74"/>
      <c r="W59" s="34" t="str">
        <f t="shared" si="4"/>
        <v>FALSE</v>
      </c>
      <c r="X59" s="34" t="str">
        <f t="shared" si="0"/>
        <v>FALSE</v>
      </c>
      <c r="Y59" s="35">
        <f t="shared" si="5"/>
        <v>0</v>
      </c>
      <c r="Z59" s="36" t="str">
        <f t="shared" si="6"/>
        <v/>
      </c>
      <c r="AA59" s="6"/>
      <c r="AB59" s="41"/>
      <c r="AC59" s="33"/>
      <c r="AD59" s="38"/>
      <c r="AE59" s="34" t="str">
        <f t="shared" si="7"/>
        <v>FALSE</v>
      </c>
      <c r="AF59" s="34" t="str">
        <f t="shared" si="8"/>
        <v>FALSE</v>
      </c>
      <c r="AG59" s="35">
        <f t="shared" si="1"/>
        <v>0</v>
      </c>
      <c r="AH59" s="36" t="str">
        <f t="shared" si="2"/>
        <v/>
      </c>
    </row>
    <row r="60" spans="1:34" ht="1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29" t="str">
        <f t="shared" si="3"/>
        <v/>
      </c>
      <c r="Q60" s="30"/>
      <c r="R60" s="31"/>
      <c r="S60" s="68"/>
      <c r="T60" s="40"/>
      <c r="U60" s="33"/>
      <c r="V60" s="74"/>
      <c r="W60" s="34" t="str">
        <f t="shared" si="4"/>
        <v>FALSE</v>
      </c>
      <c r="X60" s="34" t="str">
        <f t="shared" si="0"/>
        <v>FALSE</v>
      </c>
      <c r="Y60" s="35">
        <f t="shared" si="5"/>
        <v>0</v>
      </c>
      <c r="Z60" s="36" t="str">
        <f t="shared" si="6"/>
        <v/>
      </c>
      <c r="AA60" s="6"/>
      <c r="AB60" s="41"/>
      <c r="AC60" s="33"/>
      <c r="AD60" s="38"/>
      <c r="AE60" s="34" t="str">
        <f t="shared" si="7"/>
        <v>FALSE</v>
      </c>
      <c r="AF60" s="34" t="str">
        <f t="shared" si="8"/>
        <v>FALSE</v>
      </c>
      <c r="AG60" s="35">
        <f t="shared" si="1"/>
        <v>0</v>
      </c>
      <c r="AH60" s="36" t="str">
        <f t="shared" si="2"/>
        <v/>
      </c>
    </row>
    <row r="61" spans="1:34" ht="1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29" t="str">
        <f t="shared" si="3"/>
        <v/>
      </c>
      <c r="Q61" s="30"/>
      <c r="R61" s="31"/>
      <c r="S61" s="68"/>
      <c r="T61" s="40"/>
      <c r="U61" s="33"/>
      <c r="V61" s="74"/>
      <c r="W61" s="34" t="str">
        <f t="shared" si="4"/>
        <v>FALSE</v>
      </c>
      <c r="X61" s="34" t="str">
        <f t="shared" si="0"/>
        <v>FALSE</v>
      </c>
      <c r="Y61" s="35">
        <f t="shared" si="5"/>
        <v>0</v>
      </c>
      <c r="Z61" s="36" t="str">
        <f t="shared" si="6"/>
        <v/>
      </c>
      <c r="AA61" s="6"/>
      <c r="AB61" s="41"/>
      <c r="AC61" s="33"/>
      <c r="AD61" s="38"/>
      <c r="AE61" s="34" t="str">
        <f t="shared" si="7"/>
        <v>FALSE</v>
      </c>
      <c r="AF61" s="34" t="str">
        <f t="shared" si="8"/>
        <v>FALSE</v>
      </c>
      <c r="AG61" s="35">
        <f t="shared" si="1"/>
        <v>0</v>
      </c>
      <c r="AH61" s="36" t="str">
        <f t="shared" si="2"/>
        <v/>
      </c>
    </row>
    <row r="62" spans="1:34" ht="1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29" t="str">
        <f t="shared" si="3"/>
        <v/>
      </c>
      <c r="Q62" s="30"/>
      <c r="R62" s="31"/>
      <c r="S62" s="68"/>
      <c r="T62" s="40"/>
      <c r="U62" s="33"/>
      <c r="V62" s="74"/>
      <c r="W62" s="34" t="str">
        <f t="shared" si="4"/>
        <v>FALSE</v>
      </c>
      <c r="X62" s="34" t="str">
        <f t="shared" si="0"/>
        <v>FALSE</v>
      </c>
      <c r="Y62" s="35">
        <f t="shared" si="5"/>
        <v>0</v>
      </c>
      <c r="Z62" s="36" t="str">
        <f t="shared" si="6"/>
        <v/>
      </c>
      <c r="AA62" s="6"/>
      <c r="AB62" s="41"/>
      <c r="AC62" s="33"/>
      <c r="AD62" s="38"/>
      <c r="AE62" s="34" t="str">
        <f t="shared" si="7"/>
        <v>FALSE</v>
      </c>
      <c r="AF62" s="34" t="str">
        <f t="shared" si="8"/>
        <v>FALSE</v>
      </c>
      <c r="AG62" s="35">
        <f t="shared" si="1"/>
        <v>0</v>
      </c>
      <c r="AH62" s="36" t="str">
        <f t="shared" si="2"/>
        <v/>
      </c>
    </row>
    <row r="63" spans="1:34" ht="1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29" t="str">
        <f t="shared" si="3"/>
        <v/>
      </c>
      <c r="Q63" s="30"/>
      <c r="R63" s="31"/>
      <c r="S63" s="68"/>
      <c r="T63" s="40"/>
      <c r="U63" s="33"/>
      <c r="V63" s="74"/>
      <c r="W63" s="34" t="str">
        <f t="shared" si="4"/>
        <v>FALSE</v>
      </c>
      <c r="X63" s="34" t="str">
        <f t="shared" si="0"/>
        <v>FALSE</v>
      </c>
      <c r="Y63" s="35">
        <f t="shared" si="5"/>
        <v>0</v>
      </c>
      <c r="Z63" s="36" t="str">
        <f t="shared" si="6"/>
        <v/>
      </c>
      <c r="AA63" s="6"/>
      <c r="AB63" s="41"/>
      <c r="AC63" s="33"/>
      <c r="AD63" s="38"/>
      <c r="AE63" s="34" t="str">
        <f t="shared" si="7"/>
        <v>FALSE</v>
      </c>
      <c r="AF63" s="34" t="str">
        <f t="shared" si="8"/>
        <v>FALSE</v>
      </c>
      <c r="AG63" s="35">
        <f t="shared" si="1"/>
        <v>0</v>
      </c>
      <c r="AH63" s="36" t="str">
        <f t="shared" si="2"/>
        <v/>
      </c>
    </row>
    <row r="64" spans="1:34" ht="1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29" t="str">
        <f t="shared" si="3"/>
        <v/>
      </c>
      <c r="Q64" s="30"/>
      <c r="R64" s="31"/>
      <c r="S64" s="68"/>
      <c r="T64" s="40"/>
      <c r="U64" s="33"/>
      <c r="V64" s="74"/>
      <c r="W64" s="34" t="str">
        <f t="shared" si="4"/>
        <v>FALSE</v>
      </c>
      <c r="X64" s="34" t="str">
        <f t="shared" si="0"/>
        <v>FALSE</v>
      </c>
      <c r="Y64" s="35">
        <f t="shared" si="5"/>
        <v>0</v>
      </c>
      <c r="Z64" s="36" t="str">
        <f t="shared" si="6"/>
        <v/>
      </c>
      <c r="AA64" s="6"/>
      <c r="AB64" s="41"/>
      <c r="AC64" s="33"/>
      <c r="AD64" s="38"/>
      <c r="AE64" s="34" t="str">
        <f t="shared" si="7"/>
        <v>FALSE</v>
      </c>
      <c r="AF64" s="34" t="str">
        <f t="shared" si="8"/>
        <v>FALSE</v>
      </c>
      <c r="AG64" s="35">
        <f t="shared" si="1"/>
        <v>0</v>
      </c>
      <c r="AH64" s="36" t="str">
        <f t="shared" si="2"/>
        <v/>
      </c>
    </row>
    <row r="65" spans="1:34" ht="1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29" t="str">
        <f t="shared" si="3"/>
        <v/>
      </c>
      <c r="Q65" s="30"/>
      <c r="R65" s="31"/>
      <c r="S65" s="68"/>
      <c r="T65" s="40"/>
      <c r="U65" s="33"/>
      <c r="V65" s="74"/>
      <c r="W65" s="34" t="str">
        <f t="shared" si="4"/>
        <v>FALSE</v>
      </c>
      <c r="X65" s="34" t="str">
        <f t="shared" si="0"/>
        <v>FALSE</v>
      </c>
      <c r="Y65" s="35">
        <f t="shared" si="5"/>
        <v>0</v>
      </c>
      <c r="Z65" s="36" t="str">
        <f t="shared" si="6"/>
        <v/>
      </c>
      <c r="AA65" s="6"/>
      <c r="AB65" s="41"/>
      <c r="AC65" s="33"/>
      <c r="AD65" s="38"/>
      <c r="AE65" s="34" t="str">
        <f t="shared" si="7"/>
        <v>FALSE</v>
      </c>
      <c r="AF65" s="34" t="str">
        <f t="shared" si="8"/>
        <v>FALSE</v>
      </c>
      <c r="AG65" s="35">
        <f t="shared" si="1"/>
        <v>0</v>
      </c>
      <c r="AH65" s="36" t="str">
        <f t="shared" si="2"/>
        <v/>
      </c>
    </row>
    <row r="66" spans="1:34" ht="1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29" t="str">
        <f t="shared" si="3"/>
        <v/>
      </c>
      <c r="Q66" s="30"/>
      <c r="R66" s="31"/>
      <c r="S66" s="68"/>
      <c r="T66" s="40"/>
      <c r="U66" s="33"/>
      <c r="V66" s="74"/>
      <c r="W66" s="34" t="str">
        <f t="shared" si="4"/>
        <v>FALSE</v>
      </c>
      <c r="X66" s="34" t="str">
        <f t="shared" si="0"/>
        <v>FALSE</v>
      </c>
      <c r="Y66" s="35">
        <f t="shared" si="5"/>
        <v>0</v>
      </c>
      <c r="Z66" s="36" t="str">
        <f t="shared" si="6"/>
        <v/>
      </c>
      <c r="AA66" s="6"/>
      <c r="AB66" s="41"/>
      <c r="AC66" s="33"/>
      <c r="AD66" s="38"/>
      <c r="AE66" s="34" t="str">
        <f t="shared" si="7"/>
        <v>FALSE</v>
      </c>
      <c r="AF66" s="34" t="str">
        <f t="shared" si="8"/>
        <v>FALSE</v>
      </c>
      <c r="AG66" s="35">
        <f t="shared" si="1"/>
        <v>0</v>
      </c>
      <c r="AH66" s="36" t="str">
        <f t="shared" si="2"/>
        <v/>
      </c>
    </row>
    <row r="67" spans="1:34" ht="1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29" t="str">
        <f t="shared" si="3"/>
        <v/>
      </c>
      <c r="Q67" s="30"/>
      <c r="R67" s="31"/>
      <c r="S67" s="68"/>
      <c r="T67" s="40"/>
      <c r="U67" s="33"/>
      <c r="V67" s="74"/>
      <c r="W67" s="34" t="str">
        <f t="shared" si="4"/>
        <v>FALSE</v>
      </c>
      <c r="X67" s="34" t="str">
        <f t="shared" si="0"/>
        <v>FALSE</v>
      </c>
      <c r="Y67" s="35">
        <f t="shared" si="5"/>
        <v>0</v>
      </c>
      <c r="Z67" s="36" t="str">
        <f t="shared" si="6"/>
        <v/>
      </c>
      <c r="AA67" s="6"/>
      <c r="AB67" s="41"/>
      <c r="AC67" s="33"/>
      <c r="AD67" s="38"/>
      <c r="AE67" s="34" t="str">
        <f t="shared" si="7"/>
        <v>FALSE</v>
      </c>
      <c r="AF67" s="34" t="str">
        <f t="shared" si="8"/>
        <v>FALSE</v>
      </c>
      <c r="AG67" s="35">
        <f t="shared" si="1"/>
        <v>0</v>
      </c>
      <c r="AH67" s="36" t="str">
        <f t="shared" si="2"/>
        <v/>
      </c>
    </row>
    <row r="68" spans="1:34" ht="1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29" t="str">
        <f t="shared" si="3"/>
        <v/>
      </c>
      <c r="Q68" s="30"/>
      <c r="R68" s="31"/>
      <c r="S68" s="68"/>
      <c r="T68" s="40"/>
      <c r="U68" s="33"/>
      <c r="V68" s="74"/>
      <c r="W68" s="34" t="str">
        <f t="shared" si="4"/>
        <v>FALSE</v>
      </c>
      <c r="X68" s="34" t="str">
        <f t="shared" si="0"/>
        <v>FALSE</v>
      </c>
      <c r="Y68" s="35">
        <f t="shared" si="5"/>
        <v>0</v>
      </c>
      <c r="Z68" s="36" t="str">
        <f t="shared" si="6"/>
        <v/>
      </c>
      <c r="AA68" s="6"/>
      <c r="AB68" s="41"/>
      <c r="AC68" s="33"/>
      <c r="AD68" s="38"/>
      <c r="AE68" s="34"/>
      <c r="AF68" s="34" t="str">
        <f t="shared" si="8"/>
        <v>FALSE</v>
      </c>
      <c r="AG68" s="35">
        <f t="shared" si="1"/>
        <v>0</v>
      </c>
      <c r="AH68" s="36" t="str">
        <f t="shared" si="2"/>
        <v/>
      </c>
    </row>
    <row r="69" spans="1:34" ht="1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29" t="str">
        <f t="shared" si="3"/>
        <v/>
      </c>
      <c r="Q69" s="30"/>
      <c r="R69" s="31"/>
      <c r="S69" s="68"/>
      <c r="T69" s="40"/>
      <c r="U69" s="33"/>
      <c r="V69" s="74"/>
      <c r="W69" s="34" t="str">
        <f t="shared" si="4"/>
        <v>FALSE</v>
      </c>
      <c r="X69" s="34" t="str">
        <f t="shared" si="0"/>
        <v>FALSE</v>
      </c>
      <c r="Y69" s="35">
        <f t="shared" si="5"/>
        <v>0</v>
      </c>
      <c r="Z69" s="36" t="str">
        <f t="shared" si="6"/>
        <v/>
      </c>
      <c r="AA69" s="6"/>
      <c r="AB69" s="41"/>
      <c r="AC69" s="33"/>
      <c r="AD69" s="38"/>
      <c r="AE69" s="34"/>
      <c r="AF69" s="34" t="str">
        <f t="shared" si="8"/>
        <v>FALSE</v>
      </c>
      <c r="AG69" s="35">
        <f t="shared" si="1"/>
        <v>0</v>
      </c>
      <c r="AH69" s="36" t="str">
        <f t="shared" si="2"/>
        <v/>
      </c>
    </row>
    <row r="70" spans="1:34" ht="1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29" t="str">
        <f t="shared" si="3"/>
        <v/>
      </c>
      <c r="Q70" s="30"/>
      <c r="R70" s="31"/>
      <c r="S70" s="68"/>
      <c r="T70" s="40"/>
      <c r="U70" s="33"/>
      <c r="V70" s="74"/>
      <c r="W70" s="34" t="str">
        <f t="shared" si="4"/>
        <v>FALSE</v>
      </c>
      <c r="X70" s="34" t="str">
        <f t="shared" si="0"/>
        <v>FALSE</v>
      </c>
      <c r="Y70" s="35">
        <f t="shared" si="5"/>
        <v>0</v>
      </c>
      <c r="Z70" s="36" t="str">
        <f t="shared" si="6"/>
        <v/>
      </c>
      <c r="AA70" s="6"/>
      <c r="AB70" s="41"/>
      <c r="AC70" s="33"/>
      <c r="AD70" s="38"/>
      <c r="AE70" s="34"/>
      <c r="AF70" s="34" t="str">
        <f t="shared" si="8"/>
        <v>FALSE</v>
      </c>
      <c r="AG70" s="35">
        <f t="shared" si="1"/>
        <v>0</v>
      </c>
      <c r="AH70" s="36" t="str">
        <f t="shared" si="2"/>
        <v/>
      </c>
    </row>
    <row r="71" spans="1:34" ht="1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29" t="str">
        <f t="shared" si="3"/>
        <v/>
      </c>
      <c r="Q71" s="30"/>
      <c r="R71" s="31"/>
      <c r="S71" s="68"/>
      <c r="T71" s="40"/>
      <c r="U71" s="33"/>
      <c r="V71" s="74"/>
      <c r="W71" s="34" t="str">
        <f t="shared" si="4"/>
        <v>FALSE</v>
      </c>
      <c r="X71" s="34" t="str">
        <f t="shared" si="0"/>
        <v>FALSE</v>
      </c>
      <c r="Y71" s="35">
        <f t="shared" si="5"/>
        <v>0</v>
      </c>
      <c r="Z71" s="36" t="str">
        <f t="shared" si="6"/>
        <v/>
      </c>
      <c r="AA71" s="6"/>
      <c r="AB71" s="41"/>
      <c r="AC71" s="33"/>
      <c r="AD71" s="38"/>
      <c r="AE71" s="34"/>
      <c r="AF71" s="34" t="str">
        <f t="shared" si="8"/>
        <v>FALSE</v>
      </c>
      <c r="AG71" s="35">
        <f t="shared" si="1"/>
        <v>0</v>
      </c>
      <c r="AH71" s="36" t="str">
        <f t="shared" si="2"/>
        <v/>
      </c>
    </row>
    <row r="72" spans="1:34" ht="1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29" t="str">
        <f t="shared" si="3"/>
        <v/>
      </c>
      <c r="Q72" s="30"/>
      <c r="R72" s="31"/>
      <c r="S72" s="68"/>
      <c r="T72" s="40"/>
      <c r="U72" s="33"/>
      <c r="V72" s="74"/>
      <c r="W72" s="34" t="str">
        <f t="shared" si="4"/>
        <v>FALSE</v>
      </c>
      <c r="X72" s="34" t="str">
        <f t="shared" si="0"/>
        <v>FALSE</v>
      </c>
      <c r="Y72" s="35">
        <f t="shared" si="5"/>
        <v>0</v>
      </c>
      <c r="Z72" s="36" t="str">
        <f t="shared" si="6"/>
        <v/>
      </c>
      <c r="AA72" s="6"/>
      <c r="AB72" s="41"/>
      <c r="AC72" s="33"/>
      <c r="AD72" s="38"/>
      <c r="AE72" s="34"/>
      <c r="AF72" s="34" t="str">
        <f t="shared" si="8"/>
        <v>FALSE</v>
      </c>
      <c r="AG72" s="35">
        <f t="shared" si="1"/>
        <v>0</v>
      </c>
      <c r="AH72" s="36" t="str">
        <f t="shared" si="2"/>
        <v/>
      </c>
    </row>
    <row r="73" spans="1:34" ht="1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29" t="str">
        <f t="shared" si="3"/>
        <v/>
      </c>
      <c r="Q73" s="30"/>
      <c r="R73" s="31"/>
      <c r="S73" s="68"/>
      <c r="T73" s="40"/>
      <c r="U73" s="33"/>
      <c r="V73" s="74"/>
      <c r="W73" s="34" t="str">
        <f t="shared" si="4"/>
        <v>FALSE</v>
      </c>
      <c r="X73" s="34" t="str">
        <f t="shared" si="0"/>
        <v>FALSE</v>
      </c>
      <c r="Y73" s="35">
        <f t="shared" si="5"/>
        <v>0</v>
      </c>
      <c r="Z73" s="36" t="str">
        <f t="shared" si="6"/>
        <v/>
      </c>
      <c r="AA73" s="6"/>
      <c r="AB73" s="41"/>
      <c r="AC73" s="33"/>
      <c r="AD73" s="38"/>
      <c r="AE73" s="34"/>
      <c r="AF73" s="34" t="str">
        <f t="shared" si="8"/>
        <v>FALSE</v>
      </c>
      <c r="AG73" s="35">
        <f t="shared" si="1"/>
        <v>0</v>
      </c>
      <c r="AH73" s="36" t="str">
        <f t="shared" si="2"/>
        <v/>
      </c>
    </row>
    <row r="74" spans="1:34" ht="1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29" t="str">
        <f t="shared" si="3"/>
        <v/>
      </c>
      <c r="Q74" s="30"/>
      <c r="R74" s="31"/>
      <c r="S74" s="68"/>
      <c r="T74" s="40"/>
      <c r="U74" s="33"/>
      <c r="V74" s="74"/>
      <c r="W74" s="34" t="str">
        <f t="shared" si="4"/>
        <v>FALSE</v>
      </c>
      <c r="X74" s="34" t="str">
        <f t="shared" si="0"/>
        <v>FALSE</v>
      </c>
      <c r="Y74" s="35">
        <f t="shared" si="5"/>
        <v>0</v>
      </c>
      <c r="Z74" s="36" t="str">
        <f t="shared" si="6"/>
        <v/>
      </c>
      <c r="AA74" s="6"/>
      <c r="AB74" s="41"/>
      <c r="AC74" s="33"/>
      <c r="AD74" s="38"/>
      <c r="AE74" s="34"/>
      <c r="AF74" s="34" t="str">
        <f t="shared" si="8"/>
        <v>FALSE</v>
      </c>
      <c r="AG74" s="35">
        <f t="shared" si="1"/>
        <v>0</v>
      </c>
      <c r="AH74" s="36" t="str">
        <f t="shared" si="2"/>
        <v/>
      </c>
    </row>
    <row r="75" spans="1:34" ht="1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29" t="str">
        <f t="shared" si="3"/>
        <v/>
      </c>
      <c r="Q75" s="30"/>
      <c r="R75" s="31"/>
      <c r="S75" s="68"/>
      <c r="T75" s="40"/>
      <c r="U75" s="33"/>
      <c r="V75" s="74"/>
      <c r="W75" s="34" t="str">
        <f t="shared" si="4"/>
        <v>FALSE</v>
      </c>
      <c r="X75" s="34" t="str">
        <f t="shared" si="0"/>
        <v>FALSE</v>
      </c>
      <c r="Y75" s="35">
        <f t="shared" si="5"/>
        <v>0</v>
      </c>
      <c r="Z75" s="36" t="str">
        <f t="shared" si="6"/>
        <v/>
      </c>
      <c r="AA75" s="6"/>
      <c r="AB75" s="41"/>
      <c r="AC75" s="33"/>
      <c r="AD75" s="38"/>
      <c r="AE75" s="34"/>
      <c r="AF75" s="34" t="str">
        <f t="shared" si="8"/>
        <v>FALSE</v>
      </c>
      <c r="AG75" s="35">
        <f t="shared" si="1"/>
        <v>0</v>
      </c>
      <c r="AH75" s="36" t="str">
        <f t="shared" si="2"/>
        <v/>
      </c>
    </row>
    <row r="76" spans="1:34" ht="1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29" t="str">
        <f t="shared" si="3"/>
        <v/>
      </c>
      <c r="Q76" s="30"/>
      <c r="R76" s="31"/>
      <c r="S76" s="68"/>
      <c r="T76" s="40"/>
      <c r="U76" s="33"/>
      <c r="V76" s="74"/>
      <c r="W76" s="34" t="str">
        <f t="shared" si="4"/>
        <v>FALSE</v>
      </c>
      <c r="X76" s="34" t="str">
        <f t="shared" si="0"/>
        <v>FALSE</v>
      </c>
      <c r="Y76" s="35">
        <f t="shared" si="5"/>
        <v>0</v>
      </c>
      <c r="Z76" s="36" t="str">
        <f t="shared" si="6"/>
        <v/>
      </c>
      <c r="AA76" s="6"/>
      <c r="AB76" s="41"/>
      <c r="AC76" s="33"/>
      <c r="AD76" s="38"/>
      <c r="AE76" s="34"/>
      <c r="AF76" s="34" t="str">
        <f t="shared" si="8"/>
        <v>FALSE</v>
      </c>
      <c r="AG76" s="35">
        <f t="shared" si="1"/>
        <v>0</v>
      </c>
      <c r="AH76" s="36" t="str">
        <f t="shared" si="2"/>
        <v/>
      </c>
    </row>
    <row r="77" spans="1:34" ht="1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29" t="str">
        <f t="shared" si="3"/>
        <v/>
      </c>
      <c r="Q77" s="30"/>
      <c r="R77" s="31"/>
      <c r="S77" s="68"/>
      <c r="T77" s="40"/>
      <c r="U77" s="33"/>
      <c r="V77" s="74"/>
      <c r="W77" s="34" t="str">
        <f t="shared" si="4"/>
        <v>FALSE</v>
      </c>
      <c r="X77" s="34" t="str">
        <f t="shared" si="0"/>
        <v>FALSE</v>
      </c>
      <c r="Y77" s="35">
        <f t="shared" si="5"/>
        <v>0</v>
      </c>
      <c r="Z77" s="36" t="str">
        <f t="shared" si="6"/>
        <v/>
      </c>
      <c r="AA77" s="6"/>
      <c r="AB77" s="41"/>
      <c r="AC77" s="33"/>
      <c r="AD77" s="38"/>
      <c r="AE77" s="34"/>
      <c r="AF77" s="34" t="str">
        <f t="shared" si="8"/>
        <v>FALSE</v>
      </c>
      <c r="AG77" s="35">
        <f t="shared" si="1"/>
        <v>0</v>
      </c>
      <c r="AH77" s="36" t="str">
        <f t="shared" si="2"/>
        <v/>
      </c>
    </row>
    <row r="78" spans="1:34" ht="1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29" t="str">
        <f t="shared" si="3"/>
        <v/>
      </c>
      <c r="Q78" s="30"/>
      <c r="R78" s="31"/>
      <c r="S78" s="68"/>
      <c r="T78" s="40"/>
      <c r="U78" s="33"/>
      <c r="V78" s="74"/>
      <c r="W78" s="34" t="str">
        <f t="shared" si="4"/>
        <v>FALSE</v>
      </c>
      <c r="X78" s="34" t="str">
        <f t="shared" ref="X78:X120" si="9">IF(U78="","FALSE",ABS((U78-AVERAGE($U$14:$U$120))/_xlfn.STDEV.S($U$14:$U$104)))</f>
        <v>FALSE</v>
      </c>
      <c r="Y78" s="35">
        <f t="shared" si="5"/>
        <v>0</v>
      </c>
      <c r="Z78" s="36" t="str">
        <f t="shared" si="6"/>
        <v/>
      </c>
      <c r="AA78" s="6"/>
      <c r="AB78" s="41"/>
      <c r="AC78" s="33"/>
      <c r="AD78" s="38"/>
      <c r="AE78" s="34"/>
      <c r="AF78" s="34" t="str">
        <f t="shared" si="8"/>
        <v>FALSE</v>
      </c>
      <c r="AG78" s="35">
        <f t="shared" ref="AG78:AG120" si="10">IF(OR(AC78&gt;$AG$11,AC78&lt;$AF$11),AC78,"")</f>
        <v>0</v>
      </c>
      <c r="AH78" s="36" t="str">
        <f t="shared" ref="AH78:AH120" si="11">IF(AC78="","",AC78/AB78)</f>
        <v/>
      </c>
    </row>
    <row r="79" spans="1:34" ht="1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29" t="str">
        <f t="shared" ref="P79:P120" si="12">IF(R79&lt;&gt;"",P78+1,"")</f>
        <v/>
      </c>
      <c r="Q79" s="30"/>
      <c r="R79" s="31"/>
      <c r="S79" s="68"/>
      <c r="T79" s="40"/>
      <c r="U79" s="33"/>
      <c r="V79" s="74"/>
      <c r="W79" s="34" t="str">
        <f t="shared" ref="W79:W120" si="13">IF(X79&gt;3,"FALSE",U79)</f>
        <v>FALSE</v>
      </c>
      <c r="X79" s="34" t="str">
        <f t="shared" si="9"/>
        <v>FALSE</v>
      </c>
      <c r="Y79" s="35">
        <f t="shared" ref="Y79:Y120" si="14">IF(OR(U79&gt;$Y$11,U79&lt;$X$11),U79,"")</f>
        <v>0</v>
      </c>
      <c r="Z79" s="36" t="str">
        <f t="shared" ref="Z79:Z120" si="15">IF(U79="","",U79/T79)</f>
        <v/>
      </c>
      <c r="AA79" s="6"/>
      <c r="AB79" s="41"/>
      <c r="AC79" s="33"/>
      <c r="AD79" s="38"/>
      <c r="AE79" s="34"/>
      <c r="AF79" s="34" t="str">
        <f t="shared" ref="AF79:AF120" si="16">IF(AC79="","FALSE",ABS((AC79-AVERAGE($AC$14:$AC$120))/_xlfn.STDEV.S($AC$14:$AC$104)))</f>
        <v>FALSE</v>
      </c>
      <c r="AG79" s="35">
        <f t="shared" si="10"/>
        <v>0</v>
      </c>
      <c r="AH79" s="36" t="str">
        <f t="shared" si="11"/>
        <v/>
      </c>
    </row>
    <row r="80" spans="1:34" ht="1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29" t="str">
        <f t="shared" si="12"/>
        <v/>
      </c>
      <c r="Q80" s="30"/>
      <c r="R80" s="31"/>
      <c r="S80" s="68"/>
      <c r="T80" s="40"/>
      <c r="U80" s="33"/>
      <c r="V80" s="74"/>
      <c r="W80" s="34" t="str">
        <f t="shared" si="13"/>
        <v>FALSE</v>
      </c>
      <c r="X80" s="34" t="str">
        <f t="shared" si="9"/>
        <v>FALSE</v>
      </c>
      <c r="Y80" s="35">
        <f t="shared" si="14"/>
        <v>0</v>
      </c>
      <c r="Z80" s="36" t="str">
        <f t="shared" si="15"/>
        <v/>
      </c>
      <c r="AA80" s="6"/>
      <c r="AB80" s="41"/>
      <c r="AC80" s="33"/>
      <c r="AD80" s="38"/>
      <c r="AE80" s="34"/>
      <c r="AF80" s="34" t="str">
        <f t="shared" si="16"/>
        <v>FALSE</v>
      </c>
      <c r="AG80" s="35">
        <f t="shared" si="10"/>
        <v>0</v>
      </c>
      <c r="AH80" s="36" t="str">
        <f t="shared" si="11"/>
        <v/>
      </c>
    </row>
    <row r="81" spans="1:34" ht="1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29" t="str">
        <f t="shared" si="12"/>
        <v/>
      </c>
      <c r="Q81" s="30"/>
      <c r="R81" s="31"/>
      <c r="S81" s="68"/>
      <c r="T81" s="40"/>
      <c r="U81" s="33"/>
      <c r="V81" s="74"/>
      <c r="W81" s="34" t="str">
        <f t="shared" si="13"/>
        <v>FALSE</v>
      </c>
      <c r="X81" s="34" t="str">
        <f t="shared" si="9"/>
        <v>FALSE</v>
      </c>
      <c r="Y81" s="35">
        <f t="shared" si="14"/>
        <v>0</v>
      </c>
      <c r="Z81" s="36" t="str">
        <f t="shared" si="15"/>
        <v/>
      </c>
      <c r="AA81" s="6"/>
      <c r="AB81" s="41"/>
      <c r="AC81" s="33"/>
      <c r="AD81" s="38"/>
      <c r="AE81" s="34"/>
      <c r="AF81" s="34" t="str">
        <f t="shared" si="16"/>
        <v>FALSE</v>
      </c>
      <c r="AG81" s="35">
        <f t="shared" si="10"/>
        <v>0</v>
      </c>
      <c r="AH81" s="36" t="str">
        <f t="shared" si="11"/>
        <v/>
      </c>
    </row>
    <row r="82" spans="1:34" ht="1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29" t="str">
        <f t="shared" si="12"/>
        <v/>
      </c>
      <c r="Q82" s="30"/>
      <c r="R82" s="31"/>
      <c r="S82" s="68"/>
      <c r="T82" s="40"/>
      <c r="U82" s="33"/>
      <c r="V82" s="74"/>
      <c r="W82" s="34" t="str">
        <f t="shared" si="13"/>
        <v>FALSE</v>
      </c>
      <c r="X82" s="34" t="str">
        <f t="shared" si="9"/>
        <v>FALSE</v>
      </c>
      <c r="Y82" s="35">
        <f t="shared" si="14"/>
        <v>0</v>
      </c>
      <c r="Z82" s="36" t="str">
        <f t="shared" si="15"/>
        <v/>
      </c>
      <c r="AA82" s="6"/>
      <c r="AB82" s="41"/>
      <c r="AC82" s="33"/>
      <c r="AD82" s="38"/>
      <c r="AE82" s="34"/>
      <c r="AF82" s="34" t="str">
        <f t="shared" si="16"/>
        <v>FALSE</v>
      </c>
      <c r="AG82" s="35">
        <f t="shared" si="10"/>
        <v>0</v>
      </c>
      <c r="AH82" s="36" t="str">
        <f t="shared" si="11"/>
        <v/>
      </c>
    </row>
    <row r="83" spans="1:34" ht="1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29" t="str">
        <f t="shared" si="12"/>
        <v/>
      </c>
      <c r="Q83" s="30"/>
      <c r="R83" s="31"/>
      <c r="S83" s="68"/>
      <c r="T83" s="40"/>
      <c r="U83" s="33"/>
      <c r="V83" s="74"/>
      <c r="W83" s="34" t="str">
        <f t="shared" si="13"/>
        <v>FALSE</v>
      </c>
      <c r="X83" s="34" t="str">
        <f t="shared" si="9"/>
        <v>FALSE</v>
      </c>
      <c r="Y83" s="35">
        <f t="shared" si="14"/>
        <v>0</v>
      </c>
      <c r="Z83" s="36" t="str">
        <f t="shared" si="15"/>
        <v/>
      </c>
      <c r="AA83" s="6"/>
      <c r="AB83" s="41"/>
      <c r="AC83" s="33"/>
      <c r="AD83" s="38"/>
      <c r="AE83" s="34"/>
      <c r="AF83" s="34" t="str">
        <f t="shared" si="16"/>
        <v>FALSE</v>
      </c>
      <c r="AG83" s="35">
        <f t="shared" si="10"/>
        <v>0</v>
      </c>
      <c r="AH83" s="36" t="str">
        <f t="shared" si="11"/>
        <v/>
      </c>
    </row>
    <row r="84" spans="1:34" ht="1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29" t="str">
        <f t="shared" si="12"/>
        <v/>
      </c>
      <c r="Q84" s="30"/>
      <c r="R84" s="31"/>
      <c r="S84" s="68"/>
      <c r="T84" s="40"/>
      <c r="U84" s="33"/>
      <c r="V84" s="74"/>
      <c r="W84" s="34" t="str">
        <f t="shared" si="13"/>
        <v>FALSE</v>
      </c>
      <c r="X84" s="34" t="str">
        <f t="shared" si="9"/>
        <v>FALSE</v>
      </c>
      <c r="Y84" s="35">
        <f t="shared" si="14"/>
        <v>0</v>
      </c>
      <c r="Z84" s="36" t="str">
        <f t="shared" si="15"/>
        <v/>
      </c>
      <c r="AA84" s="6"/>
      <c r="AB84" s="41"/>
      <c r="AC84" s="33"/>
      <c r="AD84" s="38"/>
      <c r="AE84" s="34"/>
      <c r="AF84" s="34" t="str">
        <f t="shared" si="16"/>
        <v>FALSE</v>
      </c>
      <c r="AG84" s="35">
        <f t="shared" si="10"/>
        <v>0</v>
      </c>
      <c r="AH84" s="36" t="str">
        <f t="shared" si="11"/>
        <v/>
      </c>
    </row>
    <row r="85" spans="1:34" ht="1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29" t="str">
        <f t="shared" si="12"/>
        <v/>
      </c>
      <c r="Q85" s="30"/>
      <c r="R85" s="31"/>
      <c r="S85" s="68"/>
      <c r="T85" s="40"/>
      <c r="U85" s="33"/>
      <c r="V85" s="74"/>
      <c r="W85" s="34" t="str">
        <f t="shared" si="13"/>
        <v>FALSE</v>
      </c>
      <c r="X85" s="34" t="str">
        <f t="shared" si="9"/>
        <v>FALSE</v>
      </c>
      <c r="Y85" s="35">
        <f t="shared" si="14"/>
        <v>0</v>
      </c>
      <c r="Z85" s="36" t="str">
        <f t="shared" si="15"/>
        <v/>
      </c>
      <c r="AA85" s="6"/>
      <c r="AB85" s="41"/>
      <c r="AC85" s="33"/>
      <c r="AD85" s="38"/>
      <c r="AE85" s="34"/>
      <c r="AF85" s="34" t="str">
        <f t="shared" si="16"/>
        <v>FALSE</v>
      </c>
      <c r="AG85" s="35">
        <f t="shared" si="10"/>
        <v>0</v>
      </c>
      <c r="AH85" s="36" t="str">
        <f t="shared" si="11"/>
        <v/>
      </c>
    </row>
    <row r="86" spans="1:34" ht="1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29" t="str">
        <f t="shared" si="12"/>
        <v/>
      </c>
      <c r="Q86" s="30"/>
      <c r="R86" s="31"/>
      <c r="S86" s="68"/>
      <c r="T86" s="40"/>
      <c r="U86" s="33"/>
      <c r="V86" s="74"/>
      <c r="W86" s="34" t="str">
        <f t="shared" si="13"/>
        <v>FALSE</v>
      </c>
      <c r="X86" s="34" t="str">
        <f t="shared" si="9"/>
        <v>FALSE</v>
      </c>
      <c r="Y86" s="35">
        <f t="shared" si="14"/>
        <v>0</v>
      </c>
      <c r="Z86" s="36" t="str">
        <f t="shared" si="15"/>
        <v/>
      </c>
      <c r="AA86" s="6"/>
      <c r="AB86" s="41"/>
      <c r="AC86" s="33"/>
      <c r="AD86" s="38"/>
      <c r="AE86" s="34"/>
      <c r="AF86" s="34" t="str">
        <f t="shared" si="16"/>
        <v>FALSE</v>
      </c>
      <c r="AG86" s="35">
        <f t="shared" si="10"/>
        <v>0</v>
      </c>
      <c r="AH86" s="36" t="str">
        <f t="shared" si="11"/>
        <v/>
      </c>
    </row>
    <row r="87" spans="1:34" ht="1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29" t="str">
        <f t="shared" si="12"/>
        <v/>
      </c>
      <c r="Q87" s="30"/>
      <c r="R87" s="31"/>
      <c r="S87" s="68"/>
      <c r="T87" s="40"/>
      <c r="U87" s="33"/>
      <c r="V87" s="74"/>
      <c r="W87" s="34" t="str">
        <f t="shared" si="13"/>
        <v>FALSE</v>
      </c>
      <c r="X87" s="34" t="str">
        <f t="shared" si="9"/>
        <v>FALSE</v>
      </c>
      <c r="Y87" s="35">
        <f t="shared" si="14"/>
        <v>0</v>
      </c>
      <c r="Z87" s="36" t="str">
        <f t="shared" si="15"/>
        <v/>
      </c>
      <c r="AA87" s="6"/>
      <c r="AB87" s="41"/>
      <c r="AC87" s="33"/>
      <c r="AD87" s="38"/>
      <c r="AE87" s="34"/>
      <c r="AF87" s="34" t="str">
        <f t="shared" si="16"/>
        <v>FALSE</v>
      </c>
      <c r="AG87" s="35">
        <f t="shared" si="10"/>
        <v>0</v>
      </c>
      <c r="AH87" s="36" t="str">
        <f t="shared" si="11"/>
        <v/>
      </c>
    </row>
    <row r="88" spans="1:34" ht="1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29" t="str">
        <f t="shared" si="12"/>
        <v/>
      </c>
      <c r="Q88" s="30"/>
      <c r="R88" s="31"/>
      <c r="S88" s="68"/>
      <c r="T88" s="40"/>
      <c r="U88" s="33"/>
      <c r="V88" s="74"/>
      <c r="W88" s="34" t="str">
        <f t="shared" si="13"/>
        <v>FALSE</v>
      </c>
      <c r="X88" s="34" t="str">
        <f t="shared" si="9"/>
        <v>FALSE</v>
      </c>
      <c r="Y88" s="35">
        <f t="shared" si="14"/>
        <v>0</v>
      </c>
      <c r="Z88" s="36" t="str">
        <f t="shared" si="15"/>
        <v/>
      </c>
      <c r="AA88" s="6"/>
      <c r="AB88" s="41"/>
      <c r="AC88" s="33"/>
      <c r="AD88" s="38"/>
      <c r="AE88" s="34"/>
      <c r="AF88" s="34" t="str">
        <f t="shared" si="16"/>
        <v>FALSE</v>
      </c>
      <c r="AG88" s="35">
        <f t="shared" si="10"/>
        <v>0</v>
      </c>
      <c r="AH88" s="36" t="str">
        <f t="shared" si="11"/>
        <v/>
      </c>
    </row>
    <row r="89" spans="1:34" ht="1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29" t="str">
        <f t="shared" si="12"/>
        <v/>
      </c>
      <c r="Q89" s="30"/>
      <c r="R89" s="31"/>
      <c r="S89" s="68"/>
      <c r="T89" s="40"/>
      <c r="U89" s="33"/>
      <c r="V89" s="74"/>
      <c r="W89" s="34" t="str">
        <f t="shared" si="13"/>
        <v>FALSE</v>
      </c>
      <c r="X89" s="34" t="str">
        <f t="shared" si="9"/>
        <v>FALSE</v>
      </c>
      <c r="Y89" s="35">
        <f t="shared" si="14"/>
        <v>0</v>
      </c>
      <c r="Z89" s="36" t="str">
        <f t="shared" si="15"/>
        <v/>
      </c>
      <c r="AA89" s="6"/>
      <c r="AB89" s="41"/>
      <c r="AC89" s="33"/>
      <c r="AD89" s="38"/>
      <c r="AE89" s="34"/>
      <c r="AF89" s="34" t="str">
        <f t="shared" si="16"/>
        <v>FALSE</v>
      </c>
      <c r="AG89" s="35">
        <f t="shared" si="10"/>
        <v>0</v>
      </c>
      <c r="AH89" s="36" t="str">
        <f t="shared" si="11"/>
        <v/>
      </c>
    </row>
    <row r="90" spans="1:34" ht="1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29" t="str">
        <f t="shared" si="12"/>
        <v/>
      </c>
      <c r="Q90" s="30"/>
      <c r="R90" s="31"/>
      <c r="S90" s="68"/>
      <c r="T90" s="40"/>
      <c r="U90" s="33"/>
      <c r="V90" s="74"/>
      <c r="W90" s="34" t="str">
        <f t="shared" si="13"/>
        <v>FALSE</v>
      </c>
      <c r="X90" s="34" t="str">
        <f t="shared" si="9"/>
        <v>FALSE</v>
      </c>
      <c r="Y90" s="35">
        <f t="shared" si="14"/>
        <v>0</v>
      </c>
      <c r="Z90" s="36" t="str">
        <f t="shared" si="15"/>
        <v/>
      </c>
      <c r="AA90" s="6"/>
      <c r="AB90" s="41"/>
      <c r="AC90" s="33"/>
      <c r="AD90" s="38"/>
      <c r="AE90" s="34"/>
      <c r="AF90" s="34" t="str">
        <f t="shared" si="16"/>
        <v>FALSE</v>
      </c>
      <c r="AG90" s="35">
        <f t="shared" si="10"/>
        <v>0</v>
      </c>
      <c r="AH90" s="36" t="str">
        <f t="shared" si="11"/>
        <v/>
      </c>
    </row>
    <row r="91" spans="1:34" ht="1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29" t="str">
        <f t="shared" si="12"/>
        <v/>
      </c>
      <c r="Q91" s="30"/>
      <c r="R91" s="31"/>
      <c r="S91" s="68"/>
      <c r="T91" s="40"/>
      <c r="U91" s="33"/>
      <c r="V91" s="74"/>
      <c r="W91" s="34" t="str">
        <f t="shared" si="13"/>
        <v>FALSE</v>
      </c>
      <c r="X91" s="34" t="str">
        <f t="shared" si="9"/>
        <v>FALSE</v>
      </c>
      <c r="Y91" s="35">
        <f t="shared" si="14"/>
        <v>0</v>
      </c>
      <c r="Z91" s="36" t="str">
        <f t="shared" si="15"/>
        <v/>
      </c>
      <c r="AA91" s="6"/>
      <c r="AB91" s="41"/>
      <c r="AC91" s="33"/>
      <c r="AD91" s="38"/>
      <c r="AE91" s="34"/>
      <c r="AF91" s="34" t="str">
        <f t="shared" si="16"/>
        <v>FALSE</v>
      </c>
      <c r="AG91" s="35">
        <f t="shared" si="10"/>
        <v>0</v>
      </c>
      <c r="AH91" s="36" t="str">
        <f t="shared" si="11"/>
        <v/>
      </c>
    </row>
    <row r="92" spans="1:34" ht="1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29" t="str">
        <f t="shared" si="12"/>
        <v/>
      </c>
      <c r="Q92" s="30"/>
      <c r="R92" s="31"/>
      <c r="S92" s="68"/>
      <c r="T92" s="40"/>
      <c r="U92" s="33"/>
      <c r="V92" s="74"/>
      <c r="W92" s="34" t="str">
        <f t="shared" si="13"/>
        <v>FALSE</v>
      </c>
      <c r="X92" s="34" t="str">
        <f t="shared" si="9"/>
        <v>FALSE</v>
      </c>
      <c r="Y92" s="35">
        <f t="shared" si="14"/>
        <v>0</v>
      </c>
      <c r="Z92" s="36" t="str">
        <f t="shared" si="15"/>
        <v/>
      </c>
      <c r="AA92" s="6"/>
      <c r="AB92" s="41"/>
      <c r="AC92" s="33"/>
      <c r="AD92" s="38"/>
      <c r="AE92" s="34"/>
      <c r="AF92" s="34" t="str">
        <f t="shared" si="16"/>
        <v>FALSE</v>
      </c>
      <c r="AG92" s="35">
        <f t="shared" si="10"/>
        <v>0</v>
      </c>
      <c r="AH92" s="36" t="str">
        <f t="shared" si="11"/>
        <v/>
      </c>
    </row>
    <row r="93" spans="1:34" ht="1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29" t="str">
        <f t="shared" si="12"/>
        <v/>
      </c>
      <c r="Q93" s="30"/>
      <c r="R93" s="31"/>
      <c r="S93" s="68"/>
      <c r="T93" s="40"/>
      <c r="U93" s="33"/>
      <c r="V93" s="74"/>
      <c r="W93" s="34" t="str">
        <f t="shared" si="13"/>
        <v>FALSE</v>
      </c>
      <c r="X93" s="34" t="str">
        <f t="shared" si="9"/>
        <v>FALSE</v>
      </c>
      <c r="Y93" s="35">
        <f t="shared" si="14"/>
        <v>0</v>
      </c>
      <c r="Z93" s="36" t="str">
        <f t="shared" si="15"/>
        <v/>
      </c>
      <c r="AA93" s="6"/>
      <c r="AB93" s="41"/>
      <c r="AC93" s="33"/>
      <c r="AD93" s="38"/>
      <c r="AE93" s="34"/>
      <c r="AF93" s="34" t="str">
        <f t="shared" si="16"/>
        <v>FALSE</v>
      </c>
      <c r="AG93" s="35">
        <f t="shared" si="10"/>
        <v>0</v>
      </c>
      <c r="AH93" s="36" t="str">
        <f t="shared" si="11"/>
        <v/>
      </c>
    </row>
    <row r="94" spans="1:34" ht="1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29" t="str">
        <f t="shared" si="12"/>
        <v/>
      </c>
      <c r="Q94" s="30"/>
      <c r="R94" s="31"/>
      <c r="S94" s="68"/>
      <c r="T94" s="40"/>
      <c r="U94" s="33"/>
      <c r="V94" s="74"/>
      <c r="W94" s="34" t="str">
        <f t="shared" si="13"/>
        <v>FALSE</v>
      </c>
      <c r="X94" s="34" t="str">
        <f t="shared" si="9"/>
        <v>FALSE</v>
      </c>
      <c r="Y94" s="35">
        <f t="shared" si="14"/>
        <v>0</v>
      </c>
      <c r="Z94" s="36" t="str">
        <f t="shared" si="15"/>
        <v/>
      </c>
      <c r="AA94" s="6"/>
      <c r="AB94" s="41"/>
      <c r="AC94" s="33"/>
      <c r="AD94" s="38"/>
      <c r="AE94" s="34"/>
      <c r="AF94" s="34" t="str">
        <f t="shared" si="16"/>
        <v>FALSE</v>
      </c>
      <c r="AG94" s="35">
        <f t="shared" si="10"/>
        <v>0</v>
      </c>
      <c r="AH94" s="36" t="str">
        <f t="shared" si="11"/>
        <v/>
      </c>
    </row>
    <row r="95" spans="1:34" ht="1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29" t="str">
        <f t="shared" si="12"/>
        <v/>
      </c>
      <c r="Q95" s="30"/>
      <c r="R95" s="31"/>
      <c r="S95" s="68"/>
      <c r="T95" s="40"/>
      <c r="U95" s="33"/>
      <c r="V95" s="74"/>
      <c r="W95" s="34" t="str">
        <f t="shared" si="13"/>
        <v>FALSE</v>
      </c>
      <c r="X95" s="34" t="str">
        <f t="shared" si="9"/>
        <v>FALSE</v>
      </c>
      <c r="Y95" s="35">
        <f t="shared" si="14"/>
        <v>0</v>
      </c>
      <c r="Z95" s="36" t="str">
        <f t="shared" si="15"/>
        <v/>
      </c>
      <c r="AA95" s="6"/>
      <c r="AB95" s="41"/>
      <c r="AC95" s="33"/>
      <c r="AD95" s="38"/>
      <c r="AE95" s="34"/>
      <c r="AF95" s="34" t="str">
        <f t="shared" si="16"/>
        <v>FALSE</v>
      </c>
      <c r="AG95" s="35">
        <f t="shared" si="10"/>
        <v>0</v>
      </c>
      <c r="AH95" s="36" t="str">
        <f t="shared" si="11"/>
        <v/>
      </c>
    </row>
    <row r="96" spans="1:34" ht="1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29" t="str">
        <f t="shared" si="12"/>
        <v/>
      </c>
      <c r="Q96" s="30"/>
      <c r="R96" s="31"/>
      <c r="S96" s="68"/>
      <c r="T96" s="40"/>
      <c r="U96" s="33"/>
      <c r="V96" s="74"/>
      <c r="W96" s="34" t="str">
        <f t="shared" si="13"/>
        <v>FALSE</v>
      </c>
      <c r="X96" s="34" t="str">
        <f t="shared" si="9"/>
        <v>FALSE</v>
      </c>
      <c r="Y96" s="35">
        <f t="shared" si="14"/>
        <v>0</v>
      </c>
      <c r="Z96" s="36" t="str">
        <f t="shared" si="15"/>
        <v/>
      </c>
      <c r="AA96" s="6"/>
      <c r="AB96" s="41"/>
      <c r="AC96" s="33"/>
      <c r="AD96" s="38"/>
      <c r="AE96" s="34"/>
      <c r="AF96" s="34" t="str">
        <f t="shared" si="16"/>
        <v>FALSE</v>
      </c>
      <c r="AG96" s="35">
        <f t="shared" si="10"/>
        <v>0</v>
      </c>
      <c r="AH96" s="36" t="str">
        <f t="shared" si="11"/>
        <v/>
      </c>
    </row>
    <row r="97" spans="1:34" ht="1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29" t="str">
        <f t="shared" si="12"/>
        <v/>
      </c>
      <c r="Q97" s="30"/>
      <c r="R97" s="31"/>
      <c r="S97" s="68"/>
      <c r="T97" s="40"/>
      <c r="U97" s="33"/>
      <c r="V97" s="74"/>
      <c r="W97" s="34" t="str">
        <f t="shared" si="13"/>
        <v>FALSE</v>
      </c>
      <c r="X97" s="34" t="str">
        <f t="shared" si="9"/>
        <v>FALSE</v>
      </c>
      <c r="Y97" s="35">
        <f t="shared" si="14"/>
        <v>0</v>
      </c>
      <c r="Z97" s="36" t="str">
        <f t="shared" si="15"/>
        <v/>
      </c>
      <c r="AA97" s="6"/>
      <c r="AB97" s="41"/>
      <c r="AC97" s="33"/>
      <c r="AD97" s="38"/>
      <c r="AE97" s="34"/>
      <c r="AF97" s="34" t="str">
        <f t="shared" si="16"/>
        <v>FALSE</v>
      </c>
      <c r="AG97" s="35">
        <f t="shared" si="10"/>
        <v>0</v>
      </c>
      <c r="AH97" s="36" t="str">
        <f t="shared" si="11"/>
        <v/>
      </c>
    </row>
    <row r="98" spans="1:34" ht="1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29" t="str">
        <f t="shared" si="12"/>
        <v/>
      </c>
      <c r="Q98" s="30"/>
      <c r="R98" s="31"/>
      <c r="S98" s="68"/>
      <c r="T98" s="40"/>
      <c r="U98" s="33"/>
      <c r="V98" s="74"/>
      <c r="W98" s="34" t="str">
        <f t="shared" si="13"/>
        <v>FALSE</v>
      </c>
      <c r="X98" s="34" t="str">
        <f t="shared" si="9"/>
        <v>FALSE</v>
      </c>
      <c r="Y98" s="35">
        <f t="shared" si="14"/>
        <v>0</v>
      </c>
      <c r="Z98" s="36" t="str">
        <f t="shared" si="15"/>
        <v/>
      </c>
      <c r="AA98" s="6"/>
      <c r="AB98" s="41"/>
      <c r="AC98" s="33"/>
      <c r="AD98" s="38"/>
      <c r="AE98" s="34"/>
      <c r="AF98" s="34" t="str">
        <f t="shared" si="16"/>
        <v>FALSE</v>
      </c>
      <c r="AG98" s="35">
        <f t="shared" si="10"/>
        <v>0</v>
      </c>
      <c r="AH98" s="36" t="str">
        <f t="shared" si="11"/>
        <v/>
      </c>
    </row>
    <row r="99" spans="1:34" ht="1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29" t="str">
        <f t="shared" si="12"/>
        <v/>
      </c>
      <c r="Q99" s="30"/>
      <c r="R99" s="31"/>
      <c r="S99" s="68"/>
      <c r="T99" s="40"/>
      <c r="U99" s="33"/>
      <c r="V99" s="74"/>
      <c r="W99" s="34" t="str">
        <f t="shared" si="13"/>
        <v>FALSE</v>
      </c>
      <c r="X99" s="34" t="str">
        <f t="shared" si="9"/>
        <v>FALSE</v>
      </c>
      <c r="Y99" s="35">
        <f t="shared" si="14"/>
        <v>0</v>
      </c>
      <c r="Z99" s="36" t="str">
        <f t="shared" si="15"/>
        <v/>
      </c>
      <c r="AA99" s="6"/>
      <c r="AB99" s="41"/>
      <c r="AC99" s="33"/>
      <c r="AD99" s="38"/>
      <c r="AE99" s="34"/>
      <c r="AF99" s="34" t="str">
        <f t="shared" si="16"/>
        <v>FALSE</v>
      </c>
      <c r="AG99" s="35">
        <f t="shared" si="10"/>
        <v>0</v>
      </c>
      <c r="AH99" s="36" t="str">
        <f t="shared" si="11"/>
        <v/>
      </c>
    </row>
    <row r="100" spans="1:34" ht="1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29" t="str">
        <f t="shared" si="12"/>
        <v/>
      </c>
      <c r="Q100" s="30"/>
      <c r="R100" s="31"/>
      <c r="S100" s="68"/>
      <c r="T100" s="40"/>
      <c r="U100" s="33"/>
      <c r="V100" s="74"/>
      <c r="W100" s="34" t="str">
        <f t="shared" si="13"/>
        <v>FALSE</v>
      </c>
      <c r="X100" s="34" t="str">
        <f t="shared" si="9"/>
        <v>FALSE</v>
      </c>
      <c r="Y100" s="35">
        <f t="shared" si="14"/>
        <v>0</v>
      </c>
      <c r="Z100" s="36" t="str">
        <f t="shared" si="15"/>
        <v/>
      </c>
      <c r="AA100" s="6"/>
      <c r="AB100" s="41"/>
      <c r="AC100" s="33"/>
      <c r="AD100" s="38"/>
      <c r="AE100" s="34"/>
      <c r="AF100" s="34" t="str">
        <f t="shared" si="16"/>
        <v>FALSE</v>
      </c>
      <c r="AG100" s="35">
        <f t="shared" si="10"/>
        <v>0</v>
      </c>
      <c r="AH100" s="36" t="str">
        <f t="shared" si="11"/>
        <v/>
      </c>
    </row>
    <row r="101" spans="1:34" ht="1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29" t="str">
        <f t="shared" si="12"/>
        <v/>
      </c>
      <c r="Q101" s="30"/>
      <c r="R101" s="31"/>
      <c r="S101" s="68"/>
      <c r="T101" s="40"/>
      <c r="U101" s="33"/>
      <c r="V101" s="74"/>
      <c r="W101" s="34" t="str">
        <f t="shared" si="13"/>
        <v>FALSE</v>
      </c>
      <c r="X101" s="34" t="str">
        <f t="shared" si="9"/>
        <v>FALSE</v>
      </c>
      <c r="Y101" s="35">
        <f t="shared" si="14"/>
        <v>0</v>
      </c>
      <c r="Z101" s="36" t="str">
        <f t="shared" si="15"/>
        <v/>
      </c>
      <c r="AA101" s="6"/>
      <c r="AB101" s="41"/>
      <c r="AC101" s="33"/>
      <c r="AD101" s="38"/>
      <c r="AE101" s="34"/>
      <c r="AF101" s="34" t="str">
        <f t="shared" si="16"/>
        <v>FALSE</v>
      </c>
      <c r="AG101" s="35">
        <f t="shared" si="10"/>
        <v>0</v>
      </c>
      <c r="AH101" s="36" t="str">
        <f t="shared" si="11"/>
        <v/>
      </c>
    </row>
    <row r="102" spans="1:34" ht="1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29" t="str">
        <f t="shared" si="12"/>
        <v/>
      </c>
      <c r="Q102" s="30"/>
      <c r="R102" s="31"/>
      <c r="S102" s="68"/>
      <c r="T102" s="40"/>
      <c r="U102" s="33"/>
      <c r="V102" s="74"/>
      <c r="W102" s="34" t="str">
        <f t="shared" si="13"/>
        <v>FALSE</v>
      </c>
      <c r="X102" s="34" t="str">
        <f t="shared" si="9"/>
        <v>FALSE</v>
      </c>
      <c r="Y102" s="35">
        <f t="shared" si="14"/>
        <v>0</v>
      </c>
      <c r="Z102" s="36" t="str">
        <f t="shared" si="15"/>
        <v/>
      </c>
      <c r="AA102" s="6"/>
      <c r="AB102" s="41"/>
      <c r="AC102" s="33"/>
      <c r="AD102" s="38"/>
      <c r="AE102" s="34"/>
      <c r="AF102" s="34" t="str">
        <f t="shared" si="16"/>
        <v>FALSE</v>
      </c>
      <c r="AG102" s="35">
        <f t="shared" si="10"/>
        <v>0</v>
      </c>
      <c r="AH102" s="36" t="str">
        <f t="shared" si="11"/>
        <v/>
      </c>
    </row>
    <row r="103" spans="1:34" ht="1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29" t="str">
        <f t="shared" si="12"/>
        <v/>
      </c>
      <c r="Q103" s="30"/>
      <c r="R103" s="31"/>
      <c r="S103" s="68"/>
      <c r="T103" s="40"/>
      <c r="U103" s="33"/>
      <c r="V103" s="74"/>
      <c r="W103" s="34" t="str">
        <f t="shared" si="13"/>
        <v>FALSE</v>
      </c>
      <c r="X103" s="34" t="str">
        <f t="shared" si="9"/>
        <v>FALSE</v>
      </c>
      <c r="Y103" s="35">
        <f t="shared" si="14"/>
        <v>0</v>
      </c>
      <c r="Z103" s="36" t="str">
        <f t="shared" si="15"/>
        <v/>
      </c>
      <c r="AA103" s="6"/>
      <c r="AB103" s="41"/>
      <c r="AC103" s="33"/>
      <c r="AD103" s="38"/>
      <c r="AE103" s="34"/>
      <c r="AF103" s="34" t="str">
        <f t="shared" si="16"/>
        <v>FALSE</v>
      </c>
      <c r="AG103" s="35">
        <f t="shared" si="10"/>
        <v>0</v>
      </c>
      <c r="AH103" s="36" t="str">
        <f t="shared" si="11"/>
        <v/>
      </c>
    </row>
    <row r="104" spans="1:34" ht="1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29" t="str">
        <f t="shared" si="12"/>
        <v/>
      </c>
      <c r="Q104" s="30"/>
      <c r="R104" s="31"/>
      <c r="S104" s="68"/>
      <c r="T104" s="40"/>
      <c r="U104" s="33"/>
      <c r="V104" s="74"/>
      <c r="W104" s="34" t="str">
        <f t="shared" si="13"/>
        <v>FALSE</v>
      </c>
      <c r="X104" s="34" t="str">
        <f t="shared" si="9"/>
        <v>FALSE</v>
      </c>
      <c r="Y104" s="35">
        <f t="shared" si="14"/>
        <v>0</v>
      </c>
      <c r="Z104" s="36" t="str">
        <f t="shared" si="15"/>
        <v/>
      </c>
      <c r="AA104" s="6"/>
      <c r="AB104" s="41"/>
      <c r="AC104" s="33"/>
      <c r="AD104" s="38"/>
      <c r="AE104" s="34"/>
      <c r="AF104" s="34" t="str">
        <f t="shared" si="16"/>
        <v>FALSE</v>
      </c>
      <c r="AG104" s="35">
        <f t="shared" si="10"/>
        <v>0</v>
      </c>
      <c r="AH104" s="36" t="str">
        <f t="shared" si="11"/>
        <v/>
      </c>
    </row>
    <row r="105" spans="1:34" ht="1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29" t="str">
        <f t="shared" si="12"/>
        <v/>
      </c>
      <c r="Q105" s="30"/>
      <c r="R105" s="31"/>
      <c r="S105" s="68"/>
      <c r="T105" s="40"/>
      <c r="U105" s="33"/>
      <c r="V105" s="74"/>
      <c r="W105" s="34" t="str">
        <f t="shared" si="13"/>
        <v>FALSE</v>
      </c>
      <c r="X105" s="34" t="str">
        <f t="shared" si="9"/>
        <v>FALSE</v>
      </c>
      <c r="Y105" s="35">
        <f t="shared" si="14"/>
        <v>0</v>
      </c>
      <c r="Z105" s="36" t="str">
        <f t="shared" si="15"/>
        <v/>
      </c>
      <c r="AA105" s="6"/>
      <c r="AB105" s="41"/>
      <c r="AC105" s="33"/>
      <c r="AD105" s="38"/>
      <c r="AE105" s="34"/>
      <c r="AF105" s="34" t="str">
        <f t="shared" si="16"/>
        <v>FALSE</v>
      </c>
      <c r="AG105" s="35">
        <f t="shared" si="10"/>
        <v>0</v>
      </c>
      <c r="AH105" s="36" t="str">
        <f t="shared" si="11"/>
        <v/>
      </c>
    </row>
    <row r="106" spans="1:34" ht="1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29" t="str">
        <f t="shared" si="12"/>
        <v/>
      </c>
      <c r="Q106" s="30"/>
      <c r="R106" s="31"/>
      <c r="S106" s="68"/>
      <c r="T106" s="40"/>
      <c r="U106" s="33"/>
      <c r="V106" s="74"/>
      <c r="W106" s="34" t="str">
        <f t="shared" si="13"/>
        <v>FALSE</v>
      </c>
      <c r="X106" s="34" t="str">
        <f t="shared" si="9"/>
        <v>FALSE</v>
      </c>
      <c r="Y106" s="35">
        <f t="shared" si="14"/>
        <v>0</v>
      </c>
      <c r="Z106" s="36" t="str">
        <f t="shared" si="15"/>
        <v/>
      </c>
      <c r="AA106" s="6"/>
      <c r="AB106" s="41"/>
      <c r="AC106" s="33"/>
      <c r="AD106" s="38"/>
      <c r="AE106" s="34"/>
      <c r="AF106" s="34" t="str">
        <f t="shared" si="16"/>
        <v>FALSE</v>
      </c>
      <c r="AG106" s="35">
        <f t="shared" si="10"/>
        <v>0</v>
      </c>
      <c r="AH106" s="36" t="str">
        <f t="shared" si="11"/>
        <v/>
      </c>
    </row>
    <row r="107" spans="1:34" ht="1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29" t="str">
        <f t="shared" si="12"/>
        <v/>
      </c>
      <c r="Q107" s="30"/>
      <c r="R107" s="31"/>
      <c r="S107" s="68"/>
      <c r="T107" s="40"/>
      <c r="U107" s="33"/>
      <c r="V107" s="74"/>
      <c r="W107" s="34" t="str">
        <f t="shared" si="13"/>
        <v>FALSE</v>
      </c>
      <c r="X107" s="34" t="str">
        <f t="shared" si="9"/>
        <v>FALSE</v>
      </c>
      <c r="Y107" s="35">
        <f t="shared" si="14"/>
        <v>0</v>
      </c>
      <c r="Z107" s="36" t="str">
        <f t="shared" si="15"/>
        <v/>
      </c>
      <c r="AA107" s="6"/>
      <c r="AB107" s="41"/>
      <c r="AC107" s="33"/>
      <c r="AD107" s="38"/>
      <c r="AE107" s="34"/>
      <c r="AF107" s="34" t="str">
        <f t="shared" si="16"/>
        <v>FALSE</v>
      </c>
      <c r="AG107" s="35">
        <f t="shared" si="10"/>
        <v>0</v>
      </c>
      <c r="AH107" s="36" t="str">
        <f t="shared" si="11"/>
        <v/>
      </c>
    </row>
    <row r="108" spans="1:34" ht="1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29" t="str">
        <f t="shared" si="12"/>
        <v/>
      </c>
      <c r="Q108" s="30"/>
      <c r="R108" s="31"/>
      <c r="S108" s="68"/>
      <c r="T108" s="40"/>
      <c r="U108" s="33"/>
      <c r="V108" s="74"/>
      <c r="W108" s="34" t="str">
        <f t="shared" si="13"/>
        <v>FALSE</v>
      </c>
      <c r="X108" s="34" t="str">
        <f t="shared" si="9"/>
        <v>FALSE</v>
      </c>
      <c r="Y108" s="35">
        <f t="shared" si="14"/>
        <v>0</v>
      </c>
      <c r="Z108" s="36" t="str">
        <f t="shared" si="15"/>
        <v/>
      </c>
      <c r="AA108" s="6"/>
      <c r="AB108" s="41"/>
      <c r="AC108" s="33"/>
      <c r="AD108" s="38"/>
      <c r="AE108" s="34"/>
      <c r="AF108" s="34" t="str">
        <f t="shared" si="16"/>
        <v>FALSE</v>
      </c>
      <c r="AG108" s="35">
        <f t="shared" si="10"/>
        <v>0</v>
      </c>
      <c r="AH108" s="36" t="str">
        <f t="shared" si="11"/>
        <v/>
      </c>
    </row>
    <row r="109" spans="1:34" ht="1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29" t="str">
        <f t="shared" si="12"/>
        <v/>
      </c>
      <c r="Q109" s="30"/>
      <c r="R109" s="31"/>
      <c r="S109" s="68"/>
      <c r="T109" s="40"/>
      <c r="U109" s="33"/>
      <c r="V109" s="74"/>
      <c r="W109" s="34" t="str">
        <f t="shared" si="13"/>
        <v>FALSE</v>
      </c>
      <c r="X109" s="34" t="str">
        <f t="shared" si="9"/>
        <v>FALSE</v>
      </c>
      <c r="Y109" s="35">
        <f t="shared" si="14"/>
        <v>0</v>
      </c>
      <c r="Z109" s="36" t="str">
        <f t="shared" si="15"/>
        <v/>
      </c>
      <c r="AA109" s="6"/>
      <c r="AB109" s="41"/>
      <c r="AC109" s="33"/>
      <c r="AD109" s="38"/>
      <c r="AE109" s="34"/>
      <c r="AF109" s="34" t="str">
        <f t="shared" si="16"/>
        <v>FALSE</v>
      </c>
      <c r="AG109" s="35">
        <f t="shared" si="10"/>
        <v>0</v>
      </c>
      <c r="AH109" s="36" t="str">
        <f t="shared" si="11"/>
        <v/>
      </c>
    </row>
    <row r="110" spans="1:34" ht="1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29" t="str">
        <f t="shared" si="12"/>
        <v/>
      </c>
      <c r="Q110" s="30"/>
      <c r="R110" s="31"/>
      <c r="S110" s="68"/>
      <c r="T110" s="40"/>
      <c r="U110" s="33"/>
      <c r="V110" s="74"/>
      <c r="W110" s="34" t="str">
        <f t="shared" si="13"/>
        <v>FALSE</v>
      </c>
      <c r="X110" s="34" t="str">
        <f t="shared" si="9"/>
        <v>FALSE</v>
      </c>
      <c r="Y110" s="35">
        <f t="shared" si="14"/>
        <v>0</v>
      </c>
      <c r="Z110" s="36" t="str">
        <f t="shared" si="15"/>
        <v/>
      </c>
      <c r="AA110" s="6"/>
      <c r="AB110" s="41"/>
      <c r="AC110" s="33"/>
      <c r="AD110" s="38"/>
      <c r="AE110" s="34"/>
      <c r="AF110" s="34" t="str">
        <f t="shared" si="16"/>
        <v>FALSE</v>
      </c>
      <c r="AG110" s="35">
        <f t="shared" si="10"/>
        <v>0</v>
      </c>
      <c r="AH110" s="36" t="str">
        <f t="shared" si="11"/>
        <v/>
      </c>
    </row>
    <row r="111" spans="1:34" ht="1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29" t="str">
        <f t="shared" si="12"/>
        <v/>
      </c>
      <c r="Q111" s="30"/>
      <c r="R111" s="31"/>
      <c r="S111" s="68"/>
      <c r="T111" s="40"/>
      <c r="U111" s="33"/>
      <c r="V111" s="74"/>
      <c r="W111" s="34" t="str">
        <f t="shared" si="13"/>
        <v>FALSE</v>
      </c>
      <c r="X111" s="34" t="str">
        <f t="shared" si="9"/>
        <v>FALSE</v>
      </c>
      <c r="Y111" s="35">
        <f t="shared" si="14"/>
        <v>0</v>
      </c>
      <c r="Z111" s="36" t="str">
        <f t="shared" si="15"/>
        <v/>
      </c>
      <c r="AA111" s="6"/>
      <c r="AB111" s="41"/>
      <c r="AC111" s="33"/>
      <c r="AD111" s="38"/>
      <c r="AE111" s="34"/>
      <c r="AF111" s="34" t="str">
        <f t="shared" si="16"/>
        <v>FALSE</v>
      </c>
      <c r="AG111" s="35">
        <f t="shared" si="10"/>
        <v>0</v>
      </c>
      <c r="AH111" s="36" t="str">
        <f t="shared" si="11"/>
        <v/>
      </c>
    </row>
    <row r="112" spans="1:34" ht="1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29" t="str">
        <f t="shared" si="12"/>
        <v/>
      </c>
      <c r="Q112" s="30"/>
      <c r="R112" s="31"/>
      <c r="S112" s="68"/>
      <c r="T112" s="40"/>
      <c r="U112" s="33"/>
      <c r="V112" s="74"/>
      <c r="W112" s="34" t="str">
        <f t="shared" si="13"/>
        <v>FALSE</v>
      </c>
      <c r="X112" s="34" t="str">
        <f t="shared" si="9"/>
        <v>FALSE</v>
      </c>
      <c r="Y112" s="35">
        <f t="shared" si="14"/>
        <v>0</v>
      </c>
      <c r="Z112" s="36" t="str">
        <f t="shared" si="15"/>
        <v/>
      </c>
      <c r="AA112" s="6"/>
      <c r="AB112" s="41"/>
      <c r="AC112" s="33"/>
      <c r="AD112" s="38"/>
      <c r="AE112" s="34"/>
      <c r="AF112" s="34" t="str">
        <f t="shared" si="16"/>
        <v>FALSE</v>
      </c>
      <c r="AG112" s="35">
        <f t="shared" si="10"/>
        <v>0</v>
      </c>
      <c r="AH112" s="36" t="str">
        <f t="shared" si="11"/>
        <v/>
      </c>
    </row>
    <row r="113" spans="1:34" ht="1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29" t="str">
        <f t="shared" si="12"/>
        <v/>
      </c>
      <c r="Q113" s="30"/>
      <c r="R113" s="31"/>
      <c r="S113" s="68"/>
      <c r="T113" s="40"/>
      <c r="U113" s="33"/>
      <c r="V113" s="74"/>
      <c r="W113" s="34" t="str">
        <f t="shared" si="13"/>
        <v>FALSE</v>
      </c>
      <c r="X113" s="34" t="str">
        <f t="shared" si="9"/>
        <v>FALSE</v>
      </c>
      <c r="Y113" s="35">
        <f t="shared" si="14"/>
        <v>0</v>
      </c>
      <c r="Z113" s="36" t="str">
        <f t="shared" si="15"/>
        <v/>
      </c>
      <c r="AA113" s="6"/>
      <c r="AB113" s="41"/>
      <c r="AC113" s="33"/>
      <c r="AD113" s="38"/>
      <c r="AE113" s="34"/>
      <c r="AF113" s="34" t="str">
        <f t="shared" si="16"/>
        <v>FALSE</v>
      </c>
      <c r="AG113" s="35">
        <f t="shared" si="10"/>
        <v>0</v>
      </c>
      <c r="AH113" s="36" t="str">
        <f t="shared" si="11"/>
        <v/>
      </c>
    </row>
    <row r="114" spans="1:34" ht="1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29" t="str">
        <f t="shared" si="12"/>
        <v/>
      </c>
      <c r="Q114" s="30"/>
      <c r="R114" s="31"/>
      <c r="S114" s="68"/>
      <c r="T114" s="40"/>
      <c r="U114" s="33"/>
      <c r="V114" s="74"/>
      <c r="W114" s="34" t="str">
        <f t="shared" si="13"/>
        <v>FALSE</v>
      </c>
      <c r="X114" s="34" t="str">
        <f t="shared" si="9"/>
        <v>FALSE</v>
      </c>
      <c r="Y114" s="35">
        <f t="shared" si="14"/>
        <v>0</v>
      </c>
      <c r="Z114" s="36" t="str">
        <f t="shared" si="15"/>
        <v/>
      </c>
      <c r="AA114" s="6"/>
      <c r="AB114" s="41"/>
      <c r="AC114" s="33"/>
      <c r="AD114" s="38"/>
      <c r="AE114" s="34"/>
      <c r="AF114" s="34" t="str">
        <f t="shared" si="16"/>
        <v>FALSE</v>
      </c>
      <c r="AG114" s="35">
        <f t="shared" si="10"/>
        <v>0</v>
      </c>
      <c r="AH114" s="36" t="str">
        <f t="shared" si="11"/>
        <v/>
      </c>
    </row>
    <row r="115" spans="1:34" ht="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29" t="str">
        <f t="shared" si="12"/>
        <v/>
      </c>
      <c r="Q115" s="30"/>
      <c r="R115" s="31"/>
      <c r="S115" s="68"/>
      <c r="T115" s="40"/>
      <c r="U115" s="33"/>
      <c r="V115" s="74"/>
      <c r="W115" s="34" t="str">
        <f t="shared" si="13"/>
        <v>FALSE</v>
      </c>
      <c r="X115" s="34" t="str">
        <f t="shared" si="9"/>
        <v>FALSE</v>
      </c>
      <c r="Y115" s="35">
        <f t="shared" si="14"/>
        <v>0</v>
      </c>
      <c r="Z115" s="36" t="str">
        <f t="shared" si="15"/>
        <v/>
      </c>
      <c r="AA115" s="6"/>
      <c r="AB115" s="41"/>
      <c r="AC115" s="33"/>
      <c r="AD115" s="38"/>
      <c r="AE115" s="34"/>
      <c r="AF115" s="34" t="str">
        <f t="shared" si="16"/>
        <v>FALSE</v>
      </c>
      <c r="AG115" s="35">
        <f t="shared" si="10"/>
        <v>0</v>
      </c>
      <c r="AH115" s="36" t="str">
        <f t="shared" si="11"/>
        <v/>
      </c>
    </row>
    <row r="116" spans="1:34" ht="1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29" t="str">
        <f t="shared" si="12"/>
        <v/>
      </c>
      <c r="Q116" s="30"/>
      <c r="R116" s="31"/>
      <c r="S116" s="68"/>
      <c r="T116" s="40"/>
      <c r="U116" s="33"/>
      <c r="V116" s="74"/>
      <c r="W116" s="34" t="str">
        <f t="shared" si="13"/>
        <v>FALSE</v>
      </c>
      <c r="X116" s="34" t="str">
        <f t="shared" si="9"/>
        <v>FALSE</v>
      </c>
      <c r="Y116" s="35">
        <f t="shared" si="14"/>
        <v>0</v>
      </c>
      <c r="Z116" s="36" t="str">
        <f t="shared" si="15"/>
        <v/>
      </c>
      <c r="AA116" s="6"/>
      <c r="AB116" s="41"/>
      <c r="AC116" s="33"/>
      <c r="AD116" s="38"/>
      <c r="AE116" s="34"/>
      <c r="AF116" s="34" t="str">
        <f t="shared" si="16"/>
        <v>FALSE</v>
      </c>
      <c r="AG116" s="35">
        <f t="shared" si="10"/>
        <v>0</v>
      </c>
      <c r="AH116" s="36" t="str">
        <f t="shared" si="11"/>
        <v/>
      </c>
    </row>
    <row r="117" spans="1:34" ht="1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29" t="str">
        <f t="shared" si="12"/>
        <v/>
      </c>
      <c r="Q117" s="30"/>
      <c r="R117" s="31"/>
      <c r="S117" s="68"/>
      <c r="T117" s="40"/>
      <c r="U117" s="33"/>
      <c r="V117" s="74"/>
      <c r="W117" s="34" t="str">
        <f t="shared" si="13"/>
        <v>FALSE</v>
      </c>
      <c r="X117" s="34" t="str">
        <f t="shared" si="9"/>
        <v>FALSE</v>
      </c>
      <c r="Y117" s="35">
        <f t="shared" si="14"/>
        <v>0</v>
      </c>
      <c r="Z117" s="36" t="str">
        <f t="shared" si="15"/>
        <v/>
      </c>
      <c r="AA117" s="6"/>
      <c r="AB117" s="41"/>
      <c r="AC117" s="33"/>
      <c r="AD117" s="38"/>
      <c r="AE117" s="34"/>
      <c r="AF117" s="34" t="str">
        <f t="shared" si="16"/>
        <v>FALSE</v>
      </c>
      <c r="AG117" s="35">
        <f t="shared" si="10"/>
        <v>0</v>
      </c>
      <c r="AH117" s="36" t="str">
        <f t="shared" si="11"/>
        <v/>
      </c>
    </row>
    <row r="118" spans="1:34" ht="1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29" t="str">
        <f t="shared" si="12"/>
        <v/>
      </c>
      <c r="Q118" s="30"/>
      <c r="R118" s="31"/>
      <c r="S118" s="68"/>
      <c r="T118" s="40"/>
      <c r="U118" s="33"/>
      <c r="V118" s="74"/>
      <c r="W118" s="34" t="str">
        <f t="shared" si="13"/>
        <v>FALSE</v>
      </c>
      <c r="X118" s="34" t="str">
        <f t="shared" si="9"/>
        <v>FALSE</v>
      </c>
      <c r="Y118" s="35">
        <f t="shared" si="14"/>
        <v>0</v>
      </c>
      <c r="Z118" s="36" t="str">
        <f t="shared" si="15"/>
        <v/>
      </c>
      <c r="AA118" s="6"/>
      <c r="AB118" s="41"/>
      <c r="AC118" s="33"/>
      <c r="AD118" s="38"/>
      <c r="AE118" s="34"/>
      <c r="AF118" s="34" t="str">
        <f t="shared" si="16"/>
        <v>FALSE</v>
      </c>
      <c r="AG118" s="35">
        <f t="shared" si="10"/>
        <v>0</v>
      </c>
      <c r="AH118" s="36" t="str">
        <f t="shared" si="11"/>
        <v/>
      </c>
    </row>
    <row r="119" spans="1:34" ht="1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29" t="str">
        <f t="shared" si="12"/>
        <v/>
      </c>
      <c r="Q119" s="30"/>
      <c r="R119" s="31"/>
      <c r="S119" s="68"/>
      <c r="T119" s="40"/>
      <c r="U119" s="33"/>
      <c r="V119" s="74"/>
      <c r="W119" s="34" t="str">
        <f t="shared" si="13"/>
        <v>FALSE</v>
      </c>
      <c r="X119" s="34" t="str">
        <f t="shared" si="9"/>
        <v>FALSE</v>
      </c>
      <c r="Y119" s="35">
        <f t="shared" si="14"/>
        <v>0</v>
      </c>
      <c r="Z119" s="36" t="str">
        <f t="shared" si="15"/>
        <v/>
      </c>
      <c r="AA119" s="6"/>
      <c r="AB119" s="41"/>
      <c r="AC119" s="33"/>
      <c r="AD119" s="38"/>
      <c r="AE119" s="34"/>
      <c r="AF119" s="34" t="str">
        <f t="shared" si="16"/>
        <v>FALSE</v>
      </c>
      <c r="AG119" s="35">
        <f t="shared" si="10"/>
        <v>0</v>
      </c>
      <c r="AH119" s="36" t="str">
        <f t="shared" si="11"/>
        <v/>
      </c>
    </row>
    <row r="120" spans="1:34" ht="1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29" t="str">
        <f t="shared" si="12"/>
        <v/>
      </c>
      <c r="Q120" s="30"/>
      <c r="R120" s="31"/>
      <c r="S120" s="68"/>
      <c r="T120" s="40"/>
      <c r="U120" s="33"/>
      <c r="V120" s="74"/>
      <c r="W120" s="34" t="str">
        <f t="shared" si="13"/>
        <v>FALSE</v>
      </c>
      <c r="X120" s="34" t="str">
        <f t="shared" si="9"/>
        <v>FALSE</v>
      </c>
      <c r="Y120" s="35">
        <f t="shared" si="14"/>
        <v>0</v>
      </c>
      <c r="Z120" s="36" t="str">
        <f t="shared" si="15"/>
        <v/>
      </c>
      <c r="AA120" s="6"/>
      <c r="AB120" s="41"/>
      <c r="AC120" s="33"/>
      <c r="AD120" s="38"/>
      <c r="AE120" s="34"/>
      <c r="AF120" s="34" t="str">
        <f t="shared" si="16"/>
        <v>FALSE</v>
      </c>
      <c r="AG120" s="35">
        <f t="shared" si="10"/>
        <v>0</v>
      </c>
      <c r="AH120" s="36" t="str">
        <f t="shared" si="11"/>
        <v/>
      </c>
    </row>
  </sheetData>
  <mergeCells count="11">
    <mergeCell ref="P6:U6"/>
    <mergeCell ref="X6:AA6"/>
    <mergeCell ref="Q8:Z8"/>
    <mergeCell ref="AB8:AH8"/>
    <mergeCell ref="D1:L2"/>
    <mergeCell ref="X2:AA2"/>
    <mergeCell ref="AC2:AG2"/>
    <mergeCell ref="P3:R3"/>
    <mergeCell ref="T3:U3"/>
    <mergeCell ref="X3:AA3"/>
    <mergeCell ref="AC3:AG3"/>
  </mergeCells>
  <conditionalFormatting sqref="U14:U120">
    <cfRule type="containsBlanks" dxfId="59" priority="1">
      <formula>LEN(TRIM(U14))=0</formula>
    </cfRule>
    <cfRule type="expression" dxfId="58" priority="2">
      <formula>AND(X14&gt;=2,X14&lt;3)</formula>
    </cfRule>
    <cfRule type="expression" dxfId="57" priority="3">
      <formula>X14&gt;3</formula>
    </cfRule>
  </conditionalFormatting>
  <conditionalFormatting sqref="W14:W120">
    <cfRule type="expression" dxfId="56" priority="15">
      <formula>X14="FALSE"</formula>
    </cfRule>
  </conditionalFormatting>
  <conditionalFormatting sqref="X14:X120">
    <cfRule type="expression" dxfId="55" priority="14">
      <formula>X14="FALSE"</formula>
    </cfRule>
    <cfRule type="expression" dxfId="54" priority="16">
      <formula>AND(X14&gt;2,X14&lt;3)</formula>
    </cfRule>
  </conditionalFormatting>
  <conditionalFormatting sqref="X14:Y50 X51:X120">
    <cfRule type="expression" dxfId="53" priority="20">
      <formula>X14&gt;=3</formula>
    </cfRule>
  </conditionalFormatting>
  <conditionalFormatting sqref="Y14:Y50">
    <cfRule type="expression" dxfId="52" priority="19">
      <formula>AND(X14&gt;=2,X14&lt;3)</formula>
    </cfRule>
  </conditionalFormatting>
  <conditionalFormatting sqref="Z14:Z120">
    <cfRule type="cellIs" dxfId="51" priority="17" operator="notBetween">
      <formula>0.8</formula>
      <formula>1.15</formula>
    </cfRule>
  </conditionalFormatting>
  <conditionalFormatting sqref="AC14:AC120">
    <cfRule type="containsBlanks" dxfId="50" priority="4">
      <formula>LEN(TRIM(AC14))=0</formula>
    </cfRule>
    <cfRule type="expression" dxfId="49" priority="5">
      <formula>AND(AF14&gt;=2,AF14&lt;3)</formula>
    </cfRule>
    <cfRule type="expression" dxfId="48" priority="6">
      <formula>AF14&gt;3</formula>
    </cfRule>
  </conditionalFormatting>
  <conditionalFormatting sqref="AE14:AE120">
    <cfRule type="expression" dxfId="47" priority="13">
      <formula>AF14="FALSE"</formula>
    </cfRule>
  </conditionalFormatting>
  <conditionalFormatting sqref="AF14:AF120">
    <cfRule type="expression" dxfId="46" priority="10">
      <formula>AF14="FALSE"</formula>
    </cfRule>
    <cfRule type="expression" dxfId="45" priority="11">
      <formula>AND(AF14&gt;2,AF14&lt;3)</formula>
    </cfRule>
    <cfRule type="expression" dxfId="44" priority="12">
      <formula>AF14&gt;=3</formula>
    </cfRule>
  </conditionalFormatting>
  <conditionalFormatting sqref="AG14:AG120">
    <cfRule type="expression" dxfId="43" priority="7">
      <formula>AF14=0</formula>
    </cfRule>
    <cfRule type="expression" dxfId="42" priority="8">
      <formula>AND(AF14&gt;=2,AF14&lt;3)</formula>
    </cfRule>
    <cfRule type="expression" dxfId="41" priority="9">
      <formula>AG14&gt;=3</formula>
    </cfRule>
  </conditionalFormatting>
  <conditionalFormatting sqref="AH14:AH120">
    <cfRule type="cellIs" dxfId="40" priority="18" operator="notBetween">
      <formula>0.8</formula>
      <formula>1.15</formula>
    </cfRule>
  </conditionalFormatting>
  <pageMargins left="0.4" right="0.4" top="0.4" bottom="0.4" header="0" footer="0"/>
  <pageSetup scale="10" fitToHeight="0" orientation="landscape" horizontalDpi="4294967292" verticalDpi="4294967292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43B68-C1F8-4AF5-936E-73F0291622D8}">
  <sheetPr>
    <tabColor theme="8" tint="0.59999389629810485"/>
    <pageSetUpPr fitToPage="1"/>
  </sheetPr>
  <dimension ref="A1:AH120"/>
  <sheetViews>
    <sheetView showGridLines="0" topLeftCell="A20" zoomScale="70" zoomScaleNormal="70" workbookViewId="0">
      <selection activeCell="Q53" sqref="Q53:R53"/>
    </sheetView>
  </sheetViews>
  <sheetFormatPr defaultColWidth="11" defaultRowHeight="13.5" customHeight="1"/>
  <cols>
    <col min="1" max="2" width="3.125" style="12" customWidth="1"/>
    <col min="3" max="8" width="11" style="12"/>
    <col min="9" max="9" width="9" style="12" customWidth="1"/>
    <col min="10" max="13" width="11" style="12"/>
    <col min="14" max="15" width="4" style="12" customWidth="1"/>
    <col min="16" max="16" width="6.125" style="43" customWidth="1"/>
    <col min="17" max="17" width="13" style="12" customWidth="1"/>
    <col min="18" max="18" width="12.875" style="44" customWidth="1"/>
    <col min="19" max="19" width="3" style="44" customWidth="1"/>
    <col min="20" max="20" width="12" style="45" customWidth="1"/>
    <col min="21" max="21" width="14.875" style="8" customWidth="1"/>
    <col min="22" max="22" width="2.375" style="12" customWidth="1"/>
    <col min="23" max="23" width="12.875" style="6" customWidth="1"/>
    <col min="24" max="24" width="11.5" style="6" customWidth="1"/>
    <col min="25" max="25" width="13" style="12" customWidth="1"/>
    <col min="26" max="26" width="11.625" style="12" customWidth="1"/>
    <col min="27" max="27" width="9.125" style="12" customWidth="1"/>
    <col min="28" max="28" width="13.375" style="8" customWidth="1"/>
    <col min="29" max="29" width="13.75" style="12" customWidth="1"/>
    <col min="30" max="30" width="2" style="12" customWidth="1"/>
    <col min="31" max="31" width="12.75" style="12" customWidth="1"/>
    <col min="32" max="32" width="12.375" style="12" customWidth="1"/>
    <col min="33" max="33" width="13.125" style="12" customWidth="1"/>
    <col min="34" max="34" width="15.25" style="12" customWidth="1"/>
    <col min="35" max="16384" width="11" style="12"/>
  </cols>
  <sheetData>
    <row r="1" spans="1:34" s="7" customFormat="1" ht="31.5" customHeight="1">
      <c r="A1" s="1"/>
      <c r="B1" s="1"/>
      <c r="C1" s="1"/>
      <c r="D1" s="162" t="s">
        <v>39</v>
      </c>
      <c r="E1" s="162"/>
      <c r="F1" s="162"/>
      <c r="G1" s="162"/>
      <c r="H1" s="162"/>
      <c r="I1" s="162"/>
      <c r="J1" s="162"/>
      <c r="K1" s="162"/>
      <c r="L1" s="162"/>
      <c r="M1" s="1"/>
      <c r="N1" s="1"/>
      <c r="O1" s="1"/>
      <c r="P1" s="2"/>
      <c r="Q1" s="3" t="s">
        <v>74</v>
      </c>
      <c r="R1" s="4"/>
      <c r="S1" s="4"/>
      <c r="T1" s="4"/>
      <c r="U1" s="5"/>
      <c r="V1" s="6"/>
      <c r="W1" s="6"/>
      <c r="X1" s="6"/>
      <c r="Y1" s="5"/>
      <c r="Z1" s="5"/>
      <c r="AA1" s="5"/>
      <c r="AB1" s="5"/>
      <c r="AC1" s="5"/>
      <c r="AD1" s="5"/>
      <c r="AE1" s="5"/>
      <c r="AF1" s="5"/>
      <c r="AG1" s="5"/>
      <c r="AH1"/>
    </row>
    <row r="2" spans="1:34" ht="15.75" customHeight="1">
      <c r="A2" s="8"/>
      <c r="B2" s="8"/>
      <c r="C2" s="8"/>
      <c r="D2" s="162"/>
      <c r="E2" s="162"/>
      <c r="F2" s="162"/>
      <c r="G2" s="162"/>
      <c r="H2" s="162"/>
      <c r="I2" s="162"/>
      <c r="J2" s="162"/>
      <c r="K2" s="162"/>
      <c r="L2" s="162"/>
      <c r="M2" s="8"/>
      <c r="N2" s="8"/>
      <c r="O2" s="8"/>
      <c r="P2" s="9"/>
      <c r="Q2" s="10" t="s">
        <v>75</v>
      </c>
      <c r="R2" s="11"/>
      <c r="S2" s="11"/>
      <c r="T2" s="10" t="s">
        <v>76</v>
      </c>
      <c r="X2" s="163" t="s">
        <v>77</v>
      </c>
      <c r="Y2" s="163"/>
      <c r="Z2" s="163"/>
      <c r="AA2" s="163"/>
      <c r="AC2" s="163" t="s">
        <v>78</v>
      </c>
      <c r="AD2" s="163"/>
      <c r="AE2" s="163"/>
      <c r="AF2" s="163"/>
      <c r="AG2" s="163"/>
      <c r="AH2"/>
    </row>
    <row r="3" spans="1:34" ht="26.2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164">
        <f>MIN(R14:R16)</f>
        <v>45677</v>
      </c>
      <c r="Q3" s="165"/>
      <c r="R3" s="166"/>
      <c r="S3" s="65"/>
      <c r="T3" s="167">
        <f>MAX(R14:R116)</f>
        <v>46065</v>
      </c>
      <c r="U3" s="168"/>
      <c r="X3" s="164" t="s">
        <v>79</v>
      </c>
      <c r="Y3" s="165"/>
      <c r="Z3" s="165"/>
      <c r="AA3" s="168"/>
      <c r="AC3" s="169" t="s">
        <v>80</v>
      </c>
      <c r="AD3" s="170"/>
      <c r="AE3" s="170"/>
      <c r="AF3" s="170"/>
      <c r="AG3" s="171"/>
      <c r="AH3"/>
    </row>
    <row r="4" spans="1:34" ht="15.7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13"/>
      <c r="Q4" s="14"/>
      <c r="R4" s="15">
        <f>MIN(P14:P120)</f>
        <v>1</v>
      </c>
      <c r="S4" s="15"/>
      <c r="T4" s="16">
        <f>MAX(P14:P120)</f>
        <v>40</v>
      </c>
      <c r="U4" s="14"/>
      <c r="V4" s="6"/>
      <c r="X4" s="14"/>
      <c r="Y4" s="14"/>
      <c r="Z4" s="14"/>
      <c r="AA4" s="14"/>
      <c r="AB4"/>
      <c r="AC4" s="14"/>
      <c r="AD4" s="14"/>
      <c r="AE4" s="14"/>
      <c r="AF4" s="14"/>
      <c r="AH4" s="8"/>
    </row>
    <row r="5" spans="1:34" ht="20.2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17"/>
      <c r="Q5" s="17" t="s">
        <v>81</v>
      </c>
      <c r="R5" s="11"/>
      <c r="S5" s="11"/>
      <c r="T5" s="18"/>
      <c r="U5" s="17"/>
      <c r="V5" s="6"/>
      <c r="X5" s="17" t="s">
        <v>82</v>
      </c>
      <c r="Y5" s="17"/>
      <c r="Z5" s="17"/>
      <c r="AA5" s="14"/>
      <c r="AB5"/>
      <c r="AC5" s="10"/>
      <c r="AD5" s="10"/>
    </row>
    <row r="6" spans="1:34" ht="25.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158" t="s">
        <v>83</v>
      </c>
      <c r="Q6" s="158"/>
      <c r="R6" s="158"/>
      <c r="S6" s="158"/>
      <c r="T6" s="158"/>
      <c r="U6" s="158"/>
      <c r="V6" s="6"/>
      <c r="X6" s="159"/>
      <c r="Y6" s="159"/>
      <c r="Z6" s="159"/>
      <c r="AA6" s="159"/>
      <c r="AB6"/>
      <c r="AC6" s="6"/>
      <c r="AD6" s="6"/>
    </row>
    <row r="7" spans="1:34" ht="23.2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19"/>
      <c r="Q7" s="20" t="s">
        <v>84</v>
      </c>
      <c r="R7" s="21"/>
      <c r="S7" s="21"/>
      <c r="T7" s="22"/>
      <c r="V7" s="8"/>
      <c r="Y7" s="8"/>
      <c r="Z7" s="8"/>
      <c r="AA7" s="8"/>
      <c r="AC7" s="8"/>
      <c r="AD7" s="8"/>
      <c r="AE7" s="8"/>
      <c r="AF7" s="8"/>
      <c r="AG7" s="8"/>
      <c r="AH7" s="8"/>
    </row>
    <row r="8" spans="1:34" ht="31.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19"/>
      <c r="Q8" s="160" t="s">
        <v>85</v>
      </c>
      <c r="R8" s="160"/>
      <c r="S8" s="160"/>
      <c r="T8" s="160"/>
      <c r="U8" s="160"/>
      <c r="V8" s="160"/>
      <c r="W8" s="160"/>
      <c r="X8" s="160"/>
      <c r="Y8" s="160"/>
      <c r="Z8" s="160"/>
      <c r="AA8" s="6"/>
      <c r="AB8" s="161"/>
      <c r="AC8" s="161"/>
      <c r="AD8" s="161"/>
      <c r="AE8" s="161"/>
      <c r="AF8" s="161"/>
      <c r="AG8" s="161"/>
      <c r="AH8" s="161"/>
    </row>
    <row r="9" spans="1:34" customFormat="1" ht="11.25" customHeight="1" thickBot="1"/>
    <row r="10" spans="1:34" s="52" customFormat="1" ht="27.75" customHeight="1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Q10" s="73" t="s">
        <v>87</v>
      </c>
      <c r="R10" s="73" t="s">
        <v>88</v>
      </c>
      <c r="S10" s="66"/>
      <c r="T10" s="49" t="s">
        <v>89</v>
      </c>
      <c r="U10" s="46" t="s">
        <v>90</v>
      </c>
      <c r="V10" s="50"/>
      <c r="W10" s="47" t="s">
        <v>91</v>
      </c>
      <c r="X10" s="61" t="s">
        <v>92</v>
      </c>
      <c r="Y10" s="61" t="s">
        <v>93</v>
      </c>
      <c r="Z10" s="48" t="s">
        <v>94</v>
      </c>
      <c r="AA10" s="53"/>
      <c r="AB10" s="49" t="s">
        <v>95</v>
      </c>
      <c r="AC10" s="46" t="s">
        <v>90</v>
      </c>
      <c r="AE10" s="47" t="s">
        <v>91</v>
      </c>
      <c r="AF10" s="61" t="s">
        <v>92</v>
      </c>
      <c r="AG10" s="61" t="s">
        <v>93</v>
      </c>
      <c r="AH10" s="48" t="s">
        <v>94</v>
      </c>
    </row>
    <row r="11" spans="1:34" s="55" customFormat="1" ht="27.75" customHeight="1" thickBot="1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Q11" s="64">
        <f>IF(U11="","",1.15)</f>
        <v>1.1499999999999999</v>
      </c>
      <c r="R11" s="64">
        <f>IF(U11="","",0.8)</f>
        <v>0.8</v>
      </c>
      <c r="S11" s="67"/>
      <c r="T11" s="62">
        <f>_xlfn.STDEV.P($U$14:$U$120)/$U$11</f>
        <v>7.6089083927980736E-2</v>
      </c>
      <c r="U11" s="63">
        <f>AVERAGE($W$14:$W$120)</f>
        <v>9.5676474999999996</v>
      </c>
      <c r="V11" s="56"/>
      <c r="W11" s="60">
        <f>$U$11-(3*_xlfn.STDEV.S($W$14:$W$120))</f>
        <v>7.3558443685595005</v>
      </c>
      <c r="X11" s="59">
        <f>$U$11-(2*_xlfn.STDEV.S($W$14:$W$120))</f>
        <v>8.0931120790396669</v>
      </c>
      <c r="Y11" s="59">
        <f>$U$11+(2*_xlfn.STDEV.S($W$14:$W$120))</f>
        <v>11.042182920960332</v>
      </c>
      <c r="Z11" s="58">
        <f>$U$11+(3*_xlfn.STDEV.S($W$14:$W$120))</f>
        <v>11.779450631440499</v>
      </c>
      <c r="AA11" s="57"/>
      <c r="AB11" s="62">
        <f>_xlfn.STDEV.P($AC$14:$AC$120)/$AC$11</f>
        <v>8.358488601211729E-2</v>
      </c>
      <c r="AC11" s="63">
        <f>AVERAGE($AC$14:$AC$120)</f>
        <v>0.51338250000000007</v>
      </c>
      <c r="AE11" s="60">
        <f>$AC$11-(3*_xlfn.STDEV.S($AE$14:$AE$120))</f>
        <v>0.38300946914976275</v>
      </c>
      <c r="AF11" s="59">
        <f>$AC$11-(2*_xlfn.STDEV.S($AE$14:$AE$120))</f>
        <v>0.42646714609984188</v>
      </c>
      <c r="AG11" s="59">
        <f>$AC$11+(2*_xlfn.STDEV.S($AE$14:$AE$120))</f>
        <v>0.60029785390015822</v>
      </c>
      <c r="AH11" s="58">
        <f>$AC$11+(3*_xlfn.STDEV.S($AE$14:$AE$120))</f>
        <v>0.6437555308502374</v>
      </c>
    </row>
    <row r="12" spans="1:34" ht="11.2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19"/>
      <c r="Q12" s="20"/>
      <c r="R12" s="21"/>
      <c r="S12" s="21"/>
      <c r="T12" s="22"/>
      <c r="V12" s="8"/>
      <c r="Y12" s="8"/>
      <c r="Z12" s="8"/>
      <c r="AA12" s="6"/>
      <c r="AC12" s="8"/>
      <c r="AD12" s="8"/>
      <c r="AE12" s="8"/>
      <c r="AF12" s="8"/>
      <c r="AG12" s="8"/>
      <c r="AH12" s="8"/>
    </row>
    <row r="13" spans="1:34" ht="4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70" t="s">
        <v>96</v>
      </c>
      <c r="Q13" s="71" t="s">
        <v>97</v>
      </c>
      <c r="R13" s="71" t="s">
        <v>98</v>
      </c>
      <c r="S13" s="69"/>
      <c r="T13" s="72" t="s">
        <v>99</v>
      </c>
      <c r="U13" s="71" t="s">
        <v>100</v>
      </c>
      <c r="V13" s="69"/>
      <c r="W13" s="75" t="s">
        <v>101</v>
      </c>
      <c r="X13" s="75" t="s">
        <v>102</v>
      </c>
      <c r="Y13" s="76" t="s">
        <v>103</v>
      </c>
      <c r="Z13" s="77" t="s">
        <v>104</v>
      </c>
      <c r="AA13" s="6"/>
      <c r="AB13" s="26" t="s">
        <v>99</v>
      </c>
      <c r="AC13" s="27" t="s">
        <v>100</v>
      </c>
      <c r="AD13" s="28"/>
      <c r="AE13" s="23" t="s">
        <v>101</v>
      </c>
      <c r="AF13" s="23" t="s">
        <v>102</v>
      </c>
      <c r="AG13" s="24" t="s">
        <v>105</v>
      </c>
      <c r="AH13" s="25" t="s">
        <v>104</v>
      </c>
    </row>
    <row r="14" spans="1:34" ht="1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29">
        <v>1</v>
      </c>
      <c r="Q14" s="30" t="s">
        <v>106</v>
      </c>
      <c r="R14" s="31">
        <v>45677</v>
      </c>
      <c r="S14" s="68"/>
      <c r="T14" s="32">
        <v>9.32</v>
      </c>
      <c r="U14" s="38">
        <v>9.7379999999999995</v>
      </c>
      <c r="V14" s="74"/>
      <c r="W14" s="34">
        <f>IF(X14&gt;3,"FALSE",U14)</f>
        <v>9.7379999999999995</v>
      </c>
      <c r="X14" s="34">
        <f t="shared" ref="X14:X77" si="0">IF(U14="","FALSE",ABS((U14-AVERAGE($U$14:$U$120))/_xlfn.STDEV.S($U$14:$U$104)))</f>
        <v>0.23105921713166172</v>
      </c>
      <c r="Y14" s="35" t="str">
        <f>IF(OR(U14&gt;$Y$11,U14&lt;$X$11),U14,"")</f>
        <v/>
      </c>
      <c r="Z14" s="36">
        <f>IF(U14="","",U14/T14)</f>
        <v>1.0448497854077252</v>
      </c>
      <c r="AA14" s="6"/>
      <c r="AB14" s="37">
        <v>0.52400000000000002</v>
      </c>
      <c r="AC14" s="38">
        <v>0.53300000000000003</v>
      </c>
      <c r="AD14" s="38"/>
      <c r="AE14" s="34">
        <f>IF(AF14&gt;3,"FALSE",AC14)</f>
        <v>0.53300000000000003</v>
      </c>
      <c r="AF14" s="34">
        <f>IF(AC14="","FALSE",ABS((AC14-AVERAGE($AC$14:$AC$120))/_xlfn.STDEV.S($AC$14:$AC$104)))</f>
        <v>0.45141621404510551</v>
      </c>
      <c r="AG14" s="35" t="str">
        <f t="shared" ref="AG14:AG77" si="1">IF(OR(AC14&gt;$AG$11,AC14&lt;$AF$11),AC14,"")</f>
        <v/>
      </c>
      <c r="AH14" s="36">
        <f t="shared" ref="AH14:AH77" si="2">IF(AC14="","",AC14/AB14)</f>
        <v>1.0171755725190841</v>
      </c>
    </row>
    <row r="15" spans="1:34" ht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29">
        <f t="shared" ref="P15:P78" si="3">IF(R15&lt;&gt;"",P14+1,"")</f>
        <v>2</v>
      </c>
      <c r="Q15" s="30" t="s">
        <v>106</v>
      </c>
      <c r="R15" s="31">
        <v>45677</v>
      </c>
      <c r="S15" s="68"/>
      <c r="T15" s="32">
        <v>9.32</v>
      </c>
      <c r="U15" s="38">
        <v>9.2509999999999994</v>
      </c>
      <c r="V15" s="74"/>
      <c r="W15" s="34">
        <f t="shared" ref="W15:W78" si="4">IF(X15&gt;3,"FALSE",U15)</f>
        <v>9.2509999999999994</v>
      </c>
      <c r="X15" s="34">
        <f t="shared" si="0"/>
        <v>0.42948781765279609</v>
      </c>
      <c r="Y15" s="35" t="str">
        <f t="shared" ref="Y15:Y78" si="5">IF(OR(U15&gt;$Y$11,U15&lt;$X$11),U15,"")</f>
        <v/>
      </c>
      <c r="Z15" s="36">
        <f t="shared" ref="Z15:Z78" si="6">IF(U15="","",U15/T15)</f>
        <v>0.99259656652360506</v>
      </c>
      <c r="AA15" s="6"/>
      <c r="AB15" s="37">
        <v>0.52400000000000002</v>
      </c>
      <c r="AC15" s="38">
        <v>0.60499999999999998</v>
      </c>
      <c r="AD15" s="38"/>
      <c r="AE15" s="34">
        <f t="shared" ref="AE15:AE73" si="7">IF(AF15&gt;3,"FALSE",AC15)</f>
        <v>0.60499999999999998</v>
      </c>
      <c r="AF15" s="34">
        <f t="shared" ref="AF15:AF78" si="8">IF(AC15="","FALSE",ABS((AC15-AVERAGE($AC$14:$AC$120))/_xlfn.STDEV.S($AC$14:$AC$104)))</f>
        <v>2.108200585715688</v>
      </c>
      <c r="AG15" s="35">
        <f t="shared" si="1"/>
        <v>0.60499999999999998</v>
      </c>
      <c r="AH15" s="36">
        <f t="shared" si="2"/>
        <v>1.1545801526717556</v>
      </c>
    </row>
    <row r="16" spans="1:34" ht="1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29">
        <f t="shared" si="3"/>
        <v>3</v>
      </c>
      <c r="Q16" s="30" t="s">
        <v>106</v>
      </c>
      <c r="R16" s="31">
        <v>45677</v>
      </c>
      <c r="S16" s="68"/>
      <c r="T16" s="32">
        <v>9.32</v>
      </c>
      <c r="U16" s="38">
        <v>8.8119999999999994</v>
      </c>
      <c r="V16" s="74"/>
      <c r="W16" s="34">
        <f t="shared" si="4"/>
        <v>8.8119999999999994</v>
      </c>
      <c r="X16" s="34">
        <f t="shared" si="0"/>
        <v>1.0249296005488473</v>
      </c>
      <c r="Y16" s="35" t="str">
        <f t="shared" si="5"/>
        <v/>
      </c>
      <c r="Z16" s="36">
        <f t="shared" si="6"/>
        <v>0.94549356223175951</v>
      </c>
      <c r="AA16" s="6"/>
      <c r="AB16" s="37">
        <v>0.52400000000000002</v>
      </c>
      <c r="AC16" s="38">
        <v>0.49299999999999999</v>
      </c>
      <c r="AD16" s="38"/>
      <c r="AE16" s="34">
        <f t="shared" si="7"/>
        <v>0.49299999999999999</v>
      </c>
      <c r="AF16" s="34">
        <f t="shared" si="8"/>
        <v>0.46901954799410839</v>
      </c>
      <c r="AG16" s="35" t="str">
        <f t="shared" si="1"/>
        <v/>
      </c>
      <c r="AH16" s="36">
        <f t="shared" si="2"/>
        <v>0.94083969465648853</v>
      </c>
    </row>
    <row r="17" spans="1:34" ht="1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29">
        <f t="shared" si="3"/>
        <v>4</v>
      </c>
      <c r="Q17" s="30" t="s">
        <v>106</v>
      </c>
      <c r="R17" s="31">
        <v>45677</v>
      </c>
      <c r="S17" s="68"/>
      <c r="T17" s="32">
        <v>9.32</v>
      </c>
      <c r="U17" s="38">
        <v>9.6790000000000003</v>
      </c>
      <c r="V17" s="74"/>
      <c r="W17" s="34">
        <f t="shared" si="4"/>
        <v>9.6790000000000003</v>
      </c>
      <c r="X17" s="34">
        <f t="shared" si="0"/>
        <v>0.15103401168549638</v>
      </c>
      <c r="Y17" s="35" t="str">
        <f t="shared" si="5"/>
        <v/>
      </c>
      <c r="Z17" s="36">
        <f t="shared" si="6"/>
        <v>1.038519313304721</v>
      </c>
      <c r="AA17" s="6"/>
      <c r="AB17" s="37">
        <v>0.52400000000000002</v>
      </c>
      <c r="AC17" s="38">
        <v>0.46500000000000002</v>
      </c>
      <c r="AD17" s="38"/>
      <c r="AE17" s="34">
        <f t="shared" si="7"/>
        <v>0.46500000000000002</v>
      </c>
      <c r="AF17" s="34">
        <f t="shared" si="8"/>
        <v>1.1133245814215569</v>
      </c>
      <c r="AG17" s="35" t="str">
        <f t="shared" si="1"/>
        <v/>
      </c>
      <c r="AH17" s="36">
        <f t="shared" si="2"/>
        <v>0.88740458015267176</v>
      </c>
    </row>
    <row r="18" spans="1:34" ht="1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29">
        <f t="shared" si="3"/>
        <v>5</v>
      </c>
      <c r="Q18" s="30" t="s">
        <v>106</v>
      </c>
      <c r="R18" s="31">
        <v>45677</v>
      </c>
      <c r="S18" s="68"/>
      <c r="T18" s="32">
        <v>9.32</v>
      </c>
      <c r="U18" s="38">
        <v>9.2970000000000006</v>
      </c>
      <c r="V18" s="74"/>
      <c r="W18" s="34">
        <f t="shared" si="4"/>
        <v>9.2970000000000006</v>
      </c>
      <c r="X18" s="34">
        <f t="shared" si="0"/>
        <v>0.36709528459307161</v>
      </c>
      <c r="Y18" s="35" t="str">
        <f t="shared" si="5"/>
        <v/>
      </c>
      <c r="Z18" s="36">
        <f t="shared" si="6"/>
        <v>0.99753218884120176</v>
      </c>
      <c r="AA18" s="6"/>
      <c r="AB18" s="37">
        <v>0.52400000000000002</v>
      </c>
      <c r="AC18" s="38">
        <v>0.47299999999999998</v>
      </c>
      <c r="AD18" s="38"/>
      <c r="AE18" s="34">
        <f t="shared" si="7"/>
        <v>0.47299999999999998</v>
      </c>
      <c r="AF18" s="34">
        <f t="shared" si="8"/>
        <v>0.92923742901371531</v>
      </c>
      <c r="AG18" s="35" t="str">
        <f t="shared" si="1"/>
        <v/>
      </c>
      <c r="AH18" s="36">
        <f t="shared" si="2"/>
        <v>0.90267175572519076</v>
      </c>
    </row>
    <row r="19" spans="1:34" ht="1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29">
        <f t="shared" si="3"/>
        <v>6</v>
      </c>
      <c r="Q19" s="30" t="s">
        <v>106</v>
      </c>
      <c r="R19" s="31">
        <v>45678</v>
      </c>
      <c r="S19" s="68"/>
      <c r="T19" s="32">
        <v>9.32</v>
      </c>
      <c r="U19" s="38">
        <v>9.2520000000000007</v>
      </c>
      <c r="V19" s="74"/>
      <c r="W19" s="34">
        <f t="shared" si="4"/>
        <v>9.2520000000000007</v>
      </c>
      <c r="X19" s="34">
        <f t="shared" si="0"/>
        <v>0.42813145823845261</v>
      </c>
      <c r="Y19" s="35" t="str">
        <f t="shared" si="5"/>
        <v/>
      </c>
      <c r="Z19" s="36">
        <f t="shared" si="6"/>
        <v>0.99270386266094424</v>
      </c>
      <c r="AA19" s="6"/>
      <c r="AB19" s="37">
        <v>0.52400000000000002</v>
      </c>
      <c r="AC19" s="38">
        <v>0.52700000000000002</v>
      </c>
      <c r="AD19" s="38"/>
      <c r="AE19" s="34">
        <f t="shared" si="7"/>
        <v>0.52700000000000002</v>
      </c>
      <c r="AF19" s="34">
        <f t="shared" si="8"/>
        <v>0.31335084973922345</v>
      </c>
      <c r="AG19" s="35" t="str">
        <f t="shared" si="1"/>
        <v/>
      </c>
      <c r="AH19" s="36">
        <f t="shared" si="2"/>
        <v>1.0057251908396947</v>
      </c>
    </row>
    <row r="20" spans="1:34" ht="1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29">
        <f t="shared" si="3"/>
        <v>7</v>
      </c>
      <c r="Q20" s="30" t="s">
        <v>106</v>
      </c>
      <c r="R20" s="31">
        <v>45678</v>
      </c>
      <c r="S20" s="68"/>
      <c r="T20" s="32">
        <v>9.32</v>
      </c>
      <c r="U20" s="38">
        <v>8.6010000000000009</v>
      </c>
      <c r="V20" s="74"/>
      <c r="W20" s="34">
        <f t="shared" si="4"/>
        <v>8.6010000000000009</v>
      </c>
      <c r="X20" s="34">
        <f t="shared" si="0"/>
        <v>1.3111214369749655</v>
      </c>
      <c r="Y20" s="35" t="str">
        <f t="shared" si="5"/>
        <v/>
      </c>
      <c r="Z20" s="36">
        <f t="shared" si="6"/>
        <v>0.922854077253219</v>
      </c>
      <c r="AA20" s="6"/>
      <c r="AB20" s="37">
        <v>0.52400000000000002</v>
      </c>
      <c r="AC20" s="38">
        <v>0.49299999999999999</v>
      </c>
      <c r="AD20" s="38"/>
      <c r="AE20" s="34">
        <f t="shared" si="7"/>
        <v>0.49299999999999999</v>
      </c>
      <c r="AF20" s="34">
        <f t="shared" si="8"/>
        <v>0.46901954799410839</v>
      </c>
      <c r="AG20" s="35" t="str">
        <f t="shared" si="1"/>
        <v/>
      </c>
      <c r="AH20" s="36">
        <f t="shared" si="2"/>
        <v>0.94083969465648853</v>
      </c>
    </row>
    <row r="21" spans="1:34" ht="1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29">
        <f t="shared" si="3"/>
        <v>8</v>
      </c>
      <c r="Q21" s="30" t="s">
        <v>106</v>
      </c>
      <c r="R21" s="31">
        <v>45678</v>
      </c>
      <c r="S21" s="68"/>
      <c r="T21" s="32">
        <v>9.32</v>
      </c>
      <c r="U21" s="38">
        <v>8.9019999999999992</v>
      </c>
      <c r="V21" s="74"/>
      <c r="W21" s="34">
        <f t="shared" si="4"/>
        <v>8.9019999999999992</v>
      </c>
      <c r="X21" s="34">
        <f t="shared" si="0"/>
        <v>0.9028572532580853</v>
      </c>
      <c r="Y21" s="35" t="str">
        <f t="shared" si="5"/>
        <v/>
      </c>
      <c r="Z21" s="36">
        <f t="shared" si="6"/>
        <v>0.95515021459227456</v>
      </c>
      <c r="AA21" s="6"/>
      <c r="AB21" s="37">
        <v>0.52400000000000002</v>
      </c>
      <c r="AC21" s="38">
        <v>0.58299999999999996</v>
      </c>
      <c r="AD21" s="38"/>
      <c r="AE21" s="34">
        <f t="shared" si="7"/>
        <v>0.58299999999999996</v>
      </c>
      <c r="AF21" s="34">
        <f t="shared" si="8"/>
        <v>1.6019609165941202</v>
      </c>
      <c r="AG21" s="35" t="str">
        <f t="shared" si="1"/>
        <v/>
      </c>
      <c r="AH21" s="36">
        <f t="shared" si="2"/>
        <v>1.1125954198473282</v>
      </c>
    </row>
    <row r="22" spans="1:34" ht="1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29">
        <f t="shared" si="3"/>
        <v>9</v>
      </c>
      <c r="Q22" s="30" t="s">
        <v>106</v>
      </c>
      <c r="R22" s="31">
        <v>45678</v>
      </c>
      <c r="S22" s="68"/>
      <c r="T22" s="32">
        <v>9.32</v>
      </c>
      <c r="U22" s="38">
        <v>9.1940000000000008</v>
      </c>
      <c r="V22" s="74"/>
      <c r="W22" s="34">
        <f t="shared" si="4"/>
        <v>9.1940000000000008</v>
      </c>
      <c r="X22" s="34">
        <f t="shared" si="0"/>
        <v>0.50680030427027689</v>
      </c>
      <c r="Y22" s="35" t="str">
        <f t="shared" si="5"/>
        <v/>
      </c>
      <c r="Z22" s="36">
        <f t="shared" si="6"/>
        <v>0.986480686695279</v>
      </c>
      <c r="AA22" s="6"/>
      <c r="AB22" s="37">
        <v>0.52400000000000002</v>
      </c>
      <c r="AC22" s="38">
        <v>0.50700000000000001</v>
      </c>
      <c r="AD22" s="38"/>
      <c r="AE22" s="34">
        <f t="shared" si="7"/>
        <v>0.50700000000000001</v>
      </c>
      <c r="AF22" s="34">
        <f t="shared" si="8"/>
        <v>0.1468670312803835</v>
      </c>
      <c r="AG22" s="35" t="str">
        <f t="shared" si="1"/>
        <v/>
      </c>
      <c r="AH22" s="36">
        <f t="shared" si="2"/>
        <v>0.96755725190839692</v>
      </c>
    </row>
    <row r="23" spans="1:34" ht="1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29">
        <f t="shared" si="3"/>
        <v>10</v>
      </c>
      <c r="Q23" s="30" t="s">
        <v>106</v>
      </c>
      <c r="R23" s="31">
        <v>45678</v>
      </c>
      <c r="S23" s="68"/>
      <c r="T23" s="32">
        <v>9.32</v>
      </c>
      <c r="U23" s="38">
        <v>8.968</v>
      </c>
      <c r="V23" s="74"/>
      <c r="W23" s="34">
        <f t="shared" si="4"/>
        <v>8.968</v>
      </c>
      <c r="X23" s="34">
        <f t="shared" si="0"/>
        <v>0.81333753191152536</v>
      </c>
      <c r="Y23" s="35" t="str">
        <f t="shared" si="5"/>
        <v/>
      </c>
      <c r="Z23" s="36">
        <f t="shared" si="6"/>
        <v>0.96223175965665231</v>
      </c>
      <c r="AA23" s="6"/>
      <c r="AB23" s="37">
        <v>0.52400000000000002</v>
      </c>
      <c r="AC23" s="38">
        <v>0.55000000000000004</v>
      </c>
      <c r="AD23" s="38"/>
      <c r="AE23" s="34">
        <f t="shared" si="7"/>
        <v>0.55000000000000004</v>
      </c>
      <c r="AF23" s="34">
        <f t="shared" si="8"/>
        <v>0.84260141291177137</v>
      </c>
      <c r="AG23" s="35" t="str">
        <f t="shared" si="1"/>
        <v/>
      </c>
      <c r="AH23" s="36">
        <f t="shared" si="2"/>
        <v>1.0496183206106871</v>
      </c>
    </row>
    <row r="24" spans="1:34" ht="1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29">
        <f t="shared" si="3"/>
        <v>11</v>
      </c>
      <c r="Q24" s="30" t="s">
        <v>106</v>
      </c>
      <c r="R24" s="31">
        <v>45679</v>
      </c>
      <c r="S24" s="68"/>
      <c r="T24" s="32">
        <v>9.32</v>
      </c>
      <c r="U24" s="38">
        <v>10.613</v>
      </c>
      <c r="V24" s="74"/>
      <c r="W24" s="34">
        <f t="shared" si="4"/>
        <v>10.613</v>
      </c>
      <c r="X24" s="34">
        <f t="shared" si="0"/>
        <v>1.4178737046807386</v>
      </c>
      <c r="Y24" s="35" t="str">
        <f t="shared" si="5"/>
        <v/>
      </c>
      <c r="Z24" s="36">
        <f t="shared" si="6"/>
        <v>1.138733905579399</v>
      </c>
      <c r="AA24" s="6"/>
      <c r="AB24" s="37">
        <v>0.52400000000000002</v>
      </c>
      <c r="AC24" s="38">
        <v>0.47799999999999998</v>
      </c>
      <c r="AD24" s="38"/>
      <c r="AE24" s="34">
        <f t="shared" si="7"/>
        <v>0.47799999999999998</v>
      </c>
      <c r="AF24" s="34">
        <f t="shared" si="8"/>
        <v>0.81418295875881352</v>
      </c>
      <c r="AG24" s="35" t="str">
        <f t="shared" si="1"/>
        <v/>
      </c>
      <c r="AH24" s="36">
        <f t="shared" si="2"/>
        <v>0.91221374045801518</v>
      </c>
    </row>
    <row r="25" spans="1:34" ht="1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29">
        <f t="shared" si="3"/>
        <v>12</v>
      </c>
      <c r="Q25" s="30" t="s">
        <v>106</v>
      </c>
      <c r="R25" s="31">
        <v>45679</v>
      </c>
      <c r="S25" s="68"/>
      <c r="T25" s="32">
        <v>9.32</v>
      </c>
      <c r="U25" s="38">
        <v>10.6</v>
      </c>
      <c r="V25" s="74"/>
      <c r="W25" s="34">
        <f t="shared" si="4"/>
        <v>10.6</v>
      </c>
      <c r="X25" s="34">
        <f t="shared" si="0"/>
        <v>1.4002410322942953</v>
      </c>
      <c r="Y25" s="35" t="str">
        <f t="shared" si="5"/>
        <v/>
      </c>
      <c r="Z25" s="36">
        <f t="shared" si="6"/>
        <v>1.1373390557939913</v>
      </c>
      <c r="AA25" s="6"/>
      <c r="AB25" s="37">
        <v>0.52400000000000002</v>
      </c>
      <c r="AC25" s="38">
        <v>0.56599999999999995</v>
      </c>
      <c r="AD25" s="38"/>
      <c r="AE25" s="34">
        <f t="shared" si="7"/>
        <v>0.56599999999999995</v>
      </c>
      <c r="AF25" s="34">
        <f t="shared" si="8"/>
        <v>1.2107757177274543</v>
      </c>
      <c r="AG25" s="35" t="str">
        <f t="shared" si="1"/>
        <v/>
      </c>
      <c r="AH25" s="36">
        <f t="shared" si="2"/>
        <v>1.080152671755725</v>
      </c>
    </row>
    <row r="26" spans="1:34" ht="1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29">
        <f t="shared" si="3"/>
        <v>13</v>
      </c>
      <c r="Q26" s="30" t="s">
        <v>106</v>
      </c>
      <c r="R26" s="31">
        <v>45679</v>
      </c>
      <c r="S26" s="68"/>
      <c r="T26" s="32">
        <v>9.32</v>
      </c>
      <c r="U26" s="38">
        <v>9.9209999999999994</v>
      </c>
      <c r="V26" s="74"/>
      <c r="W26" s="34">
        <f t="shared" si="4"/>
        <v>9.9209999999999994</v>
      </c>
      <c r="X26" s="34">
        <f t="shared" si="0"/>
        <v>0.47927298995621131</v>
      </c>
      <c r="Y26" s="35" t="str">
        <f t="shared" si="5"/>
        <v/>
      </c>
      <c r="Z26" s="36">
        <f t="shared" si="6"/>
        <v>1.0644849785407724</v>
      </c>
      <c r="AA26" s="6"/>
      <c r="AB26" s="37">
        <v>0.52400000000000002</v>
      </c>
      <c r="AC26" s="38">
        <v>0.51700000000000002</v>
      </c>
      <c r="AD26" s="38"/>
      <c r="AE26" s="34">
        <f t="shared" si="7"/>
        <v>0.51700000000000002</v>
      </c>
      <c r="AF26" s="34">
        <f t="shared" si="8"/>
        <v>8.3241909229419958E-2</v>
      </c>
      <c r="AG26" s="35" t="str">
        <f t="shared" si="1"/>
        <v/>
      </c>
      <c r="AH26" s="36">
        <f t="shared" si="2"/>
        <v>0.98664122137404575</v>
      </c>
    </row>
    <row r="27" spans="1:34" ht="1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29">
        <f t="shared" si="3"/>
        <v>14</v>
      </c>
      <c r="Q27" s="30" t="s">
        <v>106</v>
      </c>
      <c r="R27" s="31">
        <v>45679</v>
      </c>
      <c r="S27" s="68"/>
      <c r="T27" s="32">
        <v>9.32</v>
      </c>
      <c r="U27" s="38">
        <v>11.385999999999999</v>
      </c>
      <c r="V27" s="74"/>
      <c r="W27" s="34">
        <f t="shared" si="4"/>
        <v>11.385999999999999</v>
      </c>
      <c r="X27" s="34">
        <f t="shared" si="0"/>
        <v>2.4663395319669514</v>
      </c>
      <c r="Y27" s="35">
        <f t="shared" si="5"/>
        <v>11.385999999999999</v>
      </c>
      <c r="Z27" s="36">
        <f t="shared" si="6"/>
        <v>1.2216738197424892</v>
      </c>
      <c r="AA27" s="6"/>
      <c r="AB27" s="37">
        <v>0.52400000000000002</v>
      </c>
      <c r="AC27" s="38">
        <v>0.42199999999999999</v>
      </c>
      <c r="AD27" s="38"/>
      <c r="AE27" s="34">
        <f t="shared" si="7"/>
        <v>0.42199999999999999</v>
      </c>
      <c r="AF27" s="34">
        <f t="shared" si="8"/>
        <v>2.1027930256137117</v>
      </c>
      <c r="AG27" s="35">
        <f t="shared" si="1"/>
        <v>0.42199999999999999</v>
      </c>
      <c r="AH27" s="36">
        <f t="shared" si="2"/>
        <v>0.80534351145038163</v>
      </c>
    </row>
    <row r="28" spans="1:34" ht="1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29">
        <f t="shared" si="3"/>
        <v>15</v>
      </c>
      <c r="Q28" s="30" t="s">
        <v>106</v>
      </c>
      <c r="R28" s="31">
        <v>45679</v>
      </c>
      <c r="S28" s="68"/>
      <c r="T28" s="32">
        <v>9.32</v>
      </c>
      <c r="U28" s="38">
        <v>9.1959999999999997</v>
      </c>
      <c r="V28" s="74"/>
      <c r="W28" s="34">
        <f t="shared" si="4"/>
        <v>9.1959999999999997</v>
      </c>
      <c r="X28" s="34">
        <f t="shared" si="0"/>
        <v>0.50408758544159482</v>
      </c>
      <c r="Y28" s="35" t="str">
        <f t="shared" si="5"/>
        <v/>
      </c>
      <c r="Z28" s="36">
        <f t="shared" si="6"/>
        <v>0.98669527896995701</v>
      </c>
      <c r="AA28" s="6"/>
      <c r="AB28" s="37">
        <v>0.52400000000000002</v>
      </c>
      <c r="AC28" s="38">
        <v>0.46600000000000003</v>
      </c>
      <c r="AD28" s="38"/>
      <c r="AE28" s="34">
        <f t="shared" si="7"/>
        <v>0.46600000000000003</v>
      </c>
      <c r="AF28" s="34">
        <f t="shared" si="8"/>
        <v>1.0903136873705765</v>
      </c>
      <c r="AG28" s="35" t="str">
        <f t="shared" si="1"/>
        <v/>
      </c>
      <c r="AH28" s="36">
        <f t="shared" si="2"/>
        <v>0.88931297709923662</v>
      </c>
    </row>
    <row r="29" spans="1:34" ht="1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 t="s">
        <v>107</v>
      </c>
      <c r="O29" s="8"/>
      <c r="P29" s="29">
        <f t="shared" si="3"/>
        <v>16</v>
      </c>
      <c r="Q29" s="30" t="s">
        <v>106</v>
      </c>
      <c r="R29" s="31">
        <v>45681</v>
      </c>
      <c r="S29" s="68"/>
      <c r="T29" s="32">
        <v>9.32</v>
      </c>
      <c r="U29" s="38">
        <v>9.9359999999999999</v>
      </c>
      <c r="V29" s="74"/>
      <c r="W29" s="34">
        <f t="shared" si="4"/>
        <v>9.9359999999999999</v>
      </c>
      <c r="X29" s="34">
        <f t="shared" si="0"/>
        <v>0.49961838117133911</v>
      </c>
      <c r="Y29" s="35" t="str">
        <f t="shared" si="5"/>
        <v/>
      </c>
      <c r="Z29" s="36">
        <f t="shared" si="6"/>
        <v>1.0660944206008582</v>
      </c>
      <c r="AA29" s="6"/>
      <c r="AB29" s="37">
        <v>0.52400000000000002</v>
      </c>
      <c r="AC29" s="38">
        <v>0.51200000000000001</v>
      </c>
      <c r="AD29" s="38"/>
      <c r="AE29" s="34">
        <f t="shared" si="7"/>
        <v>0.51200000000000001</v>
      </c>
      <c r="AF29" s="34">
        <f t="shared" si="8"/>
        <v>3.1812561025481779E-2</v>
      </c>
      <c r="AG29" s="35" t="str">
        <f t="shared" si="1"/>
        <v/>
      </c>
      <c r="AH29" s="36">
        <f t="shared" si="2"/>
        <v>0.97709923664122134</v>
      </c>
    </row>
    <row r="30" spans="1:34" ht="1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29">
        <f t="shared" si="3"/>
        <v>17</v>
      </c>
      <c r="Q30" s="30" t="s">
        <v>106</v>
      </c>
      <c r="R30" s="31">
        <v>45681</v>
      </c>
      <c r="S30" s="68"/>
      <c r="T30" s="32">
        <v>9.32</v>
      </c>
      <c r="U30" s="38">
        <v>8.6809999999999992</v>
      </c>
      <c r="V30" s="74"/>
      <c r="W30" s="34">
        <f t="shared" si="4"/>
        <v>8.6809999999999992</v>
      </c>
      <c r="X30" s="34">
        <f t="shared" si="0"/>
        <v>1.2026126838276237</v>
      </c>
      <c r="Y30" s="35" t="str">
        <f t="shared" si="5"/>
        <v/>
      </c>
      <c r="Z30" s="36">
        <f t="shared" si="6"/>
        <v>0.93143776824034319</v>
      </c>
      <c r="AA30" s="6"/>
      <c r="AB30" s="37">
        <v>0.52400000000000002</v>
      </c>
      <c r="AC30" s="38">
        <v>0.60199999999999998</v>
      </c>
      <c r="AD30" s="38"/>
      <c r="AE30" s="34">
        <f t="shared" si="7"/>
        <v>0.60199999999999998</v>
      </c>
      <c r="AF30" s="34">
        <f t="shared" si="8"/>
        <v>2.0391679035627468</v>
      </c>
      <c r="AG30" s="35">
        <f t="shared" si="1"/>
        <v>0.60199999999999998</v>
      </c>
      <c r="AH30" s="36">
        <f t="shared" si="2"/>
        <v>1.1488549618320609</v>
      </c>
    </row>
    <row r="31" spans="1:34" ht="1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29">
        <f t="shared" si="3"/>
        <v>18</v>
      </c>
      <c r="Q31" s="30" t="s">
        <v>106</v>
      </c>
      <c r="R31" s="31">
        <v>45681</v>
      </c>
      <c r="S31" s="68"/>
      <c r="T31" s="32">
        <v>9.32</v>
      </c>
      <c r="U31" s="38">
        <v>9.4380000000000006</v>
      </c>
      <c r="V31" s="74"/>
      <c r="W31" s="34">
        <f t="shared" si="4"/>
        <v>9.4380000000000006</v>
      </c>
      <c r="X31" s="34">
        <f t="shared" si="0"/>
        <v>0.17584860717087747</v>
      </c>
      <c r="Y31" s="35" t="str">
        <f t="shared" si="5"/>
        <v/>
      </c>
      <c r="Z31" s="36">
        <f t="shared" si="6"/>
        <v>1.0126609442060086</v>
      </c>
      <c r="AA31" s="6"/>
      <c r="AB31" s="37">
        <v>0.52400000000000002</v>
      </c>
      <c r="AC31" s="38">
        <v>0.46500000000000002</v>
      </c>
      <c r="AD31" s="38"/>
      <c r="AE31" s="34">
        <f t="shared" si="7"/>
        <v>0.46500000000000002</v>
      </c>
      <c r="AF31" s="34">
        <f t="shared" si="8"/>
        <v>1.1133245814215569</v>
      </c>
      <c r="AG31" s="35" t="str">
        <f t="shared" si="1"/>
        <v/>
      </c>
      <c r="AH31" s="36">
        <f t="shared" si="2"/>
        <v>0.88740458015267176</v>
      </c>
    </row>
    <row r="32" spans="1:34" ht="1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29">
        <f t="shared" si="3"/>
        <v>19</v>
      </c>
      <c r="Q32" s="30" t="s">
        <v>106</v>
      </c>
      <c r="R32" s="31">
        <v>45681</v>
      </c>
      <c r="S32" s="68"/>
      <c r="T32" s="32">
        <v>9.32</v>
      </c>
      <c r="U32" s="38">
        <v>9.3620000000000001</v>
      </c>
      <c r="V32" s="74"/>
      <c r="W32" s="34">
        <f t="shared" si="4"/>
        <v>9.3620000000000001</v>
      </c>
      <c r="X32" s="34">
        <f t="shared" si="0"/>
        <v>0.27893192266085515</v>
      </c>
      <c r="Y32" s="35" t="str">
        <f t="shared" si="5"/>
        <v/>
      </c>
      <c r="Z32" s="36">
        <f t="shared" si="6"/>
        <v>1.0045064377682402</v>
      </c>
      <c r="AA32" s="6"/>
      <c r="AB32" s="37">
        <v>0.52400000000000002</v>
      </c>
      <c r="AC32" s="38">
        <v>0.51400000000000001</v>
      </c>
      <c r="AD32" s="38"/>
      <c r="AE32" s="34">
        <f t="shared" si="7"/>
        <v>0.51400000000000001</v>
      </c>
      <c r="AF32" s="34">
        <f t="shared" si="8"/>
        <v>1.4209227076478915E-2</v>
      </c>
      <c r="AG32" s="35" t="str">
        <f t="shared" si="1"/>
        <v/>
      </c>
      <c r="AH32" s="36">
        <f t="shared" si="2"/>
        <v>0.98091603053435117</v>
      </c>
    </row>
    <row r="33" spans="1:34" ht="1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29">
        <f t="shared" si="3"/>
        <v>20</v>
      </c>
      <c r="Q33" s="30" t="s">
        <v>106</v>
      </c>
      <c r="R33" s="31">
        <v>45681</v>
      </c>
      <c r="S33" s="68"/>
      <c r="T33" s="32">
        <v>10.050000000000001</v>
      </c>
      <c r="U33" s="38">
        <v>10.224</v>
      </c>
      <c r="V33" s="74"/>
      <c r="W33" s="34">
        <f t="shared" si="4"/>
        <v>10.224</v>
      </c>
      <c r="X33" s="34">
        <f t="shared" si="0"/>
        <v>0.89024989250177844</v>
      </c>
      <c r="Y33" s="35" t="str">
        <f t="shared" si="5"/>
        <v/>
      </c>
      <c r="Z33" s="36">
        <f t="shared" si="6"/>
        <v>1.0173134328358209</v>
      </c>
      <c r="AA33" s="6"/>
      <c r="AB33" s="37">
        <v>0.54</v>
      </c>
      <c r="AC33" s="38">
        <v>0.435</v>
      </c>
      <c r="AD33" s="38"/>
      <c r="AE33" s="34">
        <f t="shared" si="7"/>
        <v>0.435</v>
      </c>
      <c r="AF33" s="34">
        <f t="shared" si="8"/>
        <v>1.8036514029509672</v>
      </c>
      <c r="AG33" s="35" t="str">
        <f t="shared" si="1"/>
        <v/>
      </c>
      <c r="AH33" s="36">
        <f t="shared" si="2"/>
        <v>0.80555555555555547</v>
      </c>
    </row>
    <row r="34" spans="1:34" ht="1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29">
        <f t="shared" si="3"/>
        <v>21</v>
      </c>
      <c r="Q34" s="30" t="s">
        <v>108</v>
      </c>
      <c r="R34" s="31">
        <v>45743</v>
      </c>
      <c r="S34" s="68"/>
      <c r="T34" s="39">
        <v>10.050000000000001</v>
      </c>
      <c r="U34" s="38">
        <v>10.282999999999999</v>
      </c>
      <c r="V34" s="74"/>
      <c r="W34" s="34">
        <f t="shared" si="4"/>
        <v>10.282999999999999</v>
      </c>
      <c r="X34" s="34">
        <f t="shared" si="0"/>
        <v>0.97027509794794387</v>
      </c>
      <c r="Y34" s="35" t="str">
        <f t="shared" si="5"/>
        <v/>
      </c>
      <c r="Z34" s="36">
        <f t="shared" si="6"/>
        <v>1.02318407960199</v>
      </c>
      <c r="AA34" s="6"/>
      <c r="AB34" s="37">
        <v>0.54</v>
      </c>
      <c r="AC34" s="38">
        <v>0.53700000000000003</v>
      </c>
      <c r="AD34" s="38"/>
      <c r="AE34" s="34">
        <f t="shared" si="7"/>
        <v>0.53700000000000003</v>
      </c>
      <c r="AF34" s="34">
        <f t="shared" si="8"/>
        <v>0.54345979024902691</v>
      </c>
      <c r="AG34" s="35" t="str">
        <f t="shared" si="1"/>
        <v/>
      </c>
      <c r="AH34" s="36">
        <f t="shared" si="2"/>
        <v>0.99444444444444446</v>
      </c>
    </row>
    <row r="35" spans="1:34" ht="1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29">
        <f t="shared" si="3"/>
        <v>22</v>
      </c>
      <c r="Q35" s="30" t="s">
        <v>108</v>
      </c>
      <c r="R35" s="31">
        <v>45743</v>
      </c>
      <c r="S35" s="68"/>
      <c r="T35" s="39">
        <v>9.32</v>
      </c>
      <c r="U35" s="38">
        <v>7.7130000000000001</v>
      </c>
      <c r="V35" s="74"/>
      <c r="W35" s="34">
        <f t="shared" si="4"/>
        <v>7.7130000000000001</v>
      </c>
      <c r="X35" s="34">
        <f t="shared" si="0"/>
        <v>2.5155685969104868</v>
      </c>
      <c r="Y35" s="35">
        <f t="shared" si="5"/>
        <v>7.7130000000000001</v>
      </c>
      <c r="Z35" s="36">
        <f t="shared" si="6"/>
        <v>0.82757510729613737</v>
      </c>
      <c r="AA35" s="6"/>
      <c r="AB35" s="37">
        <v>0.52400000000000002</v>
      </c>
      <c r="AC35" s="38">
        <v>0.56599999999999995</v>
      </c>
      <c r="AD35" s="38"/>
      <c r="AE35" s="34">
        <f t="shared" si="7"/>
        <v>0.56599999999999995</v>
      </c>
      <c r="AF35" s="34">
        <f t="shared" si="8"/>
        <v>1.2107757177274543</v>
      </c>
      <c r="AG35" s="35" t="str">
        <f t="shared" si="1"/>
        <v/>
      </c>
      <c r="AH35" s="36">
        <f t="shared" si="2"/>
        <v>1.080152671755725</v>
      </c>
    </row>
    <row r="36" spans="1:34" ht="1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29">
        <f t="shared" si="3"/>
        <v>23</v>
      </c>
      <c r="Q36" s="30" t="s">
        <v>108</v>
      </c>
      <c r="R36" s="31">
        <v>45772</v>
      </c>
      <c r="S36" s="68"/>
      <c r="T36" s="39">
        <v>10.050000000000001</v>
      </c>
      <c r="U36" s="38">
        <v>9.2908000000000008</v>
      </c>
      <c r="V36" s="74"/>
      <c r="W36" s="34">
        <f t="shared" si="4"/>
        <v>9.2908000000000008</v>
      </c>
      <c r="X36" s="34">
        <f t="shared" si="0"/>
        <v>0.37550471296199045</v>
      </c>
      <c r="Y36" s="35" t="str">
        <f t="shared" si="5"/>
        <v/>
      </c>
      <c r="Z36" s="36">
        <f t="shared" si="6"/>
        <v>0.9244577114427861</v>
      </c>
      <c r="AA36" s="6"/>
      <c r="AB36" s="37">
        <v>0.54</v>
      </c>
      <c r="AC36" s="38">
        <v>0.47699999999999998</v>
      </c>
      <c r="AD36" s="38"/>
      <c r="AE36" s="34">
        <f t="shared" si="7"/>
        <v>0.47699999999999998</v>
      </c>
      <c r="AF36" s="34">
        <f t="shared" si="8"/>
        <v>0.83719385280979397</v>
      </c>
      <c r="AG36" s="35" t="str">
        <f t="shared" si="1"/>
        <v/>
      </c>
      <c r="AH36" s="36">
        <f t="shared" si="2"/>
        <v>0.88333333333333319</v>
      </c>
    </row>
    <row r="37" spans="1:34" ht="1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29">
        <f t="shared" si="3"/>
        <v>24</v>
      </c>
      <c r="Q37" s="30" t="s">
        <v>108</v>
      </c>
      <c r="R37" s="31">
        <v>45772</v>
      </c>
      <c r="S37" s="68"/>
      <c r="T37" s="39">
        <v>10.050000000000001</v>
      </c>
      <c r="U37" s="38">
        <v>9.6495999999999995</v>
      </c>
      <c r="V37" s="74"/>
      <c r="W37" s="34">
        <f t="shared" si="4"/>
        <v>9.6495999999999995</v>
      </c>
      <c r="X37" s="34">
        <f t="shared" si="0"/>
        <v>0.11115704490384637</v>
      </c>
      <c r="Y37" s="35" t="str">
        <f t="shared" si="5"/>
        <v/>
      </c>
      <c r="Z37" s="36">
        <f t="shared" si="6"/>
        <v>0.96015920398009935</v>
      </c>
      <c r="AA37" s="6"/>
      <c r="AB37" s="37">
        <v>0.54</v>
      </c>
      <c r="AC37" s="38">
        <v>0.52090000000000003</v>
      </c>
      <c r="AD37" s="38"/>
      <c r="AE37" s="34">
        <f t="shared" si="7"/>
        <v>0.52090000000000003</v>
      </c>
      <c r="AF37" s="34">
        <f t="shared" si="8"/>
        <v>0.17298439602824356</v>
      </c>
      <c r="AG37" s="35" t="str">
        <f t="shared" si="1"/>
        <v/>
      </c>
      <c r="AH37" s="36">
        <f t="shared" si="2"/>
        <v>0.96462962962962961</v>
      </c>
    </row>
    <row r="38" spans="1:34" ht="1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29">
        <f t="shared" si="3"/>
        <v>25</v>
      </c>
      <c r="Q38" s="30" t="s">
        <v>108</v>
      </c>
      <c r="R38" s="31">
        <v>45785</v>
      </c>
      <c r="S38" s="68"/>
      <c r="T38" s="39">
        <v>10.050000000000001</v>
      </c>
      <c r="U38" s="38">
        <v>11.3101</v>
      </c>
      <c r="V38" s="74"/>
      <c r="W38" s="34">
        <f t="shared" si="4"/>
        <v>11.3101</v>
      </c>
      <c r="X38" s="34">
        <f t="shared" si="0"/>
        <v>2.3633918524184101</v>
      </c>
      <c r="Y38" s="35">
        <f t="shared" si="5"/>
        <v>11.3101</v>
      </c>
      <c r="Z38" s="36">
        <f t="shared" si="6"/>
        <v>1.1253830845771144</v>
      </c>
      <c r="AA38" s="6"/>
      <c r="AB38" s="37">
        <v>0.54</v>
      </c>
      <c r="AC38" s="38">
        <v>0.54849999999999999</v>
      </c>
      <c r="AD38" s="38"/>
      <c r="AE38" s="34">
        <f t="shared" si="7"/>
        <v>0.54849999999999999</v>
      </c>
      <c r="AF38" s="34">
        <f t="shared" si="8"/>
        <v>0.80808507183529965</v>
      </c>
      <c r="AG38" s="35" t="str">
        <f t="shared" si="1"/>
        <v/>
      </c>
      <c r="AH38" s="36">
        <f t="shared" si="2"/>
        <v>1.0157407407407406</v>
      </c>
    </row>
    <row r="39" spans="1:34" ht="1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29">
        <f t="shared" si="3"/>
        <v>26</v>
      </c>
      <c r="Q39" s="30" t="s">
        <v>108</v>
      </c>
      <c r="R39" s="31">
        <v>45785</v>
      </c>
      <c r="S39" s="68"/>
      <c r="T39" s="39">
        <v>10.050000000000001</v>
      </c>
      <c r="U39" s="38">
        <v>9.4963999999999995</v>
      </c>
      <c r="V39" s="74"/>
      <c r="W39" s="34">
        <f t="shared" si="4"/>
        <v>9.4963999999999995</v>
      </c>
      <c r="X39" s="34">
        <f t="shared" si="0"/>
        <v>9.6637217373317735E-2</v>
      </c>
      <c r="Y39" s="35" t="str">
        <f t="shared" si="5"/>
        <v/>
      </c>
      <c r="Z39" s="36">
        <f t="shared" si="6"/>
        <v>0.94491542288557206</v>
      </c>
      <c r="AA39" s="6"/>
      <c r="AB39" s="37">
        <v>0.54</v>
      </c>
      <c r="AC39" s="38">
        <v>0.50590000000000002</v>
      </c>
      <c r="AD39" s="38"/>
      <c r="AE39" s="34">
        <f t="shared" si="7"/>
        <v>0.50590000000000002</v>
      </c>
      <c r="AF39" s="34">
        <f t="shared" si="8"/>
        <v>0.17217901473646163</v>
      </c>
      <c r="AG39" s="35" t="str">
        <f t="shared" si="1"/>
        <v/>
      </c>
      <c r="AH39" s="36">
        <f t="shared" si="2"/>
        <v>0.93685185185185182</v>
      </c>
    </row>
    <row r="40" spans="1:34" ht="1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29">
        <f t="shared" si="3"/>
        <v>27</v>
      </c>
      <c r="Q40" s="30" t="s">
        <v>109</v>
      </c>
      <c r="R40" s="31">
        <v>45793</v>
      </c>
      <c r="S40" s="68"/>
      <c r="T40" s="39">
        <v>10.050000000000001</v>
      </c>
      <c r="U40" s="38">
        <v>9.1170000000000009</v>
      </c>
      <c r="V40" s="74"/>
      <c r="W40" s="34">
        <f t="shared" si="4"/>
        <v>9.1170000000000009</v>
      </c>
      <c r="X40" s="34">
        <f t="shared" si="0"/>
        <v>0.6112399791745956</v>
      </c>
      <c r="Y40" s="35" t="str">
        <f t="shared" si="5"/>
        <v/>
      </c>
      <c r="Z40" s="36">
        <f t="shared" si="6"/>
        <v>0.90716417910447766</v>
      </c>
      <c r="AA40" s="6"/>
      <c r="AB40" s="37">
        <v>0.54</v>
      </c>
      <c r="AC40" s="38">
        <v>0.51300000000000001</v>
      </c>
      <c r="AD40" s="38"/>
      <c r="AE40" s="34">
        <f t="shared" si="7"/>
        <v>0.51300000000000001</v>
      </c>
      <c r="AF40" s="34">
        <f t="shared" si="8"/>
        <v>8.8016669745014323E-3</v>
      </c>
      <c r="AG40" s="35" t="str">
        <f t="shared" si="1"/>
        <v/>
      </c>
      <c r="AH40" s="36">
        <f t="shared" si="2"/>
        <v>0.95</v>
      </c>
    </row>
    <row r="41" spans="1:34" ht="1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29">
        <f t="shared" si="3"/>
        <v>28</v>
      </c>
      <c r="Q41" s="30" t="s">
        <v>109</v>
      </c>
      <c r="R41" s="31">
        <v>45793</v>
      </c>
      <c r="S41" s="68"/>
      <c r="T41" s="39">
        <v>10.050000000000001</v>
      </c>
      <c r="U41" s="38">
        <v>10.923</v>
      </c>
      <c r="V41" s="74"/>
      <c r="W41" s="34">
        <f t="shared" si="4"/>
        <v>10.923</v>
      </c>
      <c r="X41" s="34">
        <f t="shared" si="0"/>
        <v>1.8383451231266981</v>
      </c>
      <c r="Y41" s="35" t="str">
        <f t="shared" si="5"/>
        <v/>
      </c>
      <c r="Z41" s="36">
        <f t="shared" si="6"/>
        <v>1.086865671641791</v>
      </c>
      <c r="AA41" s="6"/>
      <c r="AB41" s="37">
        <v>0.54</v>
      </c>
      <c r="AC41" s="38">
        <v>0.46899999999999997</v>
      </c>
      <c r="AD41" s="38"/>
      <c r="AE41" s="34">
        <f t="shared" si="7"/>
        <v>0.46899999999999997</v>
      </c>
      <c r="AF41" s="34">
        <f t="shared" si="8"/>
        <v>1.0212810052176367</v>
      </c>
      <c r="AG41" s="35" t="str">
        <f t="shared" si="1"/>
        <v/>
      </c>
      <c r="AH41" s="36">
        <f t="shared" si="2"/>
        <v>0.86851851851851836</v>
      </c>
    </row>
    <row r="42" spans="1:34" ht="1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29">
        <f t="shared" si="3"/>
        <v>29</v>
      </c>
      <c r="Q42" s="30" t="s">
        <v>108</v>
      </c>
      <c r="R42" s="31">
        <v>45804</v>
      </c>
      <c r="S42" s="68"/>
      <c r="T42" s="39">
        <v>10.050000000000001</v>
      </c>
      <c r="U42" s="38">
        <v>10.334</v>
      </c>
      <c r="V42" s="74"/>
      <c r="W42" s="34">
        <f t="shared" si="4"/>
        <v>10.334</v>
      </c>
      <c r="X42" s="34">
        <f t="shared" si="0"/>
        <v>1.039449428079376</v>
      </c>
      <c r="Y42" s="35" t="str">
        <f t="shared" si="5"/>
        <v/>
      </c>
      <c r="Z42" s="36">
        <f t="shared" si="6"/>
        <v>1.0282587064676616</v>
      </c>
      <c r="AA42" s="6"/>
      <c r="AB42" s="37">
        <v>0.54</v>
      </c>
      <c r="AC42" s="38">
        <v>0.53100000000000003</v>
      </c>
      <c r="AD42" s="38"/>
      <c r="AE42" s="34">
        <f t="shared" si="7"/>
        <v>0.53100000000000003</v>
      </c>
      <c r="AF42" s="34">
        <f t="shared" si="8"/>
        <v>0.40539442594314479</v>
      </c>
      <c r="AG42" s="35" t="str">
        <f t="shared" si="1"/>
        <v/>
      </c>
      <c r="AH42" s="36">
        <f t="shared" si="2"/>
        <v>0.98333333333333328</v>
      </c>
    </row>
    <row r="43" spans="1:34" ht="1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29">
        <f t="shared" si="3"/>
        <v>30</v>
      </c>
      <c r="Q43" s="30" t="s">
        <v>108</v>
      </c>
      <c r="R43" s="31">
        <v>45804</v>
      </c>
      <c r="S43" s="68"/>
      <c r="T43" s="39">
        <v>10.050000000000001</v>
      </c>
      <c r="U43" s="38">
        <v>9.9329999999999998</v>
      </c>
      <c r="V43" s="74"/>
      <c r="W43" s="34">
        <f t="shared" si="4"/>
        <v>9.9329999999999998</v>
      </c>
      <c r="X43" s="34">
        <f t="shared" si="0"/>
        <v>0.49554930292831356</v>
      </c>
      <c r="Y43" s="35" t="str">
        <f t="shared" si="5"/>
        <v/>
      </c>
      <c r="Z43" s="36">
        <f t="shared" si="6"/>
        <v>0.98835820895522375</v>
      </c>
      <c r="AA43" s="6"/>
      <c r="AB43" s="37">
        <v>0.54</v>
      </c>
      <c r="AC43" s="38">
        <v>0.55600000000000005</v>
      </c>
      <c r="AD43" s="38"/>
      <c r="AE43" s="34">
        <f t="shared" si="7"/>
        <v>0.55600000000000005</v>
      </c>
      <c r="AF43" s="34">
        <f t="shared" si="8"/>
        <v>0.9806667772176535</v>
      </c>
      <c r="AG43" s="35" t="str">
        <f t="shared" si="1"/>
        <v/>
      </c>
      <c r="AH43" s="36">
        <f t="shared" si="2"/>
        <v>1.0296296296296297</v>
      </c>
    </row>
    <row r="44" spans="1:34" ht="1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29">
        <f t="shared" si="3"/>
        <v>31</v>
      </c>
      <c r="Q44" s="30" t="s">
        <v>108</v>
      </c>
      <c r="R44" s="31">
        <v>45825</v>
      </c>
      <c r="S44" s="68"/>
      <c r="T44" s="39">
        <v>10.050000000000001</v>
      </c>
      <c r="U44" s="38">
        <v>9.0429999999999993</v>
      </c>
      <c r="V44" s="74"/>
      <c r="W44" s="34">
        <f t="shared" si="4"/>
        <v>9.0429999999999993</v>
      </c>
      <c r="X44" s="34">
        <f t="shared" si="0"/>
        <v>0.71161057583589116</v>
      </c>
      <c r="Y44" s="35" t="str">
        <f t="shared" si="5"/>
        <v/>
      </c>
      <c r="Z44" s="36">
        <f t="shared" si="6"/>
        <v>0.89980099502487554</v>
      </c>
      <c r="AA44" s="6"/>
      <c r="AB44" s="37">
        <v>0.54</v>
      </c>
      <c r="AC44" s="38">
        <v>0.47699999999999998</v>
      </c>
      <c r="AD44" s="38"/>
      <c r="AE44" s="34">
        <f t="shared" si="7"/>
        <v>0.47699999999999998</v>
      </c>
      <c r="AF44" s="34">
        <f t="shared" si="8"/>
        <v>0.83719385280979397</v>
      </c>
      <c r="AG44" s="35" t="str">
        <f t="shared" si="1"/>
        <v/>
      </c>
      <c r="AH44" s="36">
        <f t="shared" si="2"/>
        <v>0.88333333333333319</v>
      </c>
    </row>
    <row r="45" spans="1:34" ht="1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29">
        <f t="shared" si="3"/>
        <v>32</v>
      </c>
      <c r="Q45" s="30" t="s">
        <v>108</v>
      </c>
      <c r="R45" s="31">
        <v>45825</v>
      </c>
      <c r="S45" s="68"/>
      <c r="T45" s="39">
        <v>10.050000000000001</v>
      </c>
      <c r="U45" s="38">
        <v>9.25</v>
      </c>
      <c r="V45" s="74"/>
      <c r="W45" s="34">
        <f t="shared" si="4"/>
        <v>9.25</v>
      </c>
      <c r="X45" s="34">
        <f t="shared" si="0"/>
        <v>0.43084417706713712</v>
      </c>
      <c r="Y45" s="35" t="str">
        <f t="shared" si="5"/>
        <v/>
      </c>
      <c r="Z45" s="36">
        <f t="shared" si="6"/>
        <v>0.92039800995024867</v>
      </c>
      <c r="AA45" s="6"/>
      <c r="AB45" s="37">
        <v>0.54</v>
      </c>
      <c r="AC45" s="38">
        <v>0.51700000000000002</v>
      </c>
      <c r="AD45" s="38"/>
      <c r="AE45" s="34">
        <f t="shared" si="7"/>
        <v>0.51700000000000002</v>
      </c>
      <c r="AF45" s="34">
        <f t="shared" si="8"/>
        <v>8.3241909229419958E-2</v>
      </c>
      <c r="AG45" s="35" t="str">
        <f t="shared" si="1"/>
        <v/>
      </c>
      <c r="AH45" s="36">
        <f t="shared" si="2"/>
        <v>0.95740740740740737</v>
      </c>
    </row>
    <row r="46" spans="1:34" ht="1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29">
        <f t="shared" si="3"/>
        <v>33</v>
      </c>
      <c r="Q46" s="30" t="s">
        <v>108</v>
      </c>
      <c r="R46" s="31">
        <v>45825</v>
      </c>
      <c r="S46" s="68"/>
      <c r="T46" s="39">
        <v>10.050000000000001</v>
      </c>
      <c r="U46" s="38">
        <v>9.3780000000000001</v>
      </c>
      <c r="V46" s="74"/>
      <c r="W46" s="34">
        <f t="shared" si="4"/>
        <v>9.3780000000000001</v>
      </c>
      <c r="X46" s="34">
        <f t="shared" si="0"/>
        <v>0.25723017203138632</v>
      </c>
      <c r="Y46" s="35" t="str">
        <f t="shared" si="5"/>
        <v/>
      </c>
      <c r="Z46" s="36">
        <f t="shared" si="6"/>
        <v>0.93313432835820886</v>
      </c>
      <c r="AA46" s="6"/>
      <c r="AB46" s="37">
        <v>0.54</v>
      </c>
      <c r="AC46" s="38">
        <v>0.48599999999999999</v>
      </c>
      <c r="AD46" s="38"/>
      <c r="AE46" s="34">
        <f t="shared" si="7"/>
        <v>0.48599999999999999</v>
      </c>
      <c r="AF46" s="34">
        <f t="shared" si="8"/>
        <v>0.63009580635097084</v>
      </c>
      <c r="AG46" s="35" t="str">
        <f t="shared" si="1"/>
        <v/>
      </c>
      <c r="AH46" s="36">
        <f t="shared" si="2"/>
        <v>0.89999999999999991</v>
      </c>
    </row>
    <row r="47" spans="1:34" ht="1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29">
        <f t="shared" si="3"/>
        <v>34</v>
      </c>
      <c r="Q47" s="30" t="s">
        <v>108</v>
      </c>
      <c r="R47" s="31">
        <v>45825</v>
      </c>
      <c r="S47" s="68"/>
      <c r="T47" s="39">
        <v>10.050000000000001</v>
      </c>
      <c r="U47" s="38">
        <v>8.8849999999999998</v>
      </c>
      <c r="V47" s="74"/>
      <c r="W47" s="34">
        <f t="shared" si="4"/>
        <v>8.8849999999999998</v>
      </c>
      <c r="X47" s="34">
        <f t="shared" si="0"/>
        <v>0.92591536330189517</v>
      </c>
      <c r="Y47" s="35" t="str">
        <f t="shared" si="5"/>
        <v/>
      </c>
      <c r="Z47" s="36">
        <f t="shared" si="6"/>
        <v>0.88407960199004965</v>
      </c>
      <c r="AA47" s="6"/>
      <c r="AB47" s="37">
        <v>0.54</v>
      </c>
      <c r="AC47" s="38">
        <v>0.441</v>
      </c>
      <c r="AD47" s="38"/>
      <c r="AE47" s="34">
        <f t="shared" si="7"/>
        <v>0.441</v>
      </c>
      <c r="AF47" s="34">
        <f t="shared" si="8"/>
        <v>1.6655860386450851</v>
      </c>
      <c r="AG47" s="35" t="str">
        <f t="shared" si="1"/>
        <v/>
      </c>
      <c r="AH47" s="36">
        <f t="shared" si="2"/>
        <v>0.81666666666666665</v>
      </c>
    </row>
    <row r="48" spans="1:34" ht="1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29">
        <f t="shared" si="3"/>
        <v>35</v>
      </c>
      <c r="Q48" s="30" t="s">
        <v>106</v>
      </c>
      <c r="R48" s="31">
        <v>45860</v>
      </c>
      <c r="S48" s="68"/>
      <c r="T48" s="39">
        <v>10.050000000000001</v>
      </c>
      <c r="U48" s="38">
        <v>9.375</v>
      </c>
      <c r="V48" s="74"/>
      <c r="W48" s="34">
        <f t="shared" si="4"/>
        <v>9.375</v>
      </c>
      <c r="X48" s="34">
        <f t="shared" si="0"/>
        <v>0.26129925027441187</v>
      </c>
      <c r="Y48" s="35" t="str">
        <f t="shared" si="5"/>
        <v/>
      </c>
      <c r="Z48" s="36">
        <f t="shared" si="6"/>
        <v>0.93283582089552231</v>
      </c>
      <c r="AA48" s="6"/>
      <c r="AB48" s="37">
        <v>0.54</v>
      </c>
      <c r="AC48" s="38">
        <v>0.54200000000000004</v>
      </c>
      <c r="AD48" s="38"/>
      <c r="AE48" s="34">
        <f t="shared" si="7"/>
        <v>0.54200000000000004</v>
      </c>
      <c r="AF48" s="34">
        <f t="shared" si="8"/>
        <v>0.65851426050392858</v>
      </c>
      <c r="AG48" s="35" t="str">
        <f t="shared" si="1"/>
        <v/>
      </c>
      <c r="AH48" s="36">
        <f t="shared" si="2"/>
        <v>1.0037037037037038</v>
      </c>
    </row>
    <row r="49" spans="1:34" ht="1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29">
        <f t="shared" si="3"/>
        <v>36</v>
      </c>
      <c r="Q49" s="30" t="s">
        <v>106</v>
      </c>
      <c r="R49" s="31">
        <v>45860</v>
      </c>
      <c r="S49" s="68"/>
      <c r="T49" s="39">
        <v>10.050000000000001</v>
      </c>
      <c r="U49" s="38">
        <v>9.2539999999999996</v>
      </c>
      <c r="V49" s="74"/>
      <c r="W49" s="34">
        <f t="shared" si="4"/>
        <v>9.2539999999999996</v>
      </c>
      <c r="X49" s="34">
        <f t="shared" si="0"/>
        <v>0.42541873940977054</v>
      </c>
      <c r="Y49" s="35" t="str">
        <f t="shared" si="5"/>
        <v/>
      </c>
      <c r="Z49" s="36">
        <f t="shared" si="6"/>
        <v>0.92079601990049742</v>
      </c>
      <c r="AA49" s="6"/>
      <c r="AB49" s="37">
        <v>0.54</v>
      </c>
      <c r="AC49" s="38">
        <v>0.53</v>
      </c>
      <c r="AD49" s="38"/>
      <c r="AE49" s="34">
        <f t="shared" si="7"/>
        <v>0.53</v>
      </c>
      <c r="AF49" s="34">
        <f t="shared" si="8"/>
        <v>0.38238353189216445</v>
      </c>
      <c r="AG49" s="35" t="str">
        <f t="shared" si="1"/>
        <v/>
      </c>
      <c r="AH49" s="36">
        <f t="shared" si="2"/>
        <v>0.98148148148148151</v>
      </c>
    </row>
    <row r="50" spans="1:34" ht="1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29">
        <f t="shared" si="3"/>
        <v>37</v>
      </c>
      <c r="Q50" s="30" t="s">
        <v>106</v>
      </c>
      <c r="R50" s="31">
        <v>45912</v>
      </c>
      <c r="S50" s="68"/>
      <c r="T50" s="39">
        <v>10.050000000000001</v>
      </c>
      <c r="U50" s="38">
        <v>9.2230000000000008</v>
      </c>
      <c r="V50" s="74"/>
      <c r="W50" s="34">
        <f t="shared" si="4"/>
        <v>9.2230000000000008</v>
      </c>
      <c r="X50" s="34">
        <f t="shared" si="0"/>
        <v>0.46746588125436478</v>
      </c>
      <c r="Y50" s="35" t="str">
        <f t="shared" si="5"/>
        <v/>
      </c>
      <c r="Z50" s="36">
        <f t="shared" si="6"/>
        <v>0.91771144278606964</v>
      </c>
      <c r="AA50" s="6"/>
      <c r="AB50" s="37">
        <v>0.54</v>
      </c>
      <c r="AC50" s="38">
        <v>0.497</v>
      </c>
      <c r="AD50" s="38"/>
      <c r="AE50" s="34">
        <f t="shared" si="7"/>
        <v>0.497</v>
      </c>
      <c r="AF50" s="34">
        <f t="shared" si="8"/>
        <v>0.37697597179018699</v>
      </c>
      <c r="AG50" s="35" t="str">
        <f t="shared" si="1"/>
        <v/>
      </c>
      <c r="AH50" s="36">
        <f t="shared" si="2"/>
        <v>0.92037037037037028</v>
      </c>
    </row>
    <row r="51" spans="1:34" ht="1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29">
        <f t="shared" si="3"/>
        <v>38</v>
      </c>
      <c r="Q51" s="30" t="s">
        <v>106</v>
      </c>
      <c r="R51" s="31">
        <v>46044</v>
      </c>
      <c r="S51" s="68"/>
      <c r="T51" s="39">
        <v>10.050000000000001</v>
      </c>
      <c r="U51" s="38">
        <v>10.106999999999999</v>
      </c>
      <c r="V51" s="74"/>
      <c r="W51" s="34">
        <f t="shared" si="4"/>
        <v>10.106999999999999</v>
      </c>
      <c r="X51" s="34">
        <f t="shared" si="0"/>
        <v>0.73155584102378646</v>
      </c>
      <c r="Y51" s="35" t="str">
        <f t="shared" si="5"/>
        <v/>
      </c>
      <c r="Z51" s="36">
        <f t="shared" si="6"/>
        <v>1.0056716417910447</v>
      </c>
      <c r="AA51" s="6"/>
      <c r="AB51" s="37">
        <v>0.54</v>
      </c>
      <c r="AC51" s="38">
        <v>0.56200000000000006</v>
      </c>
      <c r="AD51" s="38"/>
      <c r="AE51" s="34">
        <f t="shared" si="7"/>
        <v>0.56200000000000006</v>
      </c>
      <c r="AF51" s="34">
        <f t="shared" si="8"/>
        <v>1.1187321415235356</v>
      </c>
      <c r="AG51" s="35" t="str">
        <f t="shared" si="1"/>
        <v/>
      </c>
      <c r="AH51" s="36">
        <f t="shared" si="2"/>
        <v>1.0407407407407407</v>
      </c>
    </row>
    <row r="52" spans="1:34" ht="1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29">
        <f t="shared" si="3"/>
        <v>39</v>
      </c>
      <c r="Q52" s="30" t="s">
        <v>106</v>
      </c>
      <c r="R52" s="31">
        <v>46044</v>
      </c>
      <c r="S52" s="68"/>
      <c r="T52" s="39">
        <v>10.050000000000001</v>
      </c>
      <c r="U52" s="38">
        <v>9.6790000000000003</v>
      </c>
      <c r="V52" s="74"/>
      <c r="W52" s="34">
        <f t="shared" si="4"/>
        <v>9.6790000000000003</v>
      </c>
      <c r="X52" s="34">
        <f t="shared" si="0"/>
        <v>0.15103401168549638</v>
      </c>
      <c r="Y52" s="35" t="str">
        <f t="shared" si="5"/>
        <v/>
      </c>
      <c r="Z52" s="36">
        <f t="shared" si="6"/>
        <v>0.96308457711442785</v>
      </c>
      <c r="AA52" s="6"/>
      <c r="AB52" s="37">
        <v>0.54</v>
      </c>
      <c r="AC52" s="38">
        <v>0.502</v>
      </c>
      <c r="AD52" s="38"/>
      <c r="AE52" s="34">
        <f t="shared" si="7"/>
        <v>0.502</v>
      </c>
      <c r="AF52" s="34">
        <f t="shared" si="8"/>
        <v>0.26192150153528526</v>
      </c>
      <c r="AG52" s="35" t="str">
        <f t="shared" si="1"/>
        <v/>
      </c>
      <c r="AH52" s="36">
        <f t="shared" si="2"/>
        <v>0.92962962962962958</v>
      </c>
    </row>
    <row r="53" spans="1:34" ht="1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29">
        <f t="shared" si="3"/>
        <v>40</v>
      </c>
      <c r="Q53" s="30" t="s">
        <v>106</v>
      </c>
      <c r="R53" s="31">
        <v>46065</v>
      </c>
      <c r="S53" s="68"/>
      <c r="T53" s="39">
        <v>10.050000000000001</v>
      </c>
      <c r="U53" s="38">
        <v>9.4109999999999996</v>
      </c>
      <c r="V53" s="74"/>
      <c r="W53" s="34">
        <f t="shared" si="4"/>
        <v>9.4109999999999996</v>
      </c>
      <c r="X53" s="34">
        <f t="shared" si="0"/>
        <v>0.21247031135810754</v>
      </c>
      <c r="Y53" s="35" t="str">
        <f t="shared" si="5"/>
        <v/>
      </c>
      <c r="Z53" s="36">
        <f t="shared" si="6"/>
        <v>0.93641791044776113</v>
      </c>
      <c r="AA53" s="6"/>
      <c r="AB53" s="37">
        <v>0.54</v>
      </c>
      <c r="AC53" s="38">
        <v>0.55100000000000005</v>
      </c>
      <c r="AD53" s="38"/>
      <c r="AE53" s="34">
        <f t="shared" si="7"/>
        <v>0.55100000000000005</v>
      </c>
      <c r="AF53" s="34">
        <f t="shared" si="8"/>
        <v>0.86561230696275171</v>
      </c>
      <c r="AG53" s="35" t="str">
        <f t="shared" si="1"/>
        <v/>
      </c>
      <c r="AH53" s="36">
        <f t="shared" si="2"/>
        <v>1.0203703703703704</v>
      </c>
    </row>
    <row r="54" spans="1:34" ht="1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29" t="str">
        <f t="shared" si="3"/>
        <v/>
      </c>
      <c r="Q54" s="30"/>
      <c r="R54" s="31"/>
      <c r="S54" s="68"/>
      <c r="T54" s="39">
        <v>10.050000000000001</v>
      </c>
      <c r="U54" s="38"/>
      <c r="V54" s="74"/>
      <c r="W54" s="34" t="str">
        <f t="shared" si="4"/>
        <v>FALSE</v>
      </c>
      <c r="X54" s="34" t="str">
        <f t="shared" si="0"/>
        <v>FALSE</v>
      </c>
      <c r="Y54" s="35">
        <f t="shared" si="5"/>
        <v>0</v>
      </c>
      <c r="Z54" s="36" t="str">
        <f t="shared" si="6"/>
        <v/>
      </c>
      <c r="AA54" s="6"/>
      <c r="AB54" s="37">
        <v>0.54</v>
      </c>
      <c r="AC54" s="38"/>
      <c r="AD54" s="38"/>
      <c r="AE54" s="34" t="str">
        <f t="shared" si="7"/>
        <v>FALSE</v>
      </c>
      <c r="AF54" s="34" t="str">
        <f t="shared" si="8"/>
        <v>FALSE</v>
      </c>
      <c r="AG54" s="35">
        <f t="shared" si="1"/>
        <v>0</v>
      </c>
      <c r="AH54" s="36" t="str">
        <f t="shared" si="2"/>
        <v/>
      </c>
    </row>
    <row r="55" spans="1:34" ht="1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29" t="str">
        <f t="shared" si="3"/>
        <v/>
      </c>
      <c r="Q55" s="30"/>
      <c r="R55" s="31"/>
      <c r="S55" s="68"/>
      <c r="T55" s="39">
        <v>10.050000000000001</v>
      </c>
      <c r="U55" s="38"/>
      <c r="V55" s="74"/>
      <c r="W55" s="34" t="str">
        <f t="shared" si="4"/>
        <v>FALSE</v>
      </c>
      <c r="X55" s="34" t="str">
        <f t="shared" si="0"/>
        <v>FALSE</v>
      </c>
      <c r="Y55" s="35">
        <f t="shared" si="5"/>
        <v>0</v>
      </c>
      <c r="Z55" s="36" t="str">
        <f t="shared" si="6"/>
        <v/>
      </c>
      <c r="AA55" s="6"/>
      <c r="AB55" s="41"/>
      <c r="AC55" s="38"/>
      <c r="AD55" s="38"/>
      <c r="AE55" s="34" t="str">
        <f t="shared" si="7"/>
        <v>FALSE</v>
      </c>
      <c r="AF55" s="34" t="str">
        <f t="shared" si="8"/>
        <v>FALSE</v>
      </c>
      <c r="AG55" s="35">
        <f t="shared" si="1"/>
        <v>0</v>
      </c>
      <c r="AH55" s="36" t="str">
        <f t="shared" si="2"/>
        <v/>
      </c>
    </row>
    <row r="56" spans="1:34" ht="1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29" t="str">
        <f t="shared" si="3"/>
        <v/>
      </c>
      <c r="Q56" s="30"/>
      <c r="R56" s="31"/>
      <c r="S56" s="68"/>
      <c r="T56" s="39">
        <v>10.050000000000001</v>
      </c>
      <c r="U56" s="38"/>
      <c r="V56" s="74"/>
      <c r="W56" s="34" t="str">
        <f t="shared" si="4"/>
        <v>FALSE</v>
      </c>
      <c r="X56" s="34" t="str">
        <f t="shared" si="0"/>
        <v>FALSE</v>
      </c>
      <c r="Y56" s="35">
        <f t="shared" si="5"/>
        <v>0</v>
      </c>
      <c r="Z56" s="36" t="str">
        <f t="shared" si="6"/>
        <v/>
      </c>
      <c r="AA56" s="6"/>
      <c r="AB56" s="41"/>
      <c r="AC56" s="38"/>
      <c r="AD56" s="38"/>
      <c r="AE56" s="34" t="str">
        <f t="shared" si="7"/>
        <v>FALSE</v>
      </c>
      <c r="AF56" s="34" t="str">
        <f t="shared" si="8"/>
        <v>FALSE</v>
      </c>
      <c r="AG56" s="35">
        <f t="shared" si="1"/>
        <v>0</v>
      </c>
      <c r="AH56" s="36" t="str">
        <f t="shared" si="2"/>
        <v/>
      </c>
    </row>
    <row r="57" spans="1:34" ht="14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29" t="str">
        <f t="shared" si="3"/>
        <v/>
      </c>
      <c r="Q57" s="30"/>
      <c r="R57" s="31"/>
      <c r="S57" s="68"/>
      <c r="T57" s="40"/>
      <c r="U57" s="38"/>
      <c r="V57" s="74"/>
      <c r="W57" s="34" t="str">
        <f t="shared" si="4"/>
        <v>FALSE</v>
      </c>
      <c r="X57" s="34" t="str">
        <f t="shared" si="0"/>
        <v>FALSE</v>
      </c>
      <c r="Y57" s="35">
        <f t="shared" si="5"/>
        <v>0</v>
      </c>
      <c r="Z57" s="36" t="str">
        <f t="shared" si="6"/>
        <v/>
      </c>
      <c r="AA57" s="42"/>
      <c r="AB57" s="41"/>
      <c r="AC57" s="38"/>
      <c r="AD57" s="38"/>
      <c r="AE57" s="34" t="str">
        <f t="shared" si="7"/>
        <v>FALSE</v>
      </c>
      <c r="AF57" s="34" t="str">
        <f t="shared" si="8"/>
        <v>FALSE</v>
      </c>
      <c r="AG57" s="35">
        <f t="shared" si="1"/>
        <v>0</v>
      </c>
      <c r="AH57" s="36" t="str">
        <f t="shared" si="2"/>
        <v/>
      </c>
    </row>
    <row r="58" spans="1:34" ht="1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29" t="str">
        <f t="shared" si="3"/>
        <v/>
      </c>
      <c r="Q58" s="30"/>
      <c r="R58" s="31"/>
      <c r="S58" s="68"/>
      <c r="T58" s="40"/>
      <c r="U58" s="38"/>
      <c r="V58" s="74"/>
      <c r="W58" s="34" t="str">
        <f t="shared" si="4"/>
        <v>FALSE</v>
      </c>
      <c r="X58" s="34" t="str">
        <f t="shared" si="0"/>
        <v>FALSE</v>
      </c>
      <c r="Y58" s="35">
        <f t="shared" si="5"/>
        <v>0</v>
      </c>
      <c r="Z58" s="36" t="str">
        <f t="shared" si="6"/>
        <v/>
      </c>
      <c r="AA58" s="6"/>
      <c r="AB58" s="41"/>
      <c r="AC58" s="38"/>
      <c r="AD58" s="38"/>
      <c r="AE58" s="34" t="str">
        <f t="shared" si="7"/>
        <v>FALSE</v>
      </c>
      <c r="AF58" s="34" t="str">
        <f t="shared" si="8"/>
        <v>FALSE</v>
      </c>
      <c r="AG58" s="35">
        <f t="shared" si="1"/>
        <v>0</v>
      </c>
      <c r="AH58" s="36" t="str">
        <f t="shared" si="2"/>
        <v/>
      </c>
    </row>
    <row r="59" spans="1:34" ht="1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29" t="str">
        <f t="shared" si="3"/>
        <v/>
      </c>
      <c r="Q59" s="30"/>
      <c r="R59" s="31"/>
      <c r="S59" s="68"/>
      <c r="T59" s="40"/>
      <c r="U59" s="38"/>
      <c r="V59" s="74"/>
      <c r="W59" s="34" t="str">
        <f t="shared" si="4"/>
        <v>FALSE</v>
      </c>
      <c r="X59" s="34" t="str">
        <f t="shared" si="0"/>
        <v>FALSE</v>
      </c>
      <c r="Y59" s="35">
        <f t="shared" si="5"/>
        <v>0</v>
      </c>
      <c r="Z59" s="36" t="str">
        <f t="shared" si="6"/>
        <v/>
      </c>
      <c r="AA59" s="6"/>
      <c r="AB59" s="41"/>
      <c r="AC59" s="38"/>
      <c r="AD59" s="38"/>
      <c r="AE59" s="34" t="str">
        <f t="shared" si="7"/>
        <v>FALSE</v>
      </c>
      <c r="AF59" s="34" t="str">
        <f t="shared" si="8"/>
        <v>FALSE</v>
      </c>
      <c r="AG59" s="35">
        <f t="shared" si="1"/>
        <v>0</v>
      </c>
      <c r="AH59" s="36" t="str">
        <f t="shared" si="2"/>
        <v/>
      </c>
    </row>
    <row r="60" spans="1:34" ht="1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29" t="str">
        <f t="shared" si="3"/>
        <v/>
      </c>
      <c r="Q60" s="30"/>
      <c r="R60" s="31"/>
      <c r="S60" s="68"/>
      <c r="T60" s="40"/>
      <c r="U60" s="38"/>
      <c r="V60" s="74"/>
      <c r="W60" s="34" t="str">
        <f t="shared" si="4"/>
        <v>FALSE</v>
      </c>
      <c r="X60" s="34" t="str">
        <f t="shared" si="0"/>
        <v>FALSE</v>
      </c>
      <c r="Y60" s="35">
        <f t="shared" si="5"/>
        <v>0</v>
      </c>
      <c r="Z60" s="36" t="str">
        <f t="shared" si="6"/>
        <v/>
      </c>
      <c r="AA60" s="6"/>
      <c r="AB60" s="41"/>
      <c r="AC60" s="38"/>
      <c r="AD60" s="38"/>
      <c r="AE60" s="34" t="str">
        <f t="shared" si="7"/>
        <v>FALSE</v>
      </c>
      <c r="AF60" s="34" t="str">
        <f t="shared" si="8"/>
        <v>FALSE</v>
      </c>
      <c r="AG60" s="35">
        <f t="shared" si="1"/>
        <v>0</v>
      </c>
      <c r="AH60" s="36" t="str">
        <f t="shared" si="2"/>
        <v/>
      </c>
    </row>
    <row r="61" spans="1:34" ht="1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29" t="str">
        <f t="shared" si="3"/>
        <v/>
      </c>
      <c r="Q61" s="30"/>
      <c r="R61" s="31"/>
      <c r="S61" s="68"/>
      <c r="T61" s="40"/>
      <c r="U61" s="38"/>
      <c r="V61" s="74"/>
      <c r="W61" s="34" t="str">
        <f t="shared" si="4"/>
        <v>FALSE</v>
      </c>
      <c r="X61" s="34" t="str">
        <f t="shared" si="0"/>
        <v>FALSE</v>
      </c>
      <c r="Y61" s="35">
        <f t="shared" si="5"/>
        <v>0</v>
      </c>
      <c r="Z61" s="36" t="str">
        <f t="shared" si="6"/>
        <v/>
      </c>
      <c r="AA61" s="6"/>
      <c r="AB61" s="41"/>
      <c r="AC61" s="38"/>
      <c r="AD61" s="38"/>
      <c r="AE61" s="34" t="str">
        <f t="shared" si="7"/>
        <v>FALSE</v>
      </c>
      <c r="AF61" s="34" t="str">
        <f t="shared" si="8"/>
        <v>FALSE</v>
      </c>
      <c r="AG61" s="35">
        <f t="shared" si="1"/>
        <v>0</v>
      </c>
      <c r="AH61" s="36" t="str">
        <f t="shared" si="2"/>
        <v/>
      </c>
    </row>
    <row r="62" spans="1:34" ht="1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29" t="str">
        <f t="shared" si="3"/>
        <v/>
      </c>
      <c r="Q62" s="30"/>
      <c r="R62" s="31"/>
      <c r="S62" s="68"/>
      <c r="T62" s="40"/>
      <c r="U62" s="38"/>
      <c r="V62" s="74"/>
      <c r="W62" s="34" t="str">
        <f t="shared" si="4"/>
        <v>FALSE</v>
      </c>
      <c r="X62" s="34" t="str">
        <f t="shared" si="0"/>
        <v>FALSE</v>
      </c>
      <c r="Y62" s="35">
        <f t="shared" si="5"/>
        <v>0</v>
      </c>
      <c r="Z62" s="36" t="str">
        <f t="shared" si="6"/>
        <v/>
      </c>
      <c r="AA62" s="6"/>
      <c r="AB62" s="41"/>
      <c r="AC62" s="38"/>
      <c r="AD62" s="38"/>
      <c r="AE62" s="34" t="str">
        <f t="shared" si="7"/>
        <v>FALSE</v>
      </c>
      <c r="AF62" s="34" t="str">
        <f t="shared" si="8"/>
        <v>FALSE</v>
      </c>
      <c r="AG62" s="35">
        <f t="shared" si="1"/>
        <v>0</v>
      </c>
      <c r="AH62" s="36" t="str">
        <f t="shared" si="2"/>
        <v/>
      </c>
    </row>
    <row r="63" spans="1:34" ht="1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29" t="str">
        <f t="shared" si="3"/>
        <v/>
      </c>
      <c r="Q63" s="30"/>
      <c r="R63" s="31"/>
      <c r="S63" s="68"/>
      <c r="T63" s="40"/>
      <c r="U63" s="38"/>
      <c r="V63" s="74"/>
      <c r="W63" s="34" t="str">
        <f t="shared" si="4"/>
        <v>FALSE</v>
      </c>
      <c r="X63" s="34" t="str">
        <f t="shared" si="0"/>
        <v>FALSE</v>
      </c>
      <c r="Y63" s="35">
        <f t="shared" si="5"/>
        <v>0</v>
      </c>
      <c r="Z63" s="36" t="str">
        <f t="shared" si="6"/>
        <v/>
      </c>
      <c r="AA63" s="6"/>
      <c r="AB63" s="41"/>
      <c r="AC63" s="38"/>
      <c r="AD63" s="38"/>
      <c r="AE63" s="34" t="str">
        <f t="shared" si="7"/>
        <v>FALSE</v>
      </c>
      <c r="AF63" s="34" t="str">
        <f t="shared" si="8"/>
        <v>FALSE</v>
      </c>
      <c r="AG63" s="35">
        <f t="shared" si="1"/>
        <v>0</v>
      </c>
      <c r="AH63" s="36" t="str">
        <f t="shared" si="2"/>
        <v/>
      </c>
    </row>
    <row r="64" spans="1:34" ht="1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29" t="str">
        <f t="shared" si="3"/>
        <v/>
      </c>
      <c r="Q64" s="30"/>
      <c r="R64" s="31"/>
      <c r="S64" s="68"/>
      <c r="T64" s="40"/>
      <c r="U64" s="38"/>
      <c r="V64" s="74"/>
      <c r="W64" s="34" t="str">
        <f t="shared" si="4"/>
        <v>FALSE</v>
      </c>
      <c r="X64" s="34" t="str">
        <f t="shared" si="0"/>
        <v>FALSE</v>
      </c>
      <c r="Y64" s="35">
        <f t="shared" si="5"/>
        <v>0</v>
      </c>
      <c r="Z64" s="36" t="str">
        <f t="shared" si="6"/>
        <v/>
      </c>
      <c r="AA64" s="6"/>
      <c r="AB64" s="41"/>
      <c r="AC64" s="38"/>
      <c r="AD64" s="38"/>
      <c r="AE64" s="34" t="str">
        <f t="shared" si="7"/>
        <v>FALSE</v>
      </c>
      <c r="AF64" s="34" t="str">
        <f t="shared" si="8"/>
        <v>FALSE</v>
      </c>
      <c r="AG64" s="35">
        <f t="shared" si="1"/>
        <v>0</v>
      </c>
      <c r="AH64" s="36" t="str">
        <f t="shared" si="2"/>
        <v/>
      </c>
    </row>
    <row r="65" spans="1:34" ht="1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29" t="str">
        <f t="shared" si="3"/>
        <v/>
      </c>
      <c r="Q65" s="30"/>
      <c r="R65" s="31"/>
      <c r="S65" s="68"/>
      <c r="T65" s="40"/>
      <c r="U65" s="38"/>
      <c r="V65" s="74"/>
      <c r="W65" s="34" t="str">
        <f t="shared" si="4"/>
        <v>FALSE</v>
      </c>
      <c r="X65" s="34" t="str">
        <f t="shared" si="0"/>
        <v>FALSE</v>
      </c>
      <c r="Y65" s="35">
        <f t="shared" si="5"/>
        <v>0</v>
      </c>
      <c r="Z65" s="36" t="str">
        <f t="shared" si="6"/>
        <v/>
      </c>
      <c r="AA65" s="6"/>
      <c r="AB65" s="41"/>
      <c r="AC65" s="38"/>
      <c r="AD65" s="38"/>
      <c r="AE65" s="34" t="str">
        <f t="shared" si="7"/>
        <v>FALSE</v>
      </c>
      <c r="AF65" s="34" t="str">
        <f t="shared" si="8"/>
        <v>FALSE</v>
      </c>
      <c r="AG65" s="35">
        <f t="shared" si="1"/>
        <v>0</v>
      </c>
      <c r="AH65" s="36" t="str">
        <f t="shared" si="2"/>
        <v/>
      </c>
    </row>
    <row r="66" spans="1:34" ht="1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29" t="str">
        <f t="shared" si="3"/>
        <v/>
      </c>
      <c r="Q66" s="30"/>
      <c r="R66" s="31"/>
      <c r="S66" s="68"/>
      <c r="T66" s="40"/>
      <c r="U66" s="38"/>
      <c r="V66" s="74"/>
      <c r="W66" s="34" t="str">
        <f t="shared" si="4"/>
        <v>FALSE</v>
      </c>
      <c r="X66" s="34" t="str">
        <f t="shared" si="0"/>
        <v>FALSE</v>
      </c>
      <c r="Y66" s="35">
        <f t="shared" si="5"/>
        <v>0</v>
      </c>
      <c r="Z66" s="36" t="str">
        <f t="shared" si="6"/>
        <v/>
      </c>
      <c r="AA66" s="6"/>
      <c r="AB66" s="41"/>
      <c r="AC66" s="38"/>
      <c r="AD66" s="38"/>
      <c r="AE66" s="34" t="str">
        <f t="shared" si="7"/>
        <v>FALSE</v>
      </c>
      <c r="AF66" s="34" t="str">
        <f t="shared" si="8"/>
        <v>FALSE</v>
      </c>
      <c r="AG66" s="35">
        <f t="shared" si="1"/>
        <v>0</v>
      </c>
      <c r="AH66" s="36" t="str">
        <f t="shared" si="2"/>
        <v/>
      </c>
    </row>
    <row r="67" spans="1:34" ht="1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29" t="str">
        <f t="shared" si="3"/>
        <v/>
      </c>
      <c r="Q67" s="30"/>
      <c r="R67" s="31"/>
      <c r="S67" s="68"/>
      <c r="T67" s="40"/>
      <c r="U67" s="38"/>
      <c r="V67" s="74"/>
      <c r="W67" s="34" t="str">
        <f t="shared" si="4"/>
        <v>FALSE</v>
      </c>
      <c r="X67" s="34" t="str">
        <f t="shared" si="0"/>
        <v>FALSE</v>
      </c>
      <c r="Y67" s="35">
        <f t="shared" si="5"/>
        <v>0</v>
      </c>
      <c r="Z67" s="36" t="str">
        <f t="shared" si="6"/>
        <v/>
      </c>
      <c r="AA67" s="6"/>
      <c r="AB67" s="41"/>
      <c r="AC67" s="38"/>
      <c r="AD67" s="38"/>
      <c r="AE67" s="34" t="str">
        <f t="shared" si="7"/>
        <v>FALSE</v>
      </c>
      <c r="AF67" s="34" t="str">
        <f t="shared" si="8"/>
        <v>FALSE</v>
      </c>
      <c r="AG67" s="35">
        <f t="shared" si="1"/>
        <v>0</v>
      </c>
      <c r="AH67" s="36" t="str">
        <f t="shared" si="2"/>
        <v/>
      </c>
    </row>
    <row r="68" spans="1:34" ht="1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29" t="str">
        <f t="shared" si="3"/>
        <v/>
      </c>
      <c r="Q68" s="30"/>
      <c r="R68" s="31"/>
      <c r="S68" s="68"/>
      <c r="T68" s="40"/>
      <c r="U68" s="38"/>
      <c r="V68" s="74"/>
      <c r="W68" s="34" t="str">
        <f t="shared" si="4"/>
        <v>FALSE</v>
      </c>
      <c r="X68" s="34" t="str">
        <f t="shared" si="0"/>
        <v>FALSE</v>
      </c>
      <c r="Y68" s="35">
        <f t="shared" si="5"/>
        <v>0</v>
      </c>
      <c r="Z68" s="36" t="str">
        <f t="shared" si="6"/>
        <v/>
      </c>
      <c r="AA68" s="6"/>
      <c r="AB68" s="41"/>
      <c r="AC68" s="38"/>
      <c r="AD68" s="38"/>
      <c r="AE68" s="34" t="str">
        <f t="shared" si="7"/>
        <v>FALSE</v>
      </c>
      <c r="AF68" s="34" t="str">
        <f t="shared" si="8"/>
        <v>FALSE</v>
      </c>
      <c r="AG68" s="35">
        <f t="shared" si="1"/>
        <v>0</v>
      </c>
      <c r="AH68" s="36" t="str">
        <f t="shared" si="2"/>
        <v/>
      </c>
    </row>
    <row r="69" spans="1:34" ht="1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29" t="str">
        <f t="shared" si="3"/>
        <v/>
      </c>
      <c r="Q69" s="30"/>
      <c r="R69" s="31"/>
      <c r="S69" s="68"/>
      <c r="T69" s="40"/>
      <c r="U69" s="38"/>
      <c r="V69" s="74"/>
      <c r="W69" s="34" t="str">
        <f t="shared" si="4"/>
        <v>FALSE</v>
      </c>
      <c r="X69" s="34" t="str">
        <f t="shared" si="0"/>
        <v>FALSE</v>
      </c>
      <c r="Y69" s="35">
        <f t="shared" si="5"/>
        <v>0</v>
      </c>
      <c r="Z69" s="36" t="str">
        <f t="shared" si="6"/>
        <v/>
      </c>
      <c r="AA69" s="6"/>
      <c r="AB69" s="41"/>
      <c r="AC69" s="38"/>
      <c r="AD69" s="38"/>
      <c r="AE69" s="34" t="str">
        <f t="shared" si="7"/>
        <v>FALSE</v>
      </c>
      <c r="AF69" s="34" t="str">
        <f t="shared" si="8"/>
        <v>FALSE</v>
      </c>
      <c r="AG69" s="35">
        <f t="shared" si="1"/>
        <v>0</v>
      </c>
      <c r="AH69" s="36" t="str">
        <f t="shared" si="2"/>
        <v/>
      </c>
    </row>
    <row r="70" spans="1:34" ht="1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29" t="str">
        <f t="shared" si="3"/>
        <v/>
      </c>
      <c r="Q70" s="30"/>
      <c r="R70" s="31"/>
      <c r="S70" s="68"/>
      <c r="T70" s="40"/>
      <c r="U70" s="38"/>
      <c r="V70" s="74"/>
      <c r="W70" s="34" t="str">
        <f t="shared" si="4"/>
        <v>FALSE</v>
      </c>
      <c r="X70" s="34" t="str">
        <f t="shared" si="0"/>
        <v>FALSE</v>
      </c>
      <c r="Y70" s="35">
        <f t="shared" si="5"/>
        <v>0</v>
      </c>
      <c r="Z70" s="36" t="str">
        <f t="shared" si="6"/>
        <v/>
      </c>
      <c r="AA70" s="6"/>
      <c r="AB70" s="41"/>
      <c r="AC70" s="38"/>
      <c r="AD70" s="38"/>
      <c r="AE70" s="34" t="str">
        <f t="shared" si="7"/>
        <v>FALSE</v>
      </c>
      <c r="AF70" s="34" t="str">
        <f t="shared" si="8"/>
        <v>FALSE</v>
      </c>
      <c r="AG70" s="35">
        <f t="shared" si="1"/>
        <v>0</v>
      </c>
      <c r="AH70" s="36" t="str">
        <f t="shared" si="2"/>
        <v/>
      </c>
    </row>
    <row r="71" spans="1:34" ht="1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29" t="str">
        <f t="shared" si="3"/>
        <v/>
      </c>
      <c r="Q71" s="30"/>
      <c r="R71" s="31"/>
      <c r="S71" s="68"/>
      <c r="T71" s="40"/>
      <c r="U71" s="38"/>
      <c r="V71" s="74"/>
      <c r="W71" s="34" t="str">
        <f t="shared" si="4"/>
        <v>FALSE</v>
      </c>
      <c r="X71" s="34" t="str">
        <f t="shared" si="0"/>
        <v>FALSE</v>
      </c>
      <c r="Y71" s="35">
        <f t="shared" si="5"/>
        <v>0</v>
      </c>
      <c r="Z71" s="36" t="str">
        <f t="shared" si="6"/>
        <v/>
      </c>
      <c r="AA71" s="6"/>
      <c r="AB71" s="41"/>
      <c r="AC71" s="38"/>
      <c r="AD71" s="38"/>
      <c r="AE71" s="34" t="str">
        <f t="shared" si="7"/>
        <v>FALSE</v>
      </c>
      <c r="AF71" s="34" t="str">
        <f t="shared" si="8"/>
        <v>FALSE</v>
      </c>
      <c r="AG71" s="35">
        <f t="shared" si="1"/>
        <v>0</v>
      </c>
      <c r="AH71" s="36" t="str">
        <f t="shared" si="2"/>
        <v/>
      </c>
    </row>
    <row r="72" spans="1:34" ht="1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29" t="str">
        <f t="shared" si="3"/>
        <v/>
      </c>
      <c r="Q72" s="30"/>
      <c r="R72" s="31"/>
      <c r="S72" s="68"/>
      <c r="T72" s="40"/>
      <c r="U72" s="38"/>
      <c r="V72" s="74"/>
      <c r="W72" s="34" t="str">
        <f t="shared" si="4"/>
        <v>FALSE</v>
      </c>
      <c r="X72" s="34" t="str">
        <f t="shared" si="0"/>
        <v>FALSE</v>
      </c>
      <c r="Y72" s="35">
        <f t="shared" si="5"/>
        <v>0</v>
      </c>
      <c r="Z72" s="36" t="str">
        <f t="shared" si="6"/>
        <v/>
      </c>
      <c r="AA72" s="6"/>
      <c r="AB72" s="41"/>
      <c r="AC72" s="38"/>
      <c r="AD72" s="38"/>
      <c r="AE72" s="34" t="str">
        <f t="shared" si="7"/>
        <v>FALSE</v>
      </c>
      <c r="AF72" s="34" t="str">
        <f t="shared" si="8"/>
        <v>FALSE</v>
      </c>
      <c r="AG72" s="35">
        <f t="shared" si="1"/>
        <v>0</v>
      </c>
      <c r="AH72" s="36" t="str">
        <f t="shared" si="2"/>
        <v/>
      </c>
    </row>
    <row r="73" spans="1:34" ht="1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29" t="str">
        <f t="shared" si="3"/>
        <v/>
      </c>
      <c r="Q73" s="30"/>
      <c r="R73" s="31"/>
      <c r="S73" s="68"/>
      <c r="T73" s="40"/>
      <c r="U73" s="38"/>
      <c r="V73" s="74"/>
      <c r="W73" s="34" t="str">
        <f t="shared" si="4"/>
        <v>FALSE</v>
      </c>
      <c r="X73" s="34" t="str">
        <f t="shared" si="0"/>
        <v>FALSE</v>
      </c>
      <c r="Y73" s="35">
        <f t="shared" si="5"/>
        <v>0</v>
      </c>
      <c r="Z73" s="36" t="str">
        <f t="shared" si="6"/>
        <v/>
      </c>
      <c r="AA73" s="6"/>
      <c r="AB73" s="41"/>
      <c r="AC73" s="38"/>
      <c r="AD73" s="38"/>
      <c r="AE73" s="34" t="str">
        <f t="shared" si="7"/>
        <v>FALSE</v>
      </c>
      <c r="AF73" s="34" t="str">
        <f t="shared" si="8"/>
        <v>FALSE</v>
      </c>
      <c r="AG73" s="35">
        <f t="shared" si="1"/>
        <v>0</v>
      </c>
      <c r="AH73" s="36" t="str">
        <f t="shared" si="2"/>
        <v/>
      </c>
    </row>
    <row r="74" spans="1:34" ht="1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29" t="str">
        <f t="shared" si="3"/>
        <v/>
      </c>
      <c r="Q74" s="30"/>
      <c r="R74" s="31"/>
      <c r="S74" s="68"/>
      <c r="T74" s="40"/>
      <c r="U74" s="38"/>
      <c r="V74" s="74"/>
      <c r="W74" s="34" t="str">
        <f t="shared" si="4"/>
        <v>FALSE</v>
      </c>
      <c r="X74" s="34" t="str">
        <f t="shared" si="0"/>
        <v>FALSE</v>
      </c>
      <c r="Y74" s="35">
        <f t="shared" si="5"/>
        <v>0</v>
      </c>
      <c r="Z74" s="36" t="str">
        <f t="shared" si="6"/>
        <v/>
      </c>
      <c r="AA74" s="6"/>
      <c r="AB74" s="41"/>
      <c r="AC74" s="38"/>
      <c r="AD74" s="38"/>
      <c r="AE74" s="34"/>
      <c r="AF74" s="34" t="str">
        <f t="shared" si="8"/>
        <v>FALSE</v>
      </c>
      <c r="AG74" s="35">
        <f t="shared" si="1"/>
        <v>0</v>
      </c>
      <c r="AH74" s="36" t="str">
        <f t="shared" si="2"/>
        <v/>
      </c>
    </row>
    <row r="75" spans="1:34" ht="1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29" t="str">
        <f t="shared" si="3"/>
        <v/>
      </c>
      <c r="Q75" s="30"/>
      <c r="R75" s="31"/>
      <c r="S75" s="68"/>
      <c r="T75" s="40"/>
      <c r="U75" s="38"/>
      <c r="V75" s="74"/>
      <c r="W75" s="34" t="str">
        <f t="shared" si="4"/>
        <v>FALSE</v>
      </c>
      <c r="X75" s="34" t="str">
        <f t="shared" si="0"/>
        <v>FALSE</v>
      </c>
      <c r="Y75" s="35">
        <f t="shared" si="5"/>
        <v>0</v>
      </c>
      <c r="Z75" s="36" t="str">
        <f t="shared" si="6"/>
        <v/>
      </c>
      <c r="AA75" s="6"/>
      <c r="AB75" s="41"/>
      <c r="AC75" s="38"/>
      <c r="AD75" s="38"/>
      <c r="AE75" s="34"/>
      <c r="AF75" s="34" t="str">
        <f t="shared" si="8"/>
        <v>FALSE</v>
      </c>
      <c r="AG75" s="35">
        <f t="shared" si="1"/>
        <v>0</v>
      </c>
      <c r="AH75" s="36" t="str">
        <f t="shared" si="2"/>
        <v/>
      </c>
    </row>
    <row r="76" spans="1:34" ht="1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29" t="str">
        <f t="shared" si="3"/>
        <v/>
      </c>
      <c r="Q76" s="30"/>
      <c r="R76" s="31"/>
      <c r="S76" s="68"/>
      <c r="T76" s="40"/>
      <c r="U76" s="38"/>
      <c r="V76" s="74"/>
      <c r="W76" s="34" t="str">
        <f t="shared" si="4"/>
        <v>FALSE</v>
      </c>
      <c r="X76" s="34" t="str">
        <f t="shared" si="0"/>
        <v>FALSE</v>
      </c>
      <c r="Y76" s="35">
        <f t="shared" si="5"/>
        <v>0</v>
      </c>
      <c r="Z76" s="36" t="str">
        <f t="shared" si="6"/>
        <v/>
      </c>
      <c r="AA76" s="6"/>
      <c r="AB76" s="41"/>
      <c r="AC76" s="38"/>
      <c r="AD76" s="38"/>
      <c r="AE76" s="34"/>
      <c r="AF76" s="34" t="str">
        <f t="shared" si="8"/>
        <v>FALSE</v>
      </c>
      <c r="AG76" s="35">
        <f t="shared" si="1"/>
        <v>0</v>
      </c>
      <c r="AH76" s="36" t="str">
        <f t="shared" si="2"/>
        <v/>
      </c>
    </row>
    <row r="77" spans="1:34" ht="1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29" t="str">
        <f t="shared" si="3"/>
        <v/>
      </c>
      <c r="Q77" s="30"/>
      <c r="R77" s="31"/>
      <c r="S77" s="68"/>
      <c r="T77" s="40"/>
      <c r="U77" s="38"/>
      <c r="V77" s="74"/>
      <c r="W77" s="34" t="str">
        <f t="shared" si="4"/>
        <v>FALSE</v>
      </c>
      <c r="X77" s="34" t="str">
        <f t="shared" si="0"/>
        <v>FALSE</v>
      </c>
      <c r="Y77" s="35">
        <f t="shared" si="5"/>
        <v>0</v>
      </c>
      <c r="Z77" s="36" t="str">
        <f t="shared" si="6"/>
        <v/>
      </c>
      <c r="AA77" s="6"/>
      <c r="AB77" s="41"/>
      <c r="AC77" s="38"/>
      <c r="AD77" s="38"/>
      <c r="AE77" s="34"/>
      <c r="AF77" s="34" t="str">
        <f t="shared" si="8"/>
        <v>FALSE</v>
      </c>
      <c r="AG77" s="35">
        <f t="shared" si="1"/>
        <v>0</v>
      </c>
      <c r="AH77" s="36" t="str">
        <f t="shared" si="2"/>
        <v/>
      </c>
    </row>
    <row r="78" spans="1:34" ht="1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29" t="str">
        <f t="shared" si="3"/>
        <v/>
      </c>
      <c r="Q78" s="30"/>
      <c r="R78" s="31"/>
      <c r="S78" s="68"/>
      <c r="T78" s="40"/>
      <c r="U78" s="38"/>
      <c r="V78" s="74"/>
      <c r="W78" s="34" t="str">
        <f t="shared" si="4"/>
        <v>FALSE</v>
      </c>
      <c r="X78" s="34" t="str">
        <f t="shared" ref="X78:X120" si="9">IF(U78="","FALSE",ABS((U78-AVERAGE($U$14:$U$120))/_xlfn.STDEV.S($U$14:$U$104)))</f>
        <v>FALSE</v>
      </c>
      <c r="Y78" s="35">
        <f t="shared" si="5"/>
        <v>0</v>
      </c>
      <c r="Z78" s="36" t="str">
        <f t="shared" si="6"/>
        <v/>
      </c>
      <c r="AA78" s="6"/>
      <c r="AB78" s="41"/>
      <c r="AC78" s="38"/>
      <c r="AD78" s="38"/>
      <c r="AE78" s="34"/>
      <c r="AF78" s="34" t="str">
        <f t="shared" si="8"/>
        <v>FALSE</v>
      </c>
      <c r="AG78" s="35">
        <f t="shared" ref="AG78:AG120" si="10">IF(OR(AC78&gt;$AG$11,AC78&lt;$AF$11),AC78,"")</f>
        <v>0</v>
      </c>
      <c r="AH78" s="36" t="str">
        <f t="shared" ref="AH78:AH120" si="11">IF(AC78="","",AC78/AB78)</f>
        <v/>
      </c>
    </row>
    <row r="79" spans="1:34" ht="1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29" t="str">
        <f t="shared" ref="P79:P120" si="12">IF(R79&lt;&gt;"",P78+1,"")</f>
        <v/>
      </c>
      <c r="Q79" s="30"/>
      <c r="R79" s="31"/>
      <c r="S79" s="68"/>
      <c r="T79" s="40"/>
      <c r="U79" s="38"/>
      <c r="V79" s="74"/>
      <c r="W79" s="34" t="str">
        <f t="shared" ref="W79:W120" si="13">IF(X79&gt;3,"FALSE",U79)</f>
        <v>FALSE</v>
      </c>
      <c r="X79" s="34" t="str">
        <f t="shared" si="9"/>
        <v>FALSE</v>
      </c>
      <c r="Y79" s="35">
        <f t="shared" ref="Y79:Y120" si="14">IF(OR(U79&gt;$Y$11,U79&lt;$X$11),U79,"")</f>
        <v>0</v>
      </c>
      <c r="Z79" s="36" t="str">
        <f t="shared" ref="Z79:Z120" si="15">IF(U79="","",U79/T79)</f>
        <v/>
      </c>
      <c r="AA79" s="6"/>
      <c r="AB79" s="41"/>
      <c r="AC79" s="38"/>
      <c r="AD79" s="38"/>
      <c r="AE79" s="34"/>
      <c r="AF79" s="34" t="str">
        <f t="shared" ref="AF79:AF120" si="16">IF(AC79="","FALSE",ABS((AC79-AVERAGE($AC$14:$AC$120))/_xlfn.STDEV.S($AC$14:$AC$104)))</f>
        <v>FALSE</v>
      </c>
      <c r="AG79" s="35">
        <f t="shared" si="10"/>
        <v>0</v>
      </c>
      <c r="AH79" s="36" t="str">
        <f t="shared" si="11"/>
        <v/>
      </c>
    </row>
    <row r="80" spans="1:34" ht="1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29" t="str">
        <f t="shared" si="12"/>
        <v/>
      </c>
      <c r="Q80" s="30"/>
      <c r="R80" s="31"/>
      <c r="S80" s="68"/>
      <c r="T80" s="40"/>
      <c r="U80" s="38"/>
      <c r="V80" s="74"/>
      <c r="W80" s="34" t="str">
        <f t="shared" si="13"/>
        <v>FALSE</v>
      </c>
      <c r="X80" s="34" t="str">
        <f t="shared" si="9"/>
        <v>FALSE</v>
      </c>
      <c r="Y80" s="35">
        <f t="shared" si="14"/>
        <v>0</v>
      </c>
      <c r="Z80" s="36" t="str">
        <f t="shared" si="15"/>
        <v/>
      </c>
      <c r="AA80" s="6"/>
      <c r="AB80" s="41"/>
      <c r="AC80" s="38"/>
      <c r="AD80" s="38"/>
      <c r="AE80" s="34"/>
      <c r="AF80" s="34" t="str">
        <f t="shared" si="16"/>
        <v>FALSE</v>
      </c>
      <c r="AG80" s="35">
        <f t="shared" si="10"/>
        <v>0</v>
      </c>
      <c r="AH80" s="36" t="str">
        <f t="shared" si="11"/>
        <v/>
      </c>
    </row>
    <row r="81" spans="1:34" ht="1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29" t="str">
        <f t="shared" si="12"/>
        <v/>
      </c>
      <c r="Q81" s="30"/>
      <c r="R81" s="31"/>
      <c r="S81" s="68"/>
      <c r="T81" s="40"/>
      <c r="U81" s="38"/>
      <c r="V81" s="74"/>
      <c r="W81" s="34" t="str">
        <f t="shared" si="13"/>
        <v>FALSE</v>
      </c>
      <c r="X81" s="34" t="str">
        <f t="shared" si="9"/>
        <v>FALSE</v>
      </c>
      <c r="Y81" s="35">
        <f t="shared" si="14"/>
        <v>0</v>
      </c>
      <c r="Z81" s="36" t="str">
        <f t="shared" si="15"/>
        <v/>
      </c>
      <c r="AA81" s="6"/>
      <c r="AB81" s="41"/>
      <c r="AC81" s="38"/>
      <c r="AD81" s="38"/>
      <c r="AE81" s="34"/>
      <c r="AF81" s="34" t="str">
        <f t="shared" si="16"/>
        <v>FALSE</v>
      </c>
      <c r="AG81" s="35">
        <f t="shared" si="10"/>
        <v>0</v>
      </c>
      <c r="AH81" s="36" t="str">
        <f t="shared" si="11"/>
        <v/>
      </c>
    </row>
    <row r="82" spans="1:34" ht="1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29" t="str">
        <f t="shared" si="12"/>
        <v/>
      </c>
      <c r="Q82" s="30"/>
      <c r="R82" s="31"/>
      <c r="S82" s="68"/>
      <c r="T82" s="40"/>
      <c r="U82" s="38"/>
      <c r="V82" s="74"/>
      <c r="W82" s="34" t="str">
        <f t="shared" si="13"/>
        <v>FALSE</v>
      </c>
      <c r="X82" s="34" t="str">
        <f t="shared" si="9"/>
        <v>FALSE</v>
      </c>
      <c r="Y82" s="35">
        <f t="shared" si="14"/>
        <v>0</v>
      </c>
      <c r="Z82" s="36" t="str">
        <f t="shared" si="15"/>
        <v/>
      </c>
      <c r="AA82" s="6"/>
      <c r="AB82" s="41"/>
      <c r="AC82" s="38"/>
      <c r="AD82" s="38"/>
      <c r="AE82" s="34"/>
      <c r="AF82" s="34" t="str">
        <f t="shared" si="16"/>
        <v>FALSE</v>
      </c>
      <c r="AG82" s="35">
        <f t="shared" si="10"/>
        <v>0</v>
      </c>
      <c r="AH82" s="36" t="str">
        <f t="shared" si="11"/>
        <v/>
      </c>
    </row>
    <row r="83" spans="1:34" ht="1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29" t="str">
        <f t="shared" si="12"/>
        <v/>
      </c>
      <c r="Q83" s="30"/>
      <c r="R83" s="31"/>
      <c r="S83" s="68"/>
      <c r="T83" s="40"/>
      <c r="U83" s="38"/>
      <c r="V83" s="74"/>
      <c r="W83" s="34" t="str">
        <f t="shared" si="13"/>
        <v>FALSE</v>
      </c>
      <c r="X83" s="34" t="str">
        <f t="shared" si="9"/>
        <v>FALSE</v>
      </c>
      <c r="Y83" s="35">
        <f t="shared" si="14"/>
        <v>0</v>
      </c>
      <c r="Z83" s="36" t="str">
        <f t="shared" si="15"/>
        <v/>
      </c>
      <c r="AA83" s="6"/>
      <c r="AB83" s="41"/>
      <c r="AC83" s="38"/>
      <c r="AD83" s="38"/>
      <c r="AE83" s="34"/>
      <c r="AF83" s="34" t="str">
        <f t="shared" si="16"/>
        <v>FALSE</v>
      </c>
      <c r="AG83" s="35">
        <f t="shared" si="10"/>
        <v>0</v>
      </c>
      <c r="AH83" s="36" t="str">
        <f t="shared" si="11"/>
        <v/>
      </c>
    </row>
    <row r="84" spans="1:34" ht="1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29" t="str">
        <f t="shared" si="12"/>
        <v/>
      </c>
      <c r="Q84" s="30"/>
      <c r="R84" s="31"/>
      <c r="S84" s="68"/>
      <c r="T84" s="40"/>
      <c r="U84" s="38"/>
      <c r="V84" s="74"/>
      <c r="W84" s="34" t="str">
        <f t="shared" si="13"/>
        <v>FALSE</v>
      </c>
      <c r="X84" s="34" t="str">
        <f t="shared" si="9"/>
        <v>FALSE</v>
      </c>
      <c r="Y84" s="35">
        <f t="shared" si="14"/>
        <v>0</v>
      </c>
      <c r="Z84" s="36" t="str">
        <f t="shared" si="15"/>
        <v/>
      </c>
      <c r="AA84" s="6"/>
      <c r="AB84" s="41"/>
      <c r="AC84" s="38"/>
      <c r="AD84" s="38"/>
      <c r="AE84" s="34"/>
      <c r="AF84" s="34" t="str">
        <f t="shared" si="16"/>
        <v>FALSE</v>
      </c>
      <c r="AG84" s="35">
        <f t="shared" si="10"/>
        <v>0</v>
      </c>
      <c r="AH84" s="36" t="str">
        <f t="shared" si="11"/>
        <v/>
      </c>
    </row>
    <row r="85" spans="1:34" ht="1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29" t="str">
        <f t="shared" si="12"/>
        <v/>
      </c>
      <c r="Q85" s="30"/>
      <c r="R85" s="31"/>
      <c r="S85" s="68"/>
      <c r="T85" s="40"/>
      <c r="U85" s="38"/>
      <c r="V85" s="74"/>
      <c r="W85" s="34" t="str">
        <f t="shared" si="13"/>
        <v>FALSE</v>
      </c>
      <c r="X85" s="34" t="str">
        <f t="shared" si="9"/>
        <v>FALSE</v>
      </c>
      <c r="Y85" s="35">
        <f t="shared" si="14"/>
        <v>0</v>
      </c>
      <c r="Z85" s="36" t="str">
        <f t="shared" si="15"/>
        <v/>
      </c>
      <c r="AA85" s="6"/>
      <c r="AB85" s="41"/>
      <c r="AC85" s="38"/>
      <c r="AD85" s="38"/>
      <c r="AE85" s="34"/>
      <c r="AF85" s="34" t="str">
        <f t="shared" si="16"/>
        <v>FALSE</v>
      </c>
      <c r="AG85" s="35">
        <f t="shared" si="10"/>
        <v>0</v>
      </c>
      <c r="AH85" s="36" t="str">
        <f t="shared" si="11"/>
        <v/>
      </c>
    </row>
    <row r="86" spans="1:34" ht="1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29" t="str">
        <f t="shared" si="12"/>
        <v/>
      </c>
      <c r="Q86" s="30"/>
      <c r="R86" s="31"/>
      <c r="S86" s="68"/>
      <c r="T86" s="40"/>
      <c r="U86" s="38"/>
      <c r="V86" s="74"/>
      <c r="W86" s="34" t="str">
        <f t="shared" si="13"/>
        <v>FALSE</v>
      </c>
      <c r="X86" s="34" t="str">
        <f t="shared" si="9"/>
        <v>FALSE</v>
      </c>
      <c r="Y86" s="35">
        <f t="shared" si="14"/>
        <v>0</v>
      </c>
      <c r="Z86" s="36" t="str">
        <f t="shared" si="15"/>
        <v/>
      </c>
      <c r="AA86" s="6"/>
      <c r="AB86" s="41"/>
      <c r="AC86" s="38"/>
      <c r="AD86" s="38"/>
      <c r="AE86" s="34"/>
      <c r="AF86" s="34" t="str">
        <f t="shared" si="16"/>
        <v>FALSE</v>
      </c>
      <c r="AG86" s="35">
        <f t="shared" si="10"/>
        <v>0</v>
      </c>
      <c r="AH86" s="36" t="str">
        <f t="shared" si="11"/>
        <v/>
      </c>
    </row>
    <row r="87" spans="1:34" ht="1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29" t="str">
        <f t="shared" si="12"/>
        <v/>
      </c>
      <c r="Q87" s="30"/>
      <c r="R87" s="31"/>
      <c r="S87" s="68"/>
      <c r="T87" s="40"/>
      <c r="U87" s="38"/>
      <c r="V87" s="74"/>
      <c r="W87" s="34" t="str">
        <f t="shared" si="13"/>
        <v>FALSE</v>
      </c>
      <c r="X87" s="34" t="str">
        <f t="shared" si="9"/>
        <v>FALSE</v>
      </c>
      <c r="Y87" s="35">
        <f t="shared" si="14"/>
        <v>0</v>
      </c>
      <c r="Z87" s="36" t="str">
        <f t="shared" si="15"/>
        <v/>
      </c>
      <c r="AA87" s="6"/>
      <c r="AB87" s="41"/>
      <c r="AC87" s="38"/>
      <c r="AD87" s="38"/>
      <c r="AE87" s="34"/>
      <c r="AF87" s="34" t="str">
        <f t="shared" si="16"/>
        <v>FALSE</v>
      </c>
      <c r="AG87" s="35">
        <f t="shared" si="10"/>
        <v>0</v>
      </c>
      <c r="AH87" s="36" t="str">
        <f t="shared" si="11"/>
        <v/>
      </c>
    </row>
    <row r="88" spans="1:34" ht="1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29" t="str">
        <f t="shared" si="12"/>
        <v/>
      </c>
      <c r="Q88" s="30"/>
      <c r="R88" s="31"/>
      <c r="S88" s="68"/>
      <c r="T88" s="40"/>
      <c r="U88" s="38"/>
      <c r="V88" s="74"/>
      <c r="W88" s="34" t="str">
        <f t="shared" si="13"/>
        <v>FALSE</v>
      </c>
      <c r="X88" s="34" t="str">
        <f t="shared" si="9"/>
        <v>FALSE</v>
      </c>
      <c r="Y88" s="35">
        <f t="shared" si="14"/>
        <v>0</v>
      </c>
      <c r="Z88" s="36" t="str">
        <f t="shared" si="15"/>
        <v/>
      </c>
      <c r="AA88" s="6"/>
      <c r="AB88" s="41"/>
      <c r="AC88" s="38"/>
      <c r="AD88" s="38"/>
      <c r="AE88" s="34"/>
      <c r="AF88" s="34" t="str">
        <f t="shared" si="16"/>
        <v>FALSE</v>
      </c>
      <c r="AG88" s="35">
        <f t="shared" si="10"/>
        <v>0</v>
      </c>
      <c r="AH88" s="36" t="str">
        <f t="shared" si="11"/>
        <v/>
      </c>
    </row>
    <row r="89" spans="1:34" ht="1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29" t="str">
        <f t="shared" si="12"/>
        <v/>
      </c>
      <c r="Q89" s="30"/>
      <c r="R89" s="31"/>
      <c r="S89" s="68"/>
      <c r="T89" s="40"/>
      <c r="U89" s="38"/>
      <c r="V89" s="74"/>
      <c r="W89" s="34" t="str">
        <f t="shared" si="13"/>
        <v>FALSE</v>
      </c>
      <c r="X89" s="34" t="str">
        <f t="shared" si="9"/>
        <v>FALSE</v>
      </c>
      <c r="Y89" s="35">
        <f t="shared" si="14"/>
        <v>0</v>
      </c>
      <c r="Z89" s="36" t="str">
        <f t="shared" si="15"/>
        <v/>
      </c>
      <c r="AA89" s="6"/>
      <c r="AB89" s="41"/>
      <c r="AC89" s="38"/>
      <c r="AD89" s="38"/>
      <c r="AE89" s="34"/>
      <c r="AF89" s="34" t="str">
        <f t="shared" si="16"/>
        <v>FALSE</v>
      </c>
      <c r="AG89" s="35">
        <f t="shared" si="10"/>
        <v>0</v>
      </c>
      <c r="AH89" s="36" t="str">
        <f t="shared" si="11"/>
        <v/>
      </c>
    </row>
    <row r="90" spans="1:34" ht="1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29" t="str">
        <f t="shared" si="12"/>
        <v/>
      </c>
      <c r="Q90" s="30"/>
      <c r="R90" s="31"/>
      <c r="S90" s="68"/>
      <c r="T90" s="40"/>
      <c r="U90" s="38"/>
      <c r="V90" s="74"/>
      <c r="W90" s="34" t="str">
        <f t="shared" si="13"/>
        <v>FALSE</v>
      </c>
      <c r="X90" s="34" t="str">
        <f t="shared" si="9"/>
        <v>FALSE</v>
      </c>
      <c r="Y90" s="35">
        <f t="shared" si="14"/>
        <v>0</v>
      </c>
      <c r="Z90" s="36" t="str">
        <f t="shared" si="15"/>
        <v/>
      </c>
      <c r="AA90" s="6"/>
      <c r="AB90" s="41"/>
      <c r="AC90" s="38"/>
      <c r="AD90" s="38"/>
      <c r="AE90" s="34"/>
      <c r="AF90" s="34" t="str">
        <f t="shared" si="16"/>
        <v>FALSE</v>
      </c>
      <c r="AG90" s="35">
        <f t="shared" si="10"/>
        <v>0</v>
      </c>
      <c r="AH90" s="36" t="str">
        <f t="shared" si="11"/>
        <v/>
      </c>
    </row>
    <row r="91" spans="1:34" ht="1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29" t="str">
        <f t="shared" si="12"/>
        <v/>
      </c>
      <c r="Q91" s="30"/>
      <c r="R91" s="31"/>
      <c r="S91" s="68"/>
      <c r="T91" s="40"/>
      <c r="U91" s="38"/>
      <c r="V91" s="74"/>
      <c r="W91" s="34" t="str">
        <f t="shared" si="13"/>
        <v>FALSE</v>
      </c>
      <c r="X91" s="34" t="str">
        <f t="shared" si="9"/>
        <v>FALSE</v>
      </c>
      <c r="Y91" s="35">
        <f t="shared" si="14"/>
        <v>0</v>
      </c>
      <c r="Z91" s="36" t="str">
        <f t="shared" si="15"/>
        <v/>
      </c>
      <c r="AA91" s="6"/>
      <c r="AB91" s="41"/>
      <c r="AC91" s="38"/>
      <c r="AD91" s="38"/>
      <c r="AE91" s="34"/>
      <c r="AF91" s="34" t="str">
        <f t="shared" si="16"/>
        <v>FALSE</v>
      </c>
      <c r="AG91" s="35">
        <f t="shared" si="10"/>
        <v>0</v>
      </c>
      <c r="AH91" s="36" t="str">
        <f t="shared" si="11"/>
        <v/>
      </c>
    </row>
    <row r="92" spans="1:34" ht="1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29" t="str">
        <f t="shared" si="12"/>
        <v/>
      </c>
      <c r="Q92" s="30"/>
      <c r="R92" s="31"/>
      <c r="S92" s="68"/>
      <c r="T92" s="40"/>
      <c r="U92" s="38"/>
      <c r="V92" s="74"/>
      <c r="W92" s="34" t="str">
        <f t="shared" si="13"/>
        <v>FALSE</v>
      </c>
      <c r="X92" s="34" t="str">
        <f t="shared" si="9"/>
        <v>FALSE</v>
      </c>
      <c r="Y92" s="35">
        <f t="shared" si="14"/>
        <v>0</v>
      </c>
      <c r="Z92" s="36" t="str">
        <f t="shared" si="15"/>
        <v/>
      </c>
      <c r="AA92" s="6"/>
      <c r="AB92" s="41"/>
      <c r="AC92" s="38"/>
      <c r="AD92" s="38"/>
      <c r="AE92" s="34"/>
      <c r="AF92" s="34" t="str">
        <f t="shared" si="16"/>
        <v>FALSE</v>
      </c>
      <c r="AG92" s="35">
        <f t="shared" si="10"/>
        <v>0</v>
      </c>
      <c r="AH92" s="36" t="str">
        <f t="shared" si="11"/>
        <v/>
      </c>
    </row>
    <row r="93" spans="1:34" ht="1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29" t="str">
        <f t="shared" si="12"/>
        <v/>
      </c>
      <c r="Q93" s="30"/>
      <c r="R93" s="31"/>
      <c r="S93" s="68"/>
      <c r="T93" s="40"/>
      <c r="U93" s="38"/>
      <c r="V93" s="74"/>
      <c r="W93" s="34" t="str">
        <f t="shared" si="13"/>
        <v>FALSE</v>
      </c>
      <c r="X93" s="34" t="str">
        <f t="shared" si="9"/>
        <v>FALSE</v>
      </c>
      <c r="Y93" s="35">
        <f t="shared" si="14"/>
        <v>0</v>
      </c>
      <c r="Z93" s="36" t="str">
        <f t="shared" si="15"/>
        <v/>
      </c>
      <c r="AA93" s="6"/>
      <c r="AB93" s="41"/>
      <c r="AC93" s="38"/>
      <c r="AD93" s="38"/>
      <c r="AE93" s="34"/>
      <c r="AF93" s="34" t="str">
        <f t="shared" si="16"/>
        <v>FALSE</v>
      </c>
      <c r="AG93" s="35">
        <f t="shared" si="10"/>
        <v>0</v>
      </c>
      <c r="AH93" s="36" t="str">
        <f t="shared" si="11"/>
        <v/>
      </c>
    </row>
    <row r="94" spans="1:34" ht="1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29" t="str">
        <f t="shared" si="12"/>
        <v/>
      </c>
      <c r="Q94" s="30"/>
      <c r="R94" s="31"/>
      <c r="S94" s="68"/>
      <c r="T94" s="40"/>
      <c r="U94" s="38"/>
      <c r="V94" s="74"/>
      <c r="W94" s="34" t="str">
        <f t="shared" si="13"/>
        <v>FALSE</v>
      </c>
      <c r="X94" s="34" t="str">
        <f t="shared" si="9"/>
        <v>FALSE</v>
      </c>
      <c r="Y94" s="35">
        <f t="shared" si="14"/>
        <v>0</v>
      </c>
      <c r="Z94" s="36" t="str">
        <f t="shared" si="15"/>
        <v/>
      </c>
      <c r="AA94" s="6"/>
      <c r="AB94" s="41"/>
      <c r="AC94" s="38"/>
      <c r="AD94" s="38"/>
      <c r="AE94" s="34"/>
      <c r="AF94" s="34" t="str">
        <f t="shared" si="16"/>
        <v>FALSE</v>
      </c>
      <c r="AG94" s="35">
        <f t="shared" si="10"/>
        <v>0</v>
      </c>
      <c r="AH94" s="36" t="str">
        <f t="shared" si="11"/>
        <v/>
      </c>
    </row>
    <row r="95" spans="1:34" ht="1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29" t="str">
        <f t="shared" si="12"/>
        <v/>
      </c>
      <c r="Q95" s="30"/>
      <c r="R95" s="31"/>
      <c r="S95" s="68"/>
      <c r="T95" s="40"/>
      <c r="U95" s="38"/>
      <c r="V95" s="74"/>
      <c r="W95" s="34" t="str">
        <f t="shared" si="13"/>
        <v>FALSE</v>
      </c>
      <c r="X95" s="34" t="str">
        <f t="shared" si="9"/>
        <v>FALSE</v>
      </c>
      <c r="Y95" s="35">
        <f t="shared" si="14"/>
        <v>0</v>
      </c>
      <c r="Z95" s="36" t="str">
        <f t="shared" si="15"/>
        <v/>
      </c>
      <c r="AA95" s="6"/>
      <c r="AB95" s="41"/>
      <c r="AC95" s="38"/>
      <c r="AD95" s="38"/>
      <c r="AE95" s="34"/>
      <c r="AF95" s="34" t="str">
        <f t="shared" si="16"/>
        <v>FALSE</v>
      </c>
      <c r="AG95" s="35">
        <f t="shared" si="10"/>
        <v>0</v>
      </c>
      <c r="AH95" s="36" t="str">
        <f t="shared" si="11"/>
        <v/>
      </c>
    </row>
    <row r="96" spans="1:34" ht="1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29" t="str">
        <f t="shared" si="12"/>
        <v/>
      </c>
      <c r="Q96" s="30"/>
      <c r="R96" s="31"/>
      <c r="S96" s="68"/>
      <c r="T96" s="40"/>
      <c r="U96" s="38"/>
      <c r="V96" s="74"/>
      <c r="W96" s="34" t="str">
        <f t="shared" si="13"/>
        <v>FALSE</v>
      </c>
      <c r="X96" s="34" t="str">
        <f t="shared" si="9"/>
        <v>FALSE</v>
      </c>
      <c r="Y96" s="35">
        <f t="shared" si="14"/>
        <v>0</v>
      </c>
      <c r="Z96" s="36" t="str">
        <f t="shared" si="15"/>
        <v/>
      </c>
      <c r="AA96" s="6"/>
      <c r="AB96" s="41"/>
      <c r="AC96" s="38"/>
      <c r="AD96" s="38"/>
      <c r="AE96" s="34"/>
      <c r="AF96" s="34" t="str">
        <f t="shared" si="16"/>
        <v>FALSE</v>
      </c>
      <c r="AG96" s="35">
        <f t="shared" si="10"/>
        <v>0</v>
      </c>
      <c r="AH96" s="36" t="str">
        <f t="shared" si="11"/>
        <v/>
      </c>
    </row>
    <row r="97" spans="1:34" ht="1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29" t="str">
        <f t="shared" si="12"/>
        <v/>
      </c>
      <c r="Q97" s="30"/>
      <c r="R97" s="31"/>
      <c r="S97" s="68"/>
      <c r="T97" s="40"/>
      <c r="U97" s="38"/>
      <c r="V97" s="74"/>
      <c r="W97" s="34" t="str">
        <f t="shared" si="13"/>
        <v>FALSE</v>
      </c>
      <c r="X97" s="34" t="str">
        <f t="shared" si="9"/>
        <v>FALSE</v>
      </c>
      <c r="Y97" s="35">
        <f t="shared" si="14"/>
        <v>0</v>
      </c>
      <c r="Z97" s="36" t="str">
        <f t="shared" si="15"/>
        <v/>
      </c>
      <c r="AA97" s="6"/>
      <c r="AB97" s="41"/>
      <c r="AC97" s="38"/>
      <c r="AD97" s="38"/>
      <c r="AE97" s="34"/>
      <c r="AF97" s="34" t="str">
        <f t="shared" si="16"/>
        <v>FALSE</v>
      </c>
      <c r="AG97" s="35">
        <f t="shared" si="10"/>
        <v>0</v>
      </c>
      <c r="AH97" s="36" t="str">
        <f t="shared" si="11"/>
        <v/>
      </c>
    </row>
    <row r="98" spans="1:34" ht="1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29" t="str">
        <f t="shared" si="12"/>
        <v/>
      </c>
      <c r="Q98" s="30"/>
      <c r="R98" s="31"/>
      <c r="S98" s="68"/>
      <c r="T98" s="40"/>
      <c r="U98" s="38"/>
      <c r="V98" s="74"/>
      <c r="W98" s="34" t="str">
        <f t="shared" si="13"/>
        <v>FALSE</v>
      </c>
      <c r="X98" s="34" t="str">
        <f t="shared" si="9"/>
        <v>FALSE</v>
      </c>
      <c r="Y98" s="35">
        <f t="shared" si="14"/>
        <v>0</v>
      </c>
      <c r="Z98" s="36" t="str">
        <f t="shared" si="15"/>
        <v/>
      </c>
      <c r="AA98" s="6"/>
      <c r="AB98" s="41"/>
      <c r="AC98" s="38"/>
      <c r="AD98" s="38"/>
      <c r="AE98" s="34"/>
      <c r="AF98" s="34" t="str">
        <f t="shared" si="16"/>
        <v>FALSE</v>
      </c>
      <c r="AG98" s="35">
        <f t="shared" si="10"/>
        <v>0</v>
      </c>
      <c r="AH98" s="36" t="str">
        <f t="shared" si="11"/>
        <v/>
      </c>
    </row>
    <row r="99" spans="1:34" ht="1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29" t="str">
        <f t="shared" si="12"/>
        <v/>
      </c>
      <c r="Q99" s="30"/>
      <c r="R99" s="31"/>
      <c r="S99" s="68"/>
      <c r="T99" s="40"/>
      <c r="U99" s="38"/>
      <c r="V99" s="74"/>
      <c r="W99" s="34" t="str">
        <f t="shared" si="13"/>
        <v>FALSE</v>
      </c>
      <c r="X99" s="34" t="str">
        <f t="shared" si="9"/>
        <v>FALSE</v>
      </c>
      <c r="Y99" s="35">
        <f t="shared" si="14"/>
        <v>0</v>
      </c>
      <c r="Z99" s="36" t="str">
        <f t="shared" si="15"/>
        <v/>
      </c>
      <c r="AA99" s="6"/>
      <c r="AB99" s="41"/>
      <c r="AC99" s="38"/>
      <c r="AD99" s="38"/>
      <c r="AE99" s="34"/>
      <c r="AF99" s="34" t="str">
        <f t="shared" si="16"/>
        <v>FALSE</v>
      </c>
      <c r="AG99" s="35">
        <f t="shared" si="10"/>
        <v>0</v>
      </c>
      <c r="AH99" s="36" t="str">
        <f t="shared" si="11"/>
        <v/>
      </c>
    </row>
    <row r="100" spans="1:34" ht="1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29" t="str">
        <f t="shared" si="12"/>
        <v/>
      </c>
      <c r="Q100" s="30"/>
      <c r="R100" s="31"/>
      <c r="S100" s="68"/>
      <c r="T100" s="40"/>
      <c r="U100" s="38"/>
      <c r="V100" s="74"/>
      <c r="W100" s="34" t="str">
        <f t="shared" si="13"/>
        <v>FALSE</v>
      </c>
      <c r="X100" s="34" t="str">
        <f t="shared" si="9"/>
        <v>FALSE</v>
      </c>
      <c r="Y100" s="35">
        <f t="shared" si="14"/>
        <v>0</v>
      </c>
      <c r="Z100" s="36" t="str">
        <f t="shared" si="15"/>
        <v/>
      </c>
      <c r="AA100" s="6"/>
      <c r="AB100" s="41"/>
      <c r="AC100" s="38"/>
      <c r="AD100" s="38"/>
      <c r="AE100" s="34"/>
      <c r="AF100" s="34" t="str">
        <f t="shared" si="16"/>
        <v>FALSE</v>
      </c>
      <c r="AG100" s="35">
        <f t="shared" si="10"/>
        <v>0</v>
      </c>
      <c r="AH100" s="36" t="str">
        <f t="shared" si="11"/>
        <v/>
      </c>
    </row>
    <row r="101" spans="1:34" ht="1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29" t="str">
        <f t="shared" si="12"/>
        <v/>
      </c>
      <c r="Q101" s="30"/>
      <c r="R101" s="31"/>
      <c r="S101" s="68"/>
      <c r="T101" s="40"/>
      <c r="U101" s="38"/>
      <c r="V101" s="74"/>
      <c r="W101" s="34" t="str">
        <f t="shared" si="13"/>
        <v>FALSE</v>
      </c>
      <c r="X101" s="34" t="str">
        <f t="shared" si="9"/>
        <v>FALSE</v>
      </c>
      <c r="Y101" s="35">
        <f t="shared" si="14"/>
        <v>0</v>
      </c>
      <c r="Z101" s="36" t="str">
        <f t="shared" si="15"/>
        <v/>
      </c>
      <c r="AA101" s="6"/>
      <c r="AB101" s="41"/>
      <c r="AC101" s="38"/>
      <c r="AD101" s="38"/>
      <c r="AE101" s="34"/>
      <c r="AF101" s="34" t="str">
        <f t="shared" si="16"/>
        <v>FALSE</v>
      </c>
      <c r="AG101" s="35">
        <f t="shared" si="10"/>
        <v>0</v>
      </c>
      <c r="AH101" s="36" t="str">
        <f t="shared" si="11"/>
        <v/>
      </c>
    </row>
    <row r="102" spans="1:34" ht="1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29" t="str">
        <f t="shared" si="12"/>
        <v/>
      </c>
      <c r="Q102" s="30"/>
      <c r="R102" s="31"/>
      <c r="S102" s="68"/>
      <c r="T102" s="40"/>
      <c r="U102" s="38"/>
      <c r="V102" s="74"/>
      <c r="W102" s="34" t="str">
        <f t="shared" si="13"/>
        <v>FALSE</v>
      </c>
      <c r="X102" s="34" t="str">
        <f t="shared" si="9"/>
        <v>FALSE</v>
      </c>
      <c r="Y102" s="35">
        <f t="shared" si="14"/>
        <v>0</v>
      </c>
      <c r="Z102" s="36" t="str">
        <f t="shared" si="15"/>
        <v/>
      </c>
      <c r="AA102" s="6"/>
      <c r="AB102" s="41"/>
      <c r="AC102" s="38"/>
      <c r="AD102" s="38"/>
      <c r="AE102" s="34"/>
      <c r="AF102" s="34" t="str">
        <f t="shared" si="16"/>
        <v>FALSE</v>
      </c>
      <c r="AG102" s="35">
        <f t="shared" si="10"/>
        <v>0</v>
      </c>
      <c r="AH102" s="36" t="str">
        <f t="shared" si="11"/>
        <v/>
      </c>
    </row>
    <row r="103" spans="1:34" ht="1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29" t="str">
        <f t="shared" si="12"/>
        <v/>
      </c>
      <c r="Q103" s="30"/>
      <c r="R103" s="31"/>
      <c r="S103" s="68"/>
      <c r="T103" s="40"/>
      <c r="U103" s="38"/>
      <c r="V103" s="74"/>
      <c r="W103" s="34" t="str">
        <f t="shared" si="13"/>
        <v>FALSE</v>
      </c>
      <c r="X103" s="34" t="str">
        <f t="shared" si="9"/>
        <v>FALSE</v>
      </c>
      <c r="Y103" s="35">
        <f t="shared" si="14"/>
        <v>0</v>
      </c>
      <c r="Z103" s="36" t="str">
        <f t="shared" si="15"/>
        <v/>
      </c>
      <c r="AA103" s="6"/>
      <c r="AB103" s="41"/>
      <c r="AC103" s="38"/>
      <c r="AD103" s="38"/>
      <c r="AE103" s="34"/>
      <c r="AF103" s="34" t="str">
        <f t="shared" si="16"/>
        <v>FALSE</v>
      </c>
      <c r="AG103" s="35">
        <f t="shared" si="10"/>
        <v>0</v>
      </c>
      <c r="AH103" s="36" t="str">
        <f t="shared" si="11"/>
        <v/>
      </c>
    </row>
    <row r="104" spans="1:34" ht="1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29" t="str">
        <f t="shared" si="12"/>
        <v/>
      </c>
      <c r="Q104" s="30"/>
      <c r="R104" s="31"/>
      <c r="S104" s="68"/>
      <c r="T104" s="40"/>
      <c r="U104" s="38"/>
      <c r="V104" s="74"/>
      <c r="W104" s="34" t="str">
        <f t="shared" si="13"/>
        <v>FALSE</v>
      </c>
      <c r="X104" s="34" t="str">
        <f t="shared" si="9"/>
        <v>FALSE</v>
      </c>
      <c r="Y104" s="35">
        <f t="shared" si="14"/>
        <v>0</v>
      </c>
      <c r="Z104" s="36" t="str">
        <f t="shared" si="15"/>
        <v/>
      </c>
      <c r="AA104" s="6"/>
      <c r="AB104" s="41"/>
      <c r="AC104" s="38"/>
      <c r="AD104" s="38"/>
      <c r="AE104" s="34"/>
      <c r="AF104" s="34" t="str">
        <f t="shared" si="16"/>
        <v>FALSE</v>
      </c>
      <c r="AG104" s="35">
        <f t="shared" si="10"/>
        <v>0</v>
      </c>
      <c r="AH104" s="36" t="str">
        <f t="shared" si="11"/>
        <v/>
      </c>
    </row>
    <row r="105" spans="1:34" ht="1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29" t="str">
        <f t="shared" si="12"/>
        <v/>
      </c>
      <c r="Q105" s="30"/>
      <c r="R105" s="31"/>
      <c r="S105" s="68"/>
      <c r="T105" s="40"/>
      <c r="U105" s="38"/>
      <c r="V105" s="74"/>
      <c r="W105" s="34" t="str">
        <f t="shared" si="13"/>
        <v>FALSE</v>
      </c>
      <c r="X105" s="34" t="str">
        <f t="shared" si="9"/>
        <v>FALSE</v>
      </c>
      <c r="Y105" s="35">
        <f t="shared" si="14"/>
        <v>0</v>
      </c>
      <c r="Z105" s="36" t="str">
        <f t="shared" si="15"/>
        <v/>
      </c>
      <c r="AA105" s="6"/>
      <c r="AB105" s="41"/>
      <c r="AC105" s="38"/>
      <c r="AD105" s="38"/>
      <c r="AE105" s="34"/>
      <c r="AF105" s="34" t="str">
        <f t="shared" si="16"/>
        <v>FALSE</v>
      </c>
      <c r="AG105" s="35">
        <f t="shared" si="10"/>
        <v>0</v>
      </c>
      <c r="AH105" s="36" t="str">
        <f t="shared" si="11"/>
        <v/>
      </c>
    </row>
    <row r="106" spans="1:34" ht="1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29" t="str">
        <f t="shared" si="12"/>
        <v/>
      </c>
      <c r="Q106" s="30"/>
      <c r="R106" s="31"/>
      <c r="S106" s="68"/>
      <c r="T106" s="40"/>
      <c r="U106" s="38"/>
      <c r="V106" s="74"/>
      <c r="W106" s="34" t="str">
        <f t="shared" si="13"/>
        <v>FALSE</v>
      </c>
      <c r="X106" s="34" t="str">
        <f t="shared" si="9"/>
        <v>FALSE</v>
      </c>
      <c r="Y106" s="35">
        <f t="shared" si="14"/>
        <v>0</v>
      </c>
      <c r="Z106" s="36" t="str">
        <f t="shared" si="15"/>
        <v/>
      </c>
      <c r="AA106" s="6"/>
      <c r="AB106" s="41"/>
      <c r="AC106" s="38"/>
      <c r="AD106" s="38"/>
      <c r="AE106" s="34"/>
      <c r="AF106" s="34" t="str">
        <f t="shared" si="16"/>
        <v>FALSE</v>
      </c>
      <c r="AG106" s="35">
        <f t="shared" si="10"/>
        <v>0</v>
      </c>
      <c r="AH106" s="36" t="str">
        <f t="shared" si="11"/>
        <v/>
      </c>
    </row>
    <row r="107" spans="1:34" ht="1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29" t="str">
        <f t="shared" si="12"/>
        <v/>
      </c>
      <c r="Q107" s="30"/>
      <c r="R107" s="31"/>
      <c r="S107" s="68"/>
      <c r="T107" s="40"/>
      <c r="U107" s="38"/>
      <c r="V107" s="74"/>
      <c r="W107" s="34" t="str">
        <f t="shared" si="13"/>
        <v>FALSE</v>
      </c>
      <c r="X107" s="34" t="str">
        <f t="shared" si="9"/>
        <v>FALSE</v>
      </c>
      <c r="Y107" s="35">
        <f t="shared" si="14"/>
        <v>0</v>
      </c>
      <c r="Z107" s="36" t="str">
        <f t="shared" si="15"/>
        <v/>
      </c>
      <c r="AA107" s="6"/>
      <c r="AB107" s="41"/>
      <c r="AC107" s="38"/>
      <c r="AD107" s="38"/>
      <c r="AE107" s="34"/>
      <c r="AF107" s="34" t="str">
        <f t="shared" si="16"/>
        <v>FALSE</v>
      </c>
      <c r="AG107" s="35">
        <f t="shared" si="10"/>
        <v>0</v>
      </c>
      <c r="AH107" s="36" t="str">
        <f t="shared" si="11"/>
        <v/>
      </c>
    </row>
    <row r="108" spans="1:34" ht="1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29" t="str">
        <f t="shared" si="12"/>
        <v/>
      </c>
      <c r="Q108" s="30"/>
      <c r="R108" s="31"/>
      <c r="S108" s="68"/>
      <c r="T108" s="40"/>
      <c r="U108" s="38"/>
      <c r="V108" s="74"/>
      <c r="W108" s="34" t="str">
        <f t="shared" si="13"/>
        <v>FALSE</v>
      </c>
      <c r="X108" s="34" t="str">
        <f t="shared" si="9"/>
        <v>FALSE</v>
      </c>
      <c r="Y108" s="35">
        <f t="shared" si="14"/>
        <v>0</v>
      </c>
      <c r="Z108" s="36" t="str">
        <f t="shared" si="15"/>
        <v/>
      </c>
      <c r="AA108" s="6"/>
      <c r="AB108" s="41"/>
      <c r="AC108" s="38"/>
      <c r="AD108" s="38"/>
      <c r="AE108" s="34"/>
      <c r="AF108" s="34" t="str">
        <f t="shared" si="16"/>
        <v>FALSE</v>
      </c>
      <c r="AG108" s="35">
        <f t="shared" si="10"/>
        <v>0</v>
      </c>
      <c r="AH108" s="36" t="str">
        <f t="shared" si="11"/>
        <v/>
      </c>
    </row>
    <row r="109" spans="1:34" ht="1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29" t="str">
        <f t="shared" si="12"/>
        <v/>
      </c>
      <c r="Q109" s="30"/>
      <c r="R109" s="31"/>
      <c r="S109" s="68"/>
      <c r="T109" s="40"/>
      <c r="U109" s="38"/>
      <c r="V109" s="74"/>
      <c r="W109" s="34" t="str">
        <f t="shared" si="13"/>
        <v>FALSE</v>
      </c>
      <c r="X109" s="34" t="str">
        <f t="shared" si="9"/>
        <v>FALSE</v>
      </c>
      <c r="Y109" s="35">
        <f t="shared" si="14"/>
        <v>0</v>
      </c>
      <c r="Z109" s="36" t="str">
        <f t="shared" si="15"/>
        <v/>
      </c>
      <c r="AA109" s="6"/>
      <c r="AB109" s="41"/>
      <c r="AC109" s="38"/>
      <c r="AD109" s="38"/>
      <c r="AE109" s="34"/>
      <c r="AF109" s="34" t="str">
        <f t="shared" si="16"/>
        <v>FALSE</v>
      </c>
      <c r="AG109" s="35">
        <f t="shared" si="10"/>
        <v>0</v>
      </c>
      <c r="AH109" s="36" t="str">
        <f t="shared" si="11"/>
        <v/>
      </c>
    </row>
    <row r="110" spans="1:34" ht="1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29" t="str">
        <f t="shared" si="12"/>
        <v/>
      </c>
      <c r="Q110" s="30"/>
      <c r="R110" s="31"/>
      <c r="S110" s="68"/>
      <c r="T110" s="40"/>
      <c r="U110" s="38"/>
      <c r="V110" s="74"/>
      <c r="W110" s="34" t="str">
        <f t="shared" si="13"/>
        <v>FALSE</v>
      </c>
      <c r="X110" s="34" t="str">
        <f t="shared" si="9"/>
        <v>FALSE</v>
      </c>
      <c r="Y110" s="35">
        <f t="shared" si="14"/>
        <v>0</v>
      </c>
      <c r="Z110" s="36" t="str">
        <f t="shared" si="15"/>
        <v/>
      </c>
      <c r="AA110" s="6"/>
      <c r="AB110" s="41"/>
      <c r="AC110" s="38"/>
      <c r="AD110" s="38"/>
      <c r="AE110" s="34"/>
      <c r="AF110" s="34" t="str">
        <f t="shared" si="16"/>
        <v>FALSE</v>
      </c>
      <c r="AG110" s="35">
        <f t="shared" si="10"/>
        <v>0</v>
      </c>
      <c r="AH110" s="36" t="str">
        <f t="shared" si="11"/>
        <v/>
      </c>
    </row>
    <row r="111" spans="1:34" ht="1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29" t="str">
        <f t="shared" si="12"/>
        <v/>
      </c>
      <c r="Q111" s="30"/>
      <c r="R111" s="31"/>
      <c r="S111" s="68"/>
      <c r="T111" s="40"/>
      <c r="U111" s="38"/>
      <c r="V111" s="74"/>
      <c r="W111" s="34" t="str">
        <f t="shared" si="13"/>
        <v>FALSE</v>
      </c>
      <c r="X111" s="34" t="str">
        <f t="shared" si="9"/>
        <v>FALSE</v>
      </c>
      <c r="Y111" s="35">
        <f t="shared" si="14"/>
        <v>0</v>
      </c>
      <c r="Z111" s="36" t="str">
        <f t="shared" si="15"/>
        <v/>
      </c>
      <c r="AA111" s="6"/>
      <c r="AB111" s="41"/>
      <c r="AC111" s="38"/>
      <c r="AD111" s="38"/>
      <c r="AE111" s="34"/>
      <c r="AF111" s="34" t="str">
        <f t="shared" si="16"/>
        <v>FALSE</v>
      </c>
      <c r="AG111" s="35">
        <f t="shared" si="10"/>
        <v>0</v>
      </c>
      <c r="AH111" s="36" t="str">
        <f t="shared" si="11"/>
        <v/>
      </c>
    </row>
    <row r="112" spans="1:34" ht="1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29" t="str">
        <f t="shared" si="12"/>
        <v/>
      </c>
      <c r="Q112" s="30"/>
      <c r="R112" s="31"/>
      <c r="S112" s="68"/>
      <c r="T112" s="40"/>
      <c r="U112" s="38"/>
      <c r="V112" s="74"/>
      <c r="W112" s="34" t="str">
        <f t="shared" si="13"/>
        <v>FALSE</v>
      </c>
      <c r="X112" s="34" t="str">
        <f t="shared" si="9"/>
        <v>FALSE</v>
      </c>
      <c r="Y112" s="35">
        <f t="shared" si="14"/>
        <v>0</v>
      </c>
      <c r="Z112" s="36" t="str">
        <f t="shared" si="15"/>
        <v/>
      </c>
      <c r="AA112" s="6"/>
      <c r="AB112" s="41"/>
      <c r="AC112" s="38"/>
      <c r="AD112" s="38"/>
      <c r="AE112" s="34"/>
      <c r="AF112" s="34" t="str">
        <f t="shared" si="16"/>
        <v>FALSE</v>
      </c>
      <c r="AG112" s="35">
        <f t="shared" si="10"/>
        <v>0</v>
      </c>
      <c r="AH112" s="36" t="str">
        <f t="shared" si="11"/>
        <v/>
      </c>
    </row>
    <row r="113" spans="1:34" ht="1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29" t="str">
        <f t="shared" si="12"/>
        <v/>
      </c>
      <c r="Q113" s="30"/>
      <c r="R113" s="31"/>
      <c r="S113" s="68"/>
      <c r="T113" s="40"/>
      <c r="U113" s="38"/>
      <c r="V113" s="74"/>
      <c r="W113" s="34" t="str">
        <f t="shared" si="13"/>
        <v>FALSE</v>
      </c>
      <c r="X113" s="34" t="str">
        <f t="shared" si="9"/>
        <v>FALSE</v>
      </c>
      <c r="Y113" s="35">
        <f t="shared" si="14"/>
        <v>0</v>
      </c>
      <c r="Z113" s="36" t="str">
        <f t="shared" si="15"/>
        <v/>
      </c>
      <c r="AA113" s="6"/>
      <c r="AB113" s="41"/>
      <c r="AC113" s="38"/>
      <c r="AD113" s="38"/>
      <c r="AE113" s="34"/>
      <c r="AF113" s="34" t="str">
        <f t="shared" si="16"/>
        <v>FALSE</v>
      </c>
      <c r="AG113" s="35">
        <f t="shared" si="10"/>
        <v>0</v>
      </c>
      <c r="AH113" s="36" t="str">
        <f t="shared" si="11"/>
        <v/>
      </c>
    </row>
    <row r="114" spans="1:34" ht="1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29" t="str">
        <f t="shared" si="12"/>
        <v/>
      </c>
      <c r="Q114" s="30"/>
      <c r="R114" s="31"/>
      <c r="S114" s="68"/>
      <c r="T114" s="40"/>
      <c r="U114" s="38"/>
      <c r="V114" s="74"/>
      <c r="W114" s="34" t="str">
        <f t="shared" si="13"/>
        <v>FALSE</v>
      </c>
      <c r="X114" s="34" t="str">
        <f t="shared" si="9"/>
        <v>FALSE</v>
      </c>
      <c r="Y114" s="35">
        <f t="shared" si="14"/>
        <v>0</v>
      </c>
      <c r="Z114" s="36" t="str">
        <f t="shared" si="15"/>
        <v/>
      </c>
      <c r="AA114" s="6"/>
      <c r="AB114" s="41"/>
      <c r="AC114" s="38"/>
      <c r="AD114" s="38"/>
      <c r="AE114" s="34"/>
      <c r="AF114" s="34" t="str">
        <f t="shared" si="16"/>
        <v>FALSE</v>
      </c>
      <c r="AG114" s="35">
        <f t="shared" si="10"/>
        <v>0</v>
      </c>
      <c r="AH114" s="36" t="str">
        <f t="shared" si="11"/>
        <v/>
      </c>
    </row>
    <row r="115" spans="1:34" ht="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29" t="str">
        <f t="shared" si="12"/>
        <v/>
      </c>
      <c r="Q115" s="30"/>
      <c r="R115" s="31"/>
      <c r="S115" s="68"/>
      <c r="T115" s="40"/>
      <c r="U115" s="38"/>
      <c r="V115" s="74"/>
      <c r="W115" s="34" t="str">
        <f t="shared" si="13"/>
        <v>FALSE</v>
      </c>
      <c r="X115" s="34" t="str">
        <f t="shared" si="9"/>
        <v>FALSE</v>
      </c>
      <c r="Y115" s="35">
        <f t="shared" si="14"/>
        <v>0</v>
      </c>
      <c r="Z115" s="36" t="str">
        <f t="shared" si="15"/>
        <v/>
      </c>
      <c r="AA115" s="6"/>
      <c r="AB115" s="41"/>
      <c r="AC115" s="38"/>
      <c r="AD115" s="38"/>
      <c r="AE115" s="34"/>
      <c r="AF115" s="34" t="str">
        <f t="shared" si="16"/>
        <v>FALSE</v>
      </c>
      <c r="AG115" s="35">
        <f t="shared" si="10"/>
        <v>0</v>
      </c>
      <c r="AH115" s="36" t="str">
        <f t="shared" si="11"/>
        <v/>
      </c>
    </row>
    <row r="116" spans="1:34" ht="1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29" t="str">
        <f t="shared" si="12"/>
        <v/>
      </c>
      <c r="Q116" s="30"/>
      <c r="R116" s="31"/>
      <c r="S116" s="68"/>
      <c r="T116" s="40"/>
      <c r="U116" s="38"/>
      <c r="V116" s="74"/>
      <c r="W116" s="34" t="str">
        <f t="shared" si="13"/>
        <v>FALSE</v>
      </c>
      <c r="X116" s="34" t="str">
        <f t="shared" si="9"/>
        <v>FALSE</v>
      </c>
      <c r="Y116" s="35">
        <f t="shared" si="14"/>
        <v>0</v>
      </c>
      <c r="Z116" s="36" t="str">
        <f t="shared" si="15"/>
        <v/>
      </c>
      <c r="AA116" s="6"/>
      <c r="AB116" s="41"/>
      <c r="AC116" s="38"/>
      <c r="AD116" s="38"/>
      <c r="AE116" s="34"/>
      <c r="AF116" s="34" t="str">
        <f t="shared" si="16"/>
        <v>FALSE</v>
      </c>
      <c r="AG116" s="35">
        <f t="shared" si="10"/>
        <v>0</v>
      </c>
      <c r="AH116" s="36" t="str">
        <f t="shared" si="11"/>
        <v/>
      </c>
    </row>
    <row r="117" spans="1:34" ht="1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29" t="str">
        <f t="shared" si="12"/>
        <v/>
      </c>
      <c r="Q117" s="30"/>
      <c r="R117" s="31"/>
      <c r="S117" s="68"/>
      <c r="T117" s="40"/>
      <c r="U117" s="38"/>
      <c r="V117" s="74"/>
      <c r="W117" s="34" t="str">
        <f t="shared" si="13"/>
        <v>FALSE</v>
      </c>
      <c r="X117" s="34" t="str">
        <f t="shared" si="9"/>
        <v>FALSE</v>
      </c>
      <c r="Y117" s="35">
        <f t="shared" si="14"/>
        <v>0</v>
      </c>
      <c r="Z117" s="36" t="str">
        <f t="shared" si="15"/>
        <v/>
      </c>
      <c r="AA117" s="6"/>
      <c r="AB117" s="41"/>
      <c r="AC117" s="38"/>
      <c r="AD117" s="38"/>
      <c r="AE117" s="34"/>
      <c r="AF117" s="34" t="str">
        <f t="shared" si="16"/>
        <v>FALSE</v>
      </c>
      <c r="AG117" s="35">
        <f t="shared" si="10"/>
        <v>0</v>
      </c>
      <c r="AH117" s="36" t="str">
        <f t="shared" si="11"/>
        <v/>
      </c>
    </row>
    <row r="118" spans="1:34" ht="1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29" t="str">
        <f t="shared" si="12"/>
        <v/>
      </c>
      <c r="Q118" s="30"/>
      <c r="R118" s="31"/>
      <c r="S118" s="68"/>
      <c r="T118" s="40"/>
      <c r="U118" s="38"/>
      <c r="V118" s="74"/>
      <c r="W118" s="34" t="str">
        <f t="shared" si="13"/>
        <v>FALSE</v>
      </c>
      <c r="X118" s="34" t="str">
        <f t="shared" si="9"/>
        <v>FALSE</v>
      </c>
      <c r="Y118" s="35">
        <f t="shared" si="14"/>
        <v>0</v>
      </c>
      <c r="Z118" s="36" t="str">
        <f t="shared" si="15"/>
        <v/>
      </c>
      <c r="AA118" s="6"/>
      <c r="AB118" s="41"/>
      <c r="AC118" s="38"/>
      <c r="AD118" s="38"/>
      <c r="AE118" s="34"/>
      <c r="AF118" s="34" t="str">
        <f t="shared" si="16"/>
        <v>FALSE</v>
      </c>
      <c r="AG118" s="35">
        <f t="shared" si="10"/>
        <v>0</v>
      </c>
      <c r="AH118" s="36" t="str">
        <f t="shared" si="11"/>
        <v/>
      </c>
    </row>
    <row r="119" spans="1:34" ht="1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29" t="str">
        <f t="shared" si="12"/>
        <v/>
      </c>
      <c r="Q119" s="30"/>
      <c r="R119" s="31"/>
      <c r="S119" s="68"/>
      <c r="T119" s="40"/>
      <c r="U119" s="38"/>
      <c r="V119" s="74"/>
      <c r="W119" s="34" t="str">
        <f t="shared" si="13"/>
        <v>FALSE</v>
      </c>
      <c r="X119" s="34" t="str">
        <f t="shared" si="9"/>
        <v>FALSE</v>
      </c>
      <c r="Y119" s="35">
        <f t="shared" si="14"/>
        <v>0</v>
      </c>
      <c r="Z119" s="36" t="str">
        <f t="shared" si="15"/>
        <v/>
      </c>
      <c r="AA119" s="6"/>
      <c r="AB119" s="41"/>
      <c r="AC119" s="38"/>
      <c r="AD119" s="38"/>
      <c r="AE119" s="34"/>
      <c r="AF119" s="34" t="str">
        <f t="shared" si="16"/>
        <v>FALSE</v>
      </c>
      <c r="AG119" s="35">
        <f t="shared" si="10"/>
        <v>0</v>
      </c>
      <c r="AH119" s="36" t="str">
        <f t="shared" si="11"/>
        <v/>
      </c>
    </row>
    <row r="120" spans="1:34" ht="1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29" t="str">
        <f t="shared" si="12"/>
        <v/>
      </c>
      <c r="Q120" s="30"/>
      <c r="R120" s="31"/>
      <c r="S120" s="68"/>
      <c r="T120" s="40"/>
      <c r="U120" s="38"/>
      <c r="V120" s="74"/>
      <c r="W120" s="34" t="str">
        <f t="shared" si="13"/>
        <v>FALSE</v>
      </c>
      <c r="X120" s="34" t="str">
        <f t="shared" si="9"/>
        <v>FALSE</v>
      </c>
      <c r="Y120" s="35">
        <f t="shared" si="14"/>
        <v>0</v>
      </c>
      <c r="Z120" s="36" t="str">
        <f t="shared" si="15"/>
        <v/>
      </c>
      <c r="AA120" s="6"/>
      <c r="AB120" s="41"/>
      <c r="AC120" s="38"/>
      <c r="AD120" s="38"/>
      <c r="AE120" s="34"/>
      <c r="AF120" s="34" t="str">
        <f t="shared" si="16"/>
        <v>FALSE</v>
      </c>
      <c r="AG120" s="35">
        <f t="shared" si="10"/>
        <v>0</v>
      </c>
      <c r="AH120" s="36" t="str">
        <f t="shared" si="11"/>
        <v/>
      </c>
    </row>
  </sheetData>
  <mergeCells count="11">
    <mergeCell ref="P6:U6"/>
    <mergeCell ref="X6:AA6"/>
    <mergeCell ref="Q8:Z8"/>
    <mergeCell ref="AB8:AH8"/>
    <mergeCell ref="D1:L2"/>
    <mergeCell ref="X2:AA2"/>
    <mergeCell ref="AC2:AG2"/>
    <mergeCell ref="P3:R3"/>
    <mergeCell ref="T3:U3"/>
    <mergeCell ref="X3:AA3"/>
    <mergeCell ref="AC3:AG3"/>
  </mergeCells>
  <conditionalFormatting sqref="U14:U120">
    <cfRule type="containsBlanks" dxfId="39" priority="1">
      <formula>LEN(TRIM(U14))=0</formula>
    </cfRule>
    <cfRule type="expression" dxfId="38" priority="2">
      <formula>AND(X14&gt;=2,X14&lt;3)</formula>
    </cfRule>
    <cfRule type="expression" dxfId="37" priority="3">
      <formula>X14&gt;3</formula>
    </cfRule>
  </conditionalFormatting>
  <conditionalFormatting sqref="W14:W120">
    <cfRule type="expression" dxfId="36" priority="15">
      <formula>X14="FALSE"</formula>
    </cfRule>
  </conditionalFormatting>
  <conditionalFormatting sqref="X14:X120">
    <cfRule type="expression" dxfId="35" priority="14">
      <formula>X14="FALSE"</formula>
    </cfRule>
    <cfRule type="expression" dxfId="34" priority="16">
      <formula>AND(X14&gt;2,X14&lt;3)</formula>
    </cfRule>
  </conditionalFormatting>
  <conditionalFormatting sqref="X14:Y50 X51:X120">
    <cfRule type="expression" dxfId="33" priority="20">
      <formula>X14&gt;=3</formula>
    </cfRule>
  </conditionalFormatting>
  <conditionalFormatting sqref="Y14:Y50">
    <cfRule type="expression" dxfId="32" priority="19">
      <formula>AND(X14&gt;=2,X14&lt;3)</formula>
    </cfRule>
  </conditionalFormatting>
  <conditionalFormatting sqref="Z14:Z120">
    <cfRule type="cellIs" dxfId="31" priority="17" operator="notBetween">
      <formula>0.8</formula>
      <formula>1.15</formula>
    </cfRule>
  </conditionalFormatting>
  <conditionalFormatting sqref="AC14:AC120">
    <cfRule type="containsBlanks" dxfId="30" priority="4">
      <formula>LEN(TRIM(AC14))=0</formula>
    </cfRule>
    <cfRule type="expression" dxfId="29" priority="5">
      <formula>AND(AF14&gt;=2,AF14&lt;3)</formula>
    </cfRule>
    <cfRule type="expression" dxfId="28" priority="6">
      <formula>AF14&gt;3</formula>
    </cfRule>
  </conditionalFormatting>
  <conditionalFormatting sqref="AE14:AE120">
    <cfRule type="expression" dxfId="27" priority="13">
      <formula>AF14="FALSE"</formula>
    </cfRule>
  </conditionalFormatting>
  <conditionalFormatting sqref="AF14:AF120">
    <cfRule type="expression" dxfId="26" priority="10">
      <formula>AF14="FALSE"</formula>
    </cfRule>
    <cfRule type="expression" dxfId="25" priority="11">
      <formula>AND(AF14&gt;2,AF14&lt;3)</formula>
    </cfRule>
    <cfRule type="expression" dxfId="24" priority="12">
      <formula>AF14&gt;=3</formula>
    </cfRule>
  </conditionalFormatting>
  <conditionalFormatting sqref="AG14:AG120">
    <cfRule type="expression" dxfId="23" priority="7">
      <formula>AF14=0</formula>
    </cfRule>
    <cfRule type="expression" dxfId="22" priority="8">
      <formula>AND(AF14&gt;=2,AF14&lt;3)</formula>
    </cfRule>
    <cfRule type="expression" dxfId="21" priority="9">
      <formula>AG14&gt;=3</formula>
    </cfRule>
  </conditionalFormatting>
  <conditionalFormatting sqref="AH14:AH120">
    <cfRule type="cellIs" dxfId="20" priority="18" operator="notBetween">
      <formula>0.8</formula>
      <formula>1.15</formula>
    </cfRule>
  </conditionalFormatting>
  <pageMargins left="0.4" right="0.4" top="0.4" bottom="0.4" header="0" footer="0"/>
  <pageSetup scale="10" fitToHeight="0" orientation="landscape" horizontalDpi="4294967292" verticalDpi="4294967292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757A2-68F9-418A-89CE-ED4F3D31D695}">
  <sheetPr>
    <tabColor theme="8" tint="0.59999389629810485"/>
    <pageSetUpPr fitToPage="1"/>
  </sheetPr>
  <dimension ref="A1:AH120"/>
  <sheetViews>
    <sheetView showGridLines="0" zoomScale="70" zoomScaleNormal="70" workbookViewId="0">
      <selection activeCell="AC57" sqref="AC57"/>
    </sheetView>
  </sheetViews>
  <sheetFormatPr defaultColWidth="11" defaultRowHeight="13.5" customHeight="1"/>
  <cols>
    <col min="1" max="2" width="3.125" style="12" customWidth="1"/>
    <col min="3" max="8" width="11" style="12"/>
    <col min="9" max="9" width="9" style="12" customWidth="1"/>
    <col min="10" max="13" width="11" style="12"/>
    <col min="14" max="15" width="4" style="12" customWidth="1"/>
    <col min="16" max="16" width="6.125" style="43" customWidth="1"/>
    <col min="17" max="17" width="13" style="12" customWidth="1"/>
    <col min="18" max="18" width="12.875" style="44" customWidth="1"/>
    <col min="19" max="19" width="3" style="44" customWidth="1"/>
    <col min="20" max="20" width="12" style="45" customWidth="1"/>
    <col min="21" max="21" width="14.875" style="8" customWidth="1"/>
    <col min="22" max="22" width="2.375" style="12" customWidth="1"/>
    <col min="23" max="23" width="12.875" style="6" customWidth="1"/>
    <col min="24" max="24" width="11.5" style="6" customWidth="1"/>
    <col min="25" max="25" width="13" style="12" customWidth="1"/>
    <col min="26" max="26" width="11.625" style="12" customWidth="1"/>
    <col min="27" max="27" width="9.125" style="12" customWidth="1"/>
    <col min="28" max="28" width="13.375" style="8" customWidth="1"/>
    <col min="29" max="29" width="13.75" style="12" customWidth="1"/>
    <col min="30" max="30" width="2" style="12" customWidth="1"/>
    <col min="31" max="31" width="12.75" style="12" customWidth="1"/>
    <col min="32" max="32" width="12.375" style="12" customWidth="1"/>
    <col min="33" max="33" width="13.125" style="12" customWidth="1"/>
    <col min="34" max="34" width="15.25" style="12" customWidth="1"/>
    <col min="35" max="16384" width="11" style="12"/>
  </cols>
  <sheetData>
    <row r="1" spans="1:34" s="7" customFormat="1" ht="31.5" customHeight="1">
      <c r="A1" s="1"/>
      <c r="B1" s="1"/>
      <c r="C1" s="1"/>
      <c r="D1" s="162" t="s">
        <v>41</v>
      </c>
      <c r="E1" s="162"/>
      <c r="F1" s="162"/>
      <c r="G1" s="162"/>
      <c r="H1" s="162"/>
      <c r="I1" s="162"/>
      <c r="J1" s="162"/>
      <c r="K1" s="162"/>
      <c r="L1" s="162"/>
      <c r="M1" s="1"/>
      <c r="N1" s="1"/>
      <c r="O1" s="1"/>
      <c r="P1" s="2"/>
      <c r="Q1" s="3" t="s">
        <v>74</v>
      </c>
      <c r="R1" s="4"/>
      <c r="S1" s="4"/>
      <c r="T1" s="4"/>
      <c r="U1" s="5"/>
      <c r="V1" s="6"/>
      <c r="W1" s="6"/>
      <c r="X1" s="6"/>
      <c r="Y1" s="5"/>
      <c r="Z1" s="5"/>
      <c r="AA1" s="5"/>
      <c r="AB1" s="5"/>
      <c r="AC1" s="5"/>
      <c r="AD1" s="5"/>
      <c r="AE1" s="5"/>
      <c r="AF1" s="5"/>
      <c r="AG1" s="5"/>
      <c r="AH1"/>
    </row>
    <row r="2" spans="1:34" ht="15.75" customHeight="1">
      <c r="A2" s="8"/>
      <c r="B2" s="8"/>
      <c r="C2" s="8"/>
      <c r="D2" s="162"/>
      <c r="E2" s="162"/>
      <c r="F2" s="162"/>
      <c r="G2" s="162"/>
      <c r="H2" s="162"/>
      <c r="I2" s="162"/>
      <c r="J2" s="162"/>
      <c r="K2" s="162"/>
      <c r="L2" s="162"/>
      <c r="M2" s="8"/>
      <c r="N2" s="8"/>
      <c r="O2" s="8"/>
      <c r="P2" s="9"/>
      <c r="Q2" s="10" t="s">
        <v>75</v>
      </c>
      <c r="R2" s="11"/>
      <c r="S2" s="11"/>
      <c r="T2" s="10" t="s">
        <v>76</v>
      </c>
      <c r="X2" s="163" t="s">
        <v>77</v>
      </c>
      <c r="Y2" s="163"/>
      <c r="Z2" s="163"/>
      <c r="AA2" s="163"/>
      <c r="AC2" s="163" t="s">
        <v>78</v>
      </c>
      <c r="AD2" s="163"/>
      <c r="AE2" s="163"/>
      <c r="AF2" s="163"/>
      <c r="AG2" s="163"/>
      <c r="AH2"/>
    </row>
    <row r="3" spans="1:34" ht="26.2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164">
        <f>MIN(R14:R16)</f>
        <v>45677</v>
      </c>
      <c r="Q3" s="165"/>
      <c r="R3" s="166"/>
      <c r="S3" s="65"/>
      <c r="T3" s="167">
        <f>MAX(R14:R116)</f>
        <v>46065</v>
      </c>
      <c r="U3" s="168"/>
      <c r="X3" s="164" t="s">
        <v>79</v>
      </c>
      <c r="Y3" s="165"/>
      <c r="Z3" s="165"/>
      <c r="AA3" s="168"/>
      <c r="AC3" s="169" t="s">
        <v>80</v>
      </c>
      <c r="AD3" s="170"/>
      <c r="AE3" s="170"/>
      <c r="AF3" s="170"/>
      <c r="AG3" s="171"/>
      <c r="AH3"/>
    </row>
    <row r="4" spans="1:34" ht="15.7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13"/>
      <c r="Q4" s="14"/>
      <c r="R4" s="15">
        <f>MIN(P14:P120)</f>
        <v>1</v>
      </c>
      <c r="S4" s="15"/>
      <c r="T4" s="16">
        <f>MAX(P14:P120)</f>
        <v>40</v>
      </c>
      <c r="U4" s="14"/>
      <c r="V4" s="6"/>
      <c r="X4" s="14"/>
      <c r="Y4" s="14"/>
      <c r="Z4" s="14"/>
      <c r="AA4" s="14"/>
      <c r="AB4"/>
      <c r="AC4" s="14"/>
      <c r="AD4" s="14"/>
      <c r="AE4" s="14"/>
      <c r="AF4" s="14"/>
      <c r="AH4" s="8"/>
    </row>
    <row r="5" spans="1:34" ht="20.2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17"/>
      <c r="Q5" s="17" t="s">
        <v>81</v>
      </c>
      <c r="R5" s="11"/>
      <c r="S5" s="11"/>
      <c r="T5" s="18"/>
      <c r="U5" s="17"/>
      <c r="V5" s="6"/>
      <c r="X5" s="17" t="s">
        <v>82</v>
      </c>
      <c r="Y5" s="17"/>
      <c r="Z5" s="17"/>
      <c r="AA5" s="14"/>
      <c r="AB5"/>
      <c r="AC5" s="10"/>
      <c r="AD5" s="10"/>
    </row>
    <row r="6" spans="1:34" ht="25.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158" t="s">
        <v>83</v>
      </c>
      <c r="Q6" s="158"/>
      <c r="R6" s="158"/>
      <c r="S6" s="158"/>
      <c r="T6" s="158"/>
      <c r="U6" s="158"/>
      <c r="V6" s="6"/>
      <c r="X6" s="159"/>
      <c r="Y6" s="159"/>
      <c r="Z6" s="159"/>
      <c r="AA6" s="159"/>
      <c r="AB6"/>
      <c r="AC6" s="6"/>
      <c r="AD6" s="6"/>
    </row>
    <row r="7" spans="1:34" ht="23.2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19"/>
      <c r="Q7" s="20" t="s">
        <v>84</v>
      </c>
      <c r="R7" s="21"/>
      <c r="S7" s="21"/>
      <c r="T7" s="22"/>
      <c r="V7" s="8"/>
      <c r="Y7" s="8"/>
      <c r="Z7" s="8"/>
      <c r="AA7" s="8"/>
      <c r="AC7" s="8"/>
      <c r="AD7" s="8"/>
      <c r="AE7" s="8"/>
      <c r="AF7" s="8"/>
      <c r="AG7" s="8"/>
      <c r="AH7" s="8"/>
    </row>
    <row r="8" spans="1:34" ht="31.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19"/>
      <c r="Q8" s="160" t="s">
        <v>85</v>
      </c>
      <c r="R8" s="160"/>
      <c r="S8" s="160"/>
      <c r="T8" s="160"/>
      <c r="U8" s="160"/>
      <c r="V8" s="160"/>
      <c r="W8" s="160"/>
      <c r="X8" s="160"/>
      <c r="Y8" s="160"/>
      <c r="Z8" s="160"/>
      <c r="AA8" s="6"/>
      <c r="AB8" s="161"/>
      <c r="AC8" s="161"/>
      <c r="AD8" s="161"/>
      <c r="AE8" s="161"/>
      <c r="AF8" s="161"/>
      <c r="AG8" s="161"/>
      <c r="AH8" s="161"/>
    </row>
    <row r="9" spans="1:34" customFormat="1" ht="11.25" customHeight="1" thickBot="1"/>
    <row r="10" spans="1:34" s="52" customFormat="1" ht="27.75" customHeight="1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Q10" s="73" t="s">
        <v>87</v>
      </c>
      <c r="R10" s="73" t="s">
        <v>88</v>
      </c>
      <c r="S10" s="66"/>
      <c r="T10" s="49" t="s">
        <v>89</v>
      </c>
      <c r="U10" s="46" t="s">
        <v>90</v>
      </c>
      <c r="V10" s="50"/>
      <c r="W10" s="47" t="s">
        <v>91</v>
      </c>
      <c r="X10" s="61" t="s">
        <v>92</v>
      </c>
      <c r="Y10" s="61" t="s">
        <v>93</v>
      </c>
      <c r="Z10" s="48" t="s">
        <v>94</v>
      </c>
      <c r="AA10" s="53"/>
      <c r="AB10" s="49" t="s">
        <v>95</v>
      </c>
      <c r="AC10" s="46" t="s">
        <v>90</v>
      </c>
      <c r="AE10" s="47" t="s">
        <v>91</v>
      </c>
      <c r="AF10" s="61" t="s">
        <v>92</v>
      </c>
      <c r="AG10" s="61" t="s">
        <v>93</v>
      </c>
      <c r="AH10" s="48" t="s">
        <v>94</v>
      </c>
    </row>
    <row r="11" spans="1:34" s="55" customFormat="1" ht="27.75" customHeight="1" thickBot="1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Q11" s="64">
        <f>IF(U11="","",1.15)</f>
        <v>1.1499999999999999</v>
      </c>
      <c r="R11" s="64">
        <f>IF(U11="","",0.8)</f>
        <v>0.8</v>
      </c>
      <c r="S11" s="67"/>
      <c r="T11" s="62">
        <f>_xlfn.STDEV.P($U$14:$U$120)/$U$11</f>
        <v>6.075825514849563E-2</v>
      </c>
      <c r="U11" s="63">
        <f>AVERAGE($W$14:$W$120)</f>
        <v>3.2151875000000003</v>
      </c>
      <c r="V11" s="56"/>
      <c r="W11" s="60">
        <f>$U$11-(3*_xlfn.STDEV.S($W$14:$W$120))</f>
        <v>2.6216740777390997</v>
      </c>
      <c r="X11" s="59">
        <f>$U$11-(2*_xlfn.STDEV.S($W$14:$W$120))</f>
        <v>2.8195118851593999</v>
      </c>
      <c r="Y11" s="59">
        <f>$U$11+(2*_xlfn.STDEV.S($W$14:$W$120))</f>
        <v>3.6108631148406007</v>
      </c>
      <c r="Z11" s="58">
        <f>$U$11+(3*_xlfn.STDEV.S($W$14:$W$120))</f>
        <v>3.808700922260901</v>
      </c>
      <c r="AA11" s="57"/>
      <c r="AB11" s="62">
        <f>_xlfn.STDEV.P($AC$14:$AC$120)/$AC$11</f>
        <v>8.4787145437604558E-2</v>
      </c>
      <c r="AC11" s="63">
        <f>AVERAGE($AC$14:$AC$120)</f>
        <v>0.17993750000000003</v>
      </c>
      <c r="AE11" s="60">
        <f>$AC$11-(3*_xlfn.STDEV.S($AE$14:$AE$120))</f>
        <v>0.13358526891105377</v>
      </c>
      <c r="AF11" s="59">
        <f>$AC$11-(2*_xlfn.STDEV.S($AE$14:$AE$120))</f>
        <v>0.14903601260736918</v>
      </c>
      <c r="AG11" s="59">
        <f>$AC$11+(2*_xlfn.STDEV.S($AE$14:$AE$120))</f>
        <v>0.21083898739263088</v>
      </c>
      <c r="AH11" s="58">
        <f>$AC$11+(3*_xlfn.STDEV.S($AE$14:$AE$120))</f>
        <v>0.22628973108894629</v>
      </c>
    </row>
    <row r="12" spans="1:34" ht="11.2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19"/>
      <c r="Q12" s="20"/>
      <c r="R12" s="21"/>
      <c r="S12" s="21"/>
      <c r="T12" s="22"/>
      <c r="V12" s="8"/>
      <c r="Y12" s="8"/>
      <c r="Z12" s="8"/>
      <c r="AA12" s="6"/>
      <c r="AC12" s="8"/>
      <c r="AD12" s="8"/>
      <c r="AE12" s="8"/>
      <c r="AF12" s="8"/>
      <c r="AG12" s="8"/>
      <c r="AH12" s="8"/>
    </row>
    <row r="13" spans="1:34" ht="4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70" t="s">
        <v>96</v>
      </c>
      <c r="Q13" s="71" t="s">
        <v>97</v>
      </c>
      <c r="R13" s="71" t="s">
        <v>98</v>
      </c>
      <c r="S13" s="69"/>
      <c r="T13" s="72" t="s">
        <v>99</v>
      </c>
      <c r="U13" s="71" t="s">
        <v>100</v>
      </c>
      <c r="V13" s="69"/>
      <c r="W13" s="75" t="s">
        <v>101</v>
      </c>
      <c r="X13" s="75" t="s">
        <v>102</v>
      </c>
      <c r="Y13" s="76" t="s">
        <v>103</v>
      </c>
      <c r="Z13" s="77" t="s">
        <v>104</v>
      </c>
      <c r="AA13" s="6"/>
      <c r="AB13" s="26" t="s">
        <v>99</v>
      </c>
      <c r="AC13" s="27" t="s">
        <v>100</v>
      </c>
      <c r="AD13" s="28"/>
      <c r="AE13" s="23" t="s">
        <v>101</v>
      </c>
      <c r="AF13" s="23" t="s">
        <v>102</v>
      </c>
      <c r="AG13" s="24" t="s">
        <v>105</v>
      </c>
      <c r="AH13" s="25" t="s">
        <v>104</v>
      </c>
    </row>
    <row r="14" spans="1:34" ht="1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29">
        <v>1</v>
      </c>
      <c r="Q14" s="30" t="s">
        <v>106</v>
      </c>
      <c r="R14" s="31">
        <v>45677</v>
      </c>
      <c r="S14" s="68"/>
      <c r="T14" s="32">
        <v>3.069</v>
      </c>
      <c r="U14" s="38">
        <v>3.1040000000000001</v>
      </c>
      <c r="V14" s="74"/>
      <c r="W14" s="34">
        <f>IF(X14&gt;3,"FALSE",U14)</f>
        <v>3.1040000000000001</v>
      </c>
      <c r="X14" s="34">
        <f t="shared" ref="X14:X77" si="0">IF(U14="","FALSE",ABS((U14-AVERAGE($U$14:$U$120))/_xlfn.STDEV.S($U$14:$U$104)))</f>
        <v>0.56201340608160832</v>
      </c>
      <c r="Y14" s="35" t="str">
        <f>IF(OR(U14&gt;$Y$11,U14&lt;$X$11),U14,"")</f>
        <v/>
      </c>
      <c r="Z14" s="36">
        <f>IF(U14="","",U14/T14)</f>
        <v>1.0114043662430761</v>
      </c>
      <c r="AA14" s="6"/>
      <c r="AB14" s="37">
        <v>0.17449999999999999</v>
      </c>
      <c r="AC14" s="38">
        <v>0.19400000000000001</v>
      </c>
      <c r="AD14" s="38"/>
      <c r="AE14" s="34">
        <f>IF(AF14&gt;3,"FALSE",AC14)</f>
        <v>0.19400000000000001</v>
      </c>
      <c r="AF14" s="34">
        <f>IF(AC14="","FALSE",ABS((AC14-AVERAGE($AC$14:$AC$120))/_xlfn.STDEV.S($AC$14:$AC$104)))</f>
        <v>0.91015036404710392</v>
      </c>
      <c r="AG14" s="35" t="str">
        <f t="shared" ref="AG14:AG77" si="1">IF(OR(AC14&gt;$AG$11,AC14&lt;$AF$11),AC14,"")</f>
        <v/>
      </c>
      <c r="AH14" s="36">
        <f t="shared" ref="AH14:AH77" si="2">IF(AC14="","",AC14/AB14)</f>
        <v>1.1117478510028653</v>
      </c>
    </row>
    <row r="15" spans="1:34" ht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29">
        <f t="shared" ref="P15:P78" si="3">IF(R15&lt;&gt;"",P14+1,"")</f>
        <v>2</v>
      </c>
      <c r="Q15" s="30" t="s">
        <v>106</v>
      </c>
      <c r="R15" s="31">
        <v>45677</v>
      </c>
      <c r="S15" s="68"/>
      <c r="T15" s="32">
        <v>3.069</v>
      </c>
      <c r="U15" s="38">
        <v>3.2440000000000002</v>
      </c>
      <c r="V15" s="74"/>
      <c r="W15" s="34">
        <f t="shared" ref="W15:W78" si="4">IF(X15&gt;3,"FALSE",U15)</f>
        <v>3.2440000000000002</v>
      </c>
      <c r="X15" s="34">
        <f t="shared" si="0"/>
        <v>0.14563697594357508</v>
      </c>
      <c r="Y15" s="35" t="str">
        <f t="shared" ref="Y15:Y78" si="5">IF(OR(U15&gt;$Y$11,U15&lt;$X$11),U15,"")</f>
        <v/>
      </c>
      <c r="Z15" s="36">
        <f t="shared" ref="Z15:Z78" si="6">IF(U15="","",U15/T15)</f>
        <v>1.0570218312153796</v>
      </c>
      <c r="AA15" s="6"/>
      <c r="AB15" s="37">
        <v>0.17449999999999999</v>
      </c>
      <c r="AC15" s="38">
        <v>0.19800000000000001</v>
      </c>
      <c r="AD15" s="38"/>
      <c r="AE15" s="34">
        <f t="shared" ref="AE15:AE65" si="7">IF(AF15&gt;3,"FALSE",AC15)</f>
        <v>0.19800000000000001</v>
      </c>
      <c r="AF15" s="34">
        <f t="shared" ref="AF15:AF78" si="8">IF(AC15="","FALSE",ABS((AC15-AVERAGE($AC$14:$AC$120))/_xlfn.STDEV.S($AC$14:$AC$104)))</f>
        <v>1.1690375787093918</v>
      </c>
      <c r="AG15" s="35" t="str">
        <f t="shared" si="1"/>
        <v/>
      </c>
      <c r="AH15" s="36">
        <f t="shared" si="2"/>
        <v>1.1346704871060174</v>
      </c>
    </row>
    <row r="16" spans="1:34" ht="1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29">
        <f t="shared" si="3"/>
        <v>3</v>
      </c>
      <c r="Q16" s="30" t="s">
        <v>106</v>
      </c>
      <c r="R16" s="31">
        <v>45677</v>
      </c>
      <c r="S16" s="68"/>
      <c r="T16" s="32">
        <v>3.069</v>
      </c>
      <c r="U16" s="38">
        <v>3.16</v>
      </c>
      <c r="V16" s="74"/>
      <c r="W16" s="34">
        <f t="shared" si="4"/>
        <v>3.16</v>
      </c>
      <c r="X16" s="34">
        <f t="shared" si="0"/>
        <v>0.27895325327153492</v>
      </c>
      <c r="Y16" s="35" t="str">
        <f t="shared" si="5"/>
        <v/>
      </c>
      <c r="Z16" s="36">
        <f t="shared" si="6"/>
        <v>1.0296513522319974</v>
      </c>
      <c r="AA16" s="6"/>
      <c r="AB16" s="37">
        <v>0.17449999999999999</v>
      </c>
      <c r="AC16" s="38">
        <v>0.223</v>
      </c>
      <c r="AD16" s="38"/>
      <c r="AE16" s="34">
        <f t="shared" si="7"/>
        <v>0.223</v>
      </c>
      <c r="AF16" s="34">
        <f t="shared" si="8"/>
        <v>2.7870826703486897</v>
      </c>
      <c r="AG16" s="35">
        <f t="shared" si="1"/>
        <v>0.223</v>
      </c>
      <c r="AH16" s="36">
        <f t="shared" si="2"/>
        <v>1.2779369627507164</v>
      </c>
    </row>
    <row r="17" spans="1:34" ht="1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29">
        <f t="shared" si="3"/>
        <v>4</v>
      </c>
      <c r="Q17" s="30" t="s">
        <v>106</v>
      </c>
      <c r="R17" s="31">
        <v>45677</v>
      </c>
      <c r="S17" s="68"/>
      <c r="T17" s="32">
        <v>3.069</v>
      </c>
      <c r="U17" s="38">
        <v>3.17</v>
      </c>
      <c r="V17" s="74"/>
      <c r="W17" s="34">
        <f t="shared" si="4"/>
        <v>3.17</v>
      </c>
      <c r="X17" s="34">
        <f t="shared" si="0"/>
        <v>0.2284067974125944</v>
      </c>
      <c r="Y17" s="35" t="str">
        <f t="shared" si="5"/>
        <v/>
      </c>
      <c r="Z17" s="36">
        <f t="shared" si="6"/>
        <v>1.0329097425871618</v>
      </c>
      <c r="AA17" s="6"/>
      <c r="AB17" s="37">
        <v>0.17449999999999999</v>
      </c>
      <c r="AC17" s="38">
        <v>0.20499999999999999</v>
      </c>
      <c r="AD17" s="38"/>
      <c r="AE17" s="34">
        <f t="shared" si="7"/>
        <v>0.20499999999999999</v>
      </c>
      <c r="AF17" s="34">
        <f t="shared" si="8"/>
        <v>1.622090204368394</v>
      </c>
      <c r="AG17" s="35" t="str">
        <f t="shared" si="1"/>
        <v/>
      </c>
      <c r="AH17" s="36">
        <f t="shared" si="2"/>
        <v>1.174785100286533</v>
      </c>
    </row>
    <row r="18" spans="1:34" ht="1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29">
        <f t="shared" si="3"/>
        <v>5</v>
      </c>
      <c r="Q18" s="30" t="s">
        <v>106</v>
      </c>
      <c r="R18" s="31">
        <v>45677</v>
      </c>
      <c r="S18" s="68"/>
      <c r="T18" s="32">
        <v>3.069</v>
      </c>
      <c r="U18" s="38">
        <v>3.17</v>
      </c>
      <c r="V18" s="74"/>
      <c r="W18" s="34">
        <f t="shared" si="4"/>
        <v>3.17</v>
      </c>
      <c r="X18" s="34">
        <f t="shared" si="0"/>
        <v>0.2284067974125944</v>
      </c>
      <c r="Y18" s="35" t="str">
        <f t="shared" si="5"/>
        <v/>
      </c>
      <c r="Z18" s="36">
        <f t="shared" si="6"/>
        <v>1.0329097425871618</v>
      </c>
      <c r="AA18" s="6"/>
      <c r="AB18" s="37">
        <v>0.17449999999999999</v>
      </c>
      <c r="AC18" s="38">
        <v>0.186</v>
      </c>
      <c r="AD18" s="38"/>
      <c r="AE18" s="34">
        <f t="shared" si="7"/>
        <v>0.186</v>
      </c>
      <c r="AF18" s="34">
        <f t="shared" si="8"/>
        <v>0.39237593472252796</v>
      </c>
      <c r="AG18" s="35" t="str">
        <f t="shared" si="1"/>
        <v/>
      </c>
      <c r="AH18" s="36">
        <f t="shared" si="2"/>
        <v>1.0659025787965617</v>
      </c>
    </row>
    <row r="19" spans="1:34" ht="1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29">
        <f t="shared" si="3"/>
        <v>6</v>
      </c>
      <c r="Q19" s="30" t="s">
        <v>106</v>
      </c>
      <c r="R19" s="31">
        <v>45678</v>
      </c>
      <c r="S19" s="68"/>
      <c r="T19" s="32">
        <v>3.069</v>
      </c>
      <c r="U19" s="38">
        <v>3.1669999999999998</v>
      </c>
      <c r="V19" s="74"/>
      <c r="W19" s="34">
        <f t="shared" si="4"/>
        <v>3.1669999999999998</v>
      </c>
      <c r="X19" s="34">
        <f t="shared" si="0"/>
        <v>0.24357073417027744</v>
      </c>
      <c r="Y19" s="35" t="str">
        <f t="shared" si="5"/>
        <v/>
      </c>
      <c r="Z19" s="36">
        <f t="shared" si="6"/>
        <v>1.0319322254806125</v>
      </c>
      <c r="AA19" s="6"/>
      <c r="AB19" s="37">
        <v>0.17449999999999999</v>
      </c>
      <c r="AC19" s="38">
        <v>0.185</v>
      </c>
      <c r="AD19" s="38"/>
      <c r="AE19" s="34">
        <f t="shared" si="7"/>
        <v>0.185</v>
      </c>
      <c r="AF19" s="34">
        <f t="shared" si="8"/>
        <v>0.32765413105695596</v>
      </c>
      <c r="AG19" s="35" t="str">
        <f t="shared" si="1"/>
        <v/>
      </c>
      <c r="AH19" s="36">
        <f t="shared" si="2"/>
        <v>1.0601719197707737</v>
      </c>
    </row>
    <row r="20" spans="1:34" ht="1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29">
        <f t="shared" si="3"/>
        <v>7</v>
      </c>
      <c r="Q20" s="30" t="s">
        <v>106</v>
      </c>
      <c r="R20" s="31">
        <v>45678</v>
      </c>
      <c r="S20" s="68"/>
      <c r="T20" s="32">
        <v>3.069</v>
      </c>
      <c r="U20" s="38">
        <v>3.3980000000000001</v>
      </c>
      <c r="V20" s="74"/>
      <c r="W20" s="34">
        <f t="shared" si="4"/>
        <v>3.3980000000000001</v>
      </c>
      <c r="X20" s="34">
        <f t="shared" si="0"/>
        <v>0.92405239617127566</v>
      </c>
      <c r="Y20" s="35" t="str">
        <f t="shared" si="5"/>
        <v/>
      </c>
      <c r="Z20" s="36">
        <f t="shared" si="6"/>
        <v>1.1072010426849137</v>
      </c>
      <c r="AA20" s="6"/>
      <c r="AB20" s="37">
        <v>0.17449999999999999</v>
      </c>
      <c r="AC20" s="38">
        <v>0.16</v>
      </c>
      <c r="AD20" s="38"/>
      <c r="AE20" s="34">
        <f t="shared" si="7"/>
        <v>0.16</v>
      </c>
      <c r="AF20" s="34">
        <f t="shared" si="8"/>
        <v>1.290390960582342</v>
      </c>
      <c r="AG20" s="35" t="str">
        <f t="shared" si="1"/>
        <v/>
      </c>
      <c r="AH20" s="36">
        <f t="shared" si="2"/>
        <v>0.91690544412607455</v>
      </c>
    </row>
    <row r="21" spans="1:34" ht="1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29">
        <f t="shared" si="3"/>
        <v>8</v>
      </c>
      <c r="Q21" s="30" t="s">
        <v>106</v>
      </c>
      <c r="R21" s="31">
        <v>45678</v>
      </c>
      <c r="S21" s="68"/>
      <c r="T21" s="32">
        <v>3.069</v>
      </c>
      <c r="U21" s="38">
        <v>3.157</v>
      </c>
      <c r="V21" s="74"/>
      <c r="W21" s="34">
        <f t="shared" si="4"/>
        <v>3.157</v>
      </c>
      <c r="X21" s="34">
        <f t="shared" si="0"/>
        <v>0.29411719002921799</v>
      </c>
      <c r="Y21" s="35" t="str">
        <f t="shared" si="5"/>
        <v/>
      </c>
      <c r="Z21" s="36">
        <f t="shared" si="6"/>
        <v>1.0286738351254481</v>
      </c>
      <c r="AA21" s="6"/>
      <c r="AB21" s="37">
        <v>0.17449999999999999</v>
      </c>
      <c r="AC21" s="38">
        <v>0.16300000000000001</v>
      </c>
      <c r="AD21" s="38"/>
      <c r="AE21" s="34">
        <f t="shared" si="7"/>
        <v>0.16300000000000001</v>
      </c>
      <c r="AF21" s="34">
        <f t="shared" si="8"/>
        <v>1.0962255495856261</v>
      </c>
      <c r="AG21" s="35" t="str">
        <f t="shared" si="1"/>
        <v/>
      </c>
      <c r="AH21" s="36">
        <f t="shared" si="2"/>
        <v>0.93409742120343853</v>
      </c>
    </row>
    <row r="22" spans="1:34" ht="1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29">
        <f t="shared" si="3"/>
        <v>9</v>
      </c>
      <c r="Q22" s="30" t="s">
        <v>106</v>
      </c>
      <c r="R22" s="31">
        <v>45678</v>
      </c>
      <c r="S22" s="68"/>
      <c r="T22" s="32">
        <v>3.069</v>
      </c>
      <c r="U22" s="38">
        <v>3.73</v>
      </c>
      <c r="V22" s="74"/>
      <c r="W22" s="34">
        <f t="shared" si="4"/>
        <v>3.73</v>
      </c>
      <c r="X22" s="34">
        <f t="shared" si="0"/>
        <v>2.602194730688137</v>
      </c>
      <c r="Y22" s="35">
        <f t="shared" si="5"/>
        <v>3.73</v>
      </c>
      <c r="Z22" s="36">
        <f t="shared" si="6"/>
        <v>1.2153796024763768</v>
      </c>
      <c r="AA22" s="6"/>
      <c r="AB22" s="37">
        <v>0.17449999999999999</v>
      </c>
      <c r="AC22" s="38">
        <v>0.18099999999999999</v>
      </c>
      <c r="AD22" s="38"/>
      <c r="AE22" s="34">
        <f t="shared" si="7"/>
        <v>0.18099999999999999</v>
      </c>
      <c r="AF22" s="34">
        <f t="shared" si="8"/>
        <v>6.876691639466799E-2</v>
      </c>
      <c r="AG22" s="35" t="str">
        <f t="shared" si="1"/>
        <v/>
      </c>
      <c r="AH22" s="36">
        <f t="shared" si="2"/>
        <v>1.0372492836676217</v>
      </c>
    </row>
    <row r="23" spans="1:34" ht="1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29">
        <f t="shared" si="3"/>
        <v>10</v>
      </c>
      <c r="Q23" s="30" t="s">
        <v>106</v>
      </c>
      <c r="R23" s="31">
        <v>45678</v>
      </c>
      <c r="S23" s="68"/>
      <c r="T23" s="32">
        <v>3.069</v>
      </c>
      <c r="U23" s="38">
        <v>3.1480000000000001</v>
      </c>
      <c r="V23" s="74"/>
      <c r="W23" s="34">
        <f t="shared" si="4"/>
        <v>3.1480000000000001</v>
      </c>
      <c r="X23" s="34">
        <f t="shared" si="0"/>
        <v>0.33960900030226493</v>
      </c>
      <c r="Y23" s="35" t="str">
        <f t="shared" si="5"/>
        <v/>
      </c>
      <c r="Z23" s="36">
        <f t="shared" si="6"/>
        <v>1.0257412838058</v>
      </c>
      <c r="AA23" s="6"/>
      <c r="AB23" s="37">
        <v>0.17449999999999999</v>
      </c>
      <c r="AC23" s="38">
        <v>0.17299999999999999</v>
      </c>
      <c r="AD23" s="38"/>
      <c r="AE23" s="34">
        <f t="shared" si="7"/>
        <v>0.17299999999999999</v>
      </c>
      <c r="AF23" s="34">
        <f t="shared" si="8"/>
        <v>0.44900751292990793</v>
      </c>
      <c r="AG23" s="35" t="str">
        <f t="shared" si="1"/>
        <v/>
      </c>
      <c r="AH23" s="36">
        <f t="shared" si="2"/>
        <v>0.99140401146131807</v>
      </c>
    </row>
    <row r="24" spans="1:34" ht="1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29">
        <f t="shared" si="3"/>
        <v>11</v>
      </c>
      <c r="Q24" s="30" t="s">
        <v>106</v>
      </c>
      <c r="R24" s="31">
        <v>45679</v>
      </c>
      <c r="S24" s="68"/>
      <c r="T24" s="32">
        <v>3.069</v>
      </c>
      <c r="U24" s="38">
        <v>3.18</v>
      </c>
      <c r="V24" s="74"/>
      <c r="W24" s="34">
        <f t="shared" si="4"/>
        <v>3.18</v>
      </c>
      <c r="X24" s="34">
        <f t="shared" si="0"/>
        <v>0.1778603415536516</v>
      </c>
      <c r="Y24" s="35" t="str">
        <f t="shared" si="5"/>
        <v/>
      </c>
      <c r="Z24" s="36">
        <f t="shared" si="6"/>
        <v>1.0361681329423265</v>
      </c>
      <c r="AA24" s="6"/>
      <c r="AB24" s="37">
        <v>0.17449999999999999</v>
      </c>
      <c r="AC24" s="38">
        <v>0.17299999999999999</v>
      </c>
      <c r="AD24" s="38"/>
      <c r="AE24" s="34">
        <f t="shared" si="7"/>
        <v>0.17299999999999999</v>
      </c>
      <c r="AF24" s="34">
        <f t="shared" si="8"/>
        <v>0.44900751292990793</v>
      </c>
      <c r="AG24" s="35" t="str">
        <f t="shared" si="1"/>
        <v/>
      </c>
      <c r="AH24" s="36">
        <f t="shared" si="2"/>
        <v>0.99140401146131807</v>
      </c>
    </row>
    <row r="25" spans="1:34" ht="1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29">
        <f t="shared" si="3"/>
        <v>12</v>
      </c>
      <c r="Q25" s="30" t="s">
        <v>106</v>
      </c>
      <c r="R25" s="31">
        <v>45679</v>
      </c>
      <c r="S25" s="68"/>
      <c r="T25" s="32">
        <v>3.069</v>
      </c>
      <c r="U25" s="38">
        <v>3.145</v>
      </c>
      <c r="V25" s="74"/>
      <c r="W25" s="34">
        <f t="shared" si="4"/>
        <v>3.145</v>
      </c>
      <c r="X25" s="34">
        <f t="shared" si="0"/>
        <v>0.354772937059948</v>
      </c>
      <c r="Y25" s="35" t="str">
        <f t="shared" si="5"/>
        <v/>
      </c>
      <c r="Z25" s="36">
        <f t="shared" si="6"/>
        <v>1.0247637666992506</v>
      </c>
      <c r="AA25" s="6"/>
      <c r="AB25" s="37">
        <v>0.17449999999999999</v>
      </c>
      <c r="AC25" s="38">
        <v>0.16900000000000001</v>
      </c>
      <c r="AD25" s="38"/>
      <c r="AE25" s="34">
        <f t="shared" si="7"/>
        <v>0.16900000000000001</v>
      </c>
      <c r="AF25" s="34">
        <f t="shared" si="8"/>
        <v>0.70789472759219407</v>
      </c>
      <c r="AG25" s="35" t="str">
        <f t="shared" si="1"/>
        <v/>
      </c>
      <c r="AH25" s="36">
        <f t="shared" si="2"/>
        <v>0.96848137535816636</v>
      </c>
    </row>
    <row r="26" spans="1:34" ht="1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29">
        <f t="shared" si="3"/>
        <v>13</v>
      </c>
      <c r="Q26" s="30" t="s">
        <v>106</v>
      </c>
      <c r="R26" s="31">
        <v>45679</v>
      </c>
      <c r="S26" s="68"/>
      <c r="T26" s="32">
        <v>3.069</v>
      </c>
      <c r="U26" s="38">
        <v>3.35</v>
      </c>
      <c r="V26" s="74"/>
      <c r="W26" s="34">
        <f t="shared" si="4"/>
        <v>3.35</v>
      </c>
      <c r="X26" s="34">
        <f t="shared" si="0"/>
        <v>0.68142940804835561</v>
      </c>
      <c r="Y26" s="35" t="str">
        <f t="shared" si="5"/>
        <v/>
      </c>
      <c r="Z26" s="36">
        <f t="shared" si="6"/>
        <v>1.0915607689801239</v>
      </c>
      <c r="AA26" s="6"/>
      <c r="AB26" s="37">
        <v>0.17449999999999999</v>
      </c>
      <c r="AC26" s="38">
        <v>0.192</v>
      </c>
      <c r="AD26" s="38"/>
      <c r="AE26" s="34">
        <f t="shared" si="7"/>
        <v>0.192</v>
      </c>
      <c r="AF26" s="34">
        <f t="shared" si="8"/>
        <v>0.7807067567159599</v>
      </c>
      <c r="AG26" s="35" t="str">
        <f t="shared" si="1"/>
        <v/>
      </c>
      <c r="AH26" s="36">
        <f t="shared" si="2"/>
        <v>1.1002865329512894</v>
      </c>
    </row>
    <row r="27" spans="1:34" ht="1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29">
        <f t="shared" si="3"/>
        <v>14</v>
      </c>
      <c r="Q27" s="30" t="s">
        <v>106</v>
      </c>
      <c r="R27" s="31">
        <v>45679</v>
      </c>
      <c r="S27" s="68"/>
      <c r="T27" s="32">
        <v>3.069</v>
      </c>
      <c r="U27" s="38">
        <v>3.32</v>
      </c>
      <c r="V27" s="74"/>
      <c r="W27" s="34">
        <f t="shared" si="4"/>
        <v>3.32</v>
      </c>
      <c r="X27" s="34">
        <f t="shared" si="0"/>
        <v>0.52979004047152956</v>
      </c>
      <c r="Y27" s="35" t="str">
        <f t="shared" si="5"/>
        <v/>
      </c>
      <c r="Z27" s="36">
        <f t="shared" si="6"/>
        <v>1.0817855979146302</v>
      </c>
      <c r="AA27" s="6"/>
      <c r="AB27" s="37">
        <v>0.17449999999999999</v>
      </c>
      <c r="AC27" s="38">
        <v>0.17199999999999999</v>
      </c>
      <c r="AD27" s="38"/>
      <c r="AE27" s="34">
        <f t="shared" si="7"/>
        <v>0.17199999999999999</v>
      </c>
      <c r="AF27" s="34">
        <f t="shared" si="8"/>
        <v>0.51372931659547993</v>
      </c>
      <c r="AG27" s="35" t="str">
        <f t="shared" si="1"/>
        <v/>
      </c>
      <c r="AH27" s="36">
        <f t="shared" si="2"/>
        <v>0.98567335243553011</v>
      </c>
    </row>
    <row r="28" spans="1:34" ht="1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29">
        <f t="shared" si="3"/>
        <v>15</v>
      </c>
      <c r="Q28" s="30" t="s">
        <v>106</v>
      </c>
      <c r="R28" s="31">
        <v>45679</v>
      </c>
      <c r="S28" s="68"/>
      <c r="T28" s="32">
        <v>3.069</v>
      </c>
      <c r="U28" s="38">
        <v>2.96</v>
      </c>
      <c r="V28" s="74"/>
      <c r="W28" s="34">
        <f t="shared" si="4"/>
        <v>2.96</v>
      </c>
      <c r="X28" s="34">
        <f t="shared" si="0"/>
        <v>1.2898823704503684</v>
      </c>
      <c r="Y28" s="35" t="str">
        <f t="shared" si="5"/>
        <v/>
      </c>
      <c r="Z28" s="36">
        <f t="shared" si="6"/>
        <v>0.96448354512870638</v>
      </c>
      <c r="AA28" s="6"/>
      <c r="AB28" s="37">
        <v>0.17449999999999999</v>
      </c>
      <c r="AC28" s="38">
        <v>0.159</v>
      </c>
      <c r="AD28" s="38"/>
      <c r="AE28" s="34">
        <f t="shared" si="7"/>
        <v>0.159</v>
      </c>
      <c r="AF28" s="34">
        <f t="shared" si="8"/>
        <v>1.3551127642479139</v>
      </c>
      <c r="AG28" s="35" t="str">
        <f t="shared" si="1"/>
        <v/>
      </c>
      <c r="AH28" s="36">
        <f t="shared" si="2"/>
        <v>0.9111747851002866</v>
      </c>
    </row>
    <row r="29" spans="1:34" ht="1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 t="s">
        <v>107</v>
      </c>
      <c r="O29" s="8"/>
      <c r="P29" s="29">
        <f t="shared" si="3"/>
        <v>16</v>
      </c>
      <c r="Q29" s="30" t="s">
        <v>106</v>
      </c>
      <c r="R29" s="31">
        <v>45681</v>
      </c>
      <c r="S29" s="68"/>
      <c r="T29" s="32">
        <v>3.069</v>
      </c>
      <c r="U29" s="38">
        <v>3.5760000000000001</v>
      </c>
      <c r="V29" s="74"/>
      <c r="W29" s="34">
        <f t="shared" si="4"/>
        <v>3.5760000000000001</v>
      </c>
      <c r="X29" s="34">
        <f t="shared" si="0"/>
        <v>1.8237793104604363</v>
      </c>
      <c r="Y29" s="35" t="str">
        <f t="shared" si="5"/>
        <v/>
      </c>
      <c r="Z29" s="36">
        <f t="shared" si="6"/>
        <v>1.1652003910068427</v>
      </c>
      <c r="AA29" s="6"/>
      <c r="AB29" s="37">
        <v>0.17449999999999999</v>
      </c>
      <c r="AC29" s="38">
        <v>0.16300000000000001</v>
      </c>
      <c r="AD29" s="38"/>
      <c r="AE29" s="34">
        <f t="shared" si="7"/>
        <v>0.16300000000000001</v>
      </c>
      <c r="AF29" s="34">
        <f t="shared" si="8"/>
        <v>1.0962255495856261</v>
      </c>
      <c r="AG29" s="35" t="str">
        <f t="shared" si="1"/>
        <v/>
      </c>
      <c r="AH29" s="36">
        <f t="shared" si="2"/>
        <v>0.93409742120343853</v>
      </c>
    </row>
    <row r="30" spans="1:34" ht="1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29">
        <f t="shared" si="3"/>
        <v>17</v>
      </c>
      <c r="Q30" s="30" t="s">
        <v>106</v>
      </c>
      <c r="R30" s="31">
        <v>45681</v>
      </c>
      <c r="S30" s="68"/>
      <c r="T30" s="32">
        <v>3.069</v>
      </c>
      <c r="U30" s="38">
        <v>3.0409999999999999</v>
      </c>
      <c r="V30" s="74"/>
      <c r="W30" s="34">
        <f t="shared" si="4"/>
        <v>3.0409999999999999</v>
      </c>
      <c r="X30" s="34">
        <f t="shared" si="0"/>
        <v>0.88045607799294134</v>
      </c>
      <c r="Y30" s="35" t="str">
        <f t="shared" si="5"/>
        <v/>
      </c>
      <c r="Z30" s="36">
        <f t="shared" si="6"/>
        <v>0.99087650700553931</v>
      </c>
      <c r="AA30" s="6"/>
      <c r="AB30" s="37">
        <v>0.17449999999999999</v>
      </c>
      <c r="AC30" s="38">
        <v>0.18</v>
      </c>
      <c r="AD30" s="38"/>
      <c r="AE30" s="34">
        <f t="shared" si="7"/>
        <v>0.18</v>
      </c>
      <c r="AF30" s="34">
        <f t="shared" si="8"/>
        <v>4.0451127290960041E-3</v>
      </c>
      <c r="AG30" s="35" t="str">
        <f t="shared" si="1"/>
        <v/>
      </c>
      <c r="AH30" s="36">
        <f t="shared" si="2"/>
        <v>1.0315186246418337</v>
      </c>
    </row>
    <row r="31" spans="1:34" ht="1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29">
        <f t="shared" si="3"/>
        <v>18</v>
      </c>
      <c r="Q31" s="30" t="s">
        <v>106</v>
      </c>
      <c r="R31" s="31">
        <v>45681</v>
      </c>
      <c r="S31" s="68"/>
      <c r="T31" s="32">
        <v>3.069</v>
      </c>
      <c r="U31" s="38">
        <v>3.3519999999999999</v>
      </c>
      <c r="V31" s="74"/>
      <c r="W31" s="34">
        <f t="shared" si="4"/>
        <v>3.3519999999999999</v>
      </c>
      <c r="X31" s="34">
        <f t="shared" si="0"/>
        <v>0.69153869922014288</v>
      </c>
      <c r="Y31" s="35" t="str">
        <f t="shared" si="5"/>
        <v/>
      </c>
      <c r="Z31" s="36">
        <f t="shared" si="6"/>
        <v>1.0922124470511567</v>
      </c>
      <c r="AA31" s="6"/>
      <c r="AB31" s="37">
        <v>0.17449999999999999</v>
      </c>
      <c r="AC31" s="38">
        <v>0.18099999999999999</v>
      </c>
      <c r="AD31" s="38"/>
      <c r="AE31" s="34">
        <f t="shared" si="7"/>
        <v>0.18099999999999999</v>
      </c>
      <c r="AF31" s="34">
        <f t="shared" si="8"/>
        <v>6.876691639466799E-2</v>
      </c>
      <c r="AG31" s="35" t="str">
        <f t="shared" si="1"/>
        <v/>
      </c>
      <c r="AH31" s="36">
        <f t="shared" si="2"/>
        <v>1.0372492836676217</v>
      </c>
    </row>
    <row r="32" spans="1:34" ht="1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29">
        <f t="shared" si="3"/>
        <v>19</v>
      </c>
      <c r="Q32" s="30" t="s">
        <v>106</v>
      </c>
      <c r="R32" s="31">
        <v>45681</v>
      </c>
      <c r="S32" s="68"/>
      <c r="T32" s="32">
        <v>3.069</v>
      </c>
      <c r="U32" s="38">
        <v>3.04</v>
      </c>
      <c r="V32" s="74"/>
      <c r="W32" s="34">
        <f t="shared" si="4"/>
        <v>3.04</v>
      </c>
      <c r="X32" s="34">
        <f t="shared" si="0"/>
        <v>0.88551072357883498</v>
      </c>
      <c r="Y32" s="35" t="str">
        <f t="shared" si="5"/>
        <v/>
      </c>
      <c r="Z32" s="36">
        <f t="shared" si="6"/>
        <v>0.99055066797002289</v>
      </c>
      <c r="AA32" s="6"/>
      <c r="AB32" s="37">
        <v>0.17449999999999999</v>
      </c>
      <c r="AC32" s="38">
        <v>0.185</v>
      </c>
      <c r="AD32" s="38"/>
      <c r="AE32" s="34">
        <f t="shared" si="7"/>
        <v>0.185</v>
      </c>
      <c r="AF32" s="34">
        <f t="shared" si="8"/>
        <v>0.32765413105695596</v>
      </c>
      <c r="AG32" s="35" t="str">
        <f t="shared" si="1"/>
        <v/>
      </c>
      <c r="AH32" s="36">
        <f t="shared" si="2"/>
        <v>1.0601719197707737</v>
      </c>
    </row>
    <row r="33" spans="1:34" ht="1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29">
        <f t="shared" si="3"/>
        <v>20</v>
      </c>
      <c r="Q33" s="30" t="s">
        <v>106</v>
      </c>
      <c r="R33" s="31">
        <v>45681</v>
      </c>
      <c r="S33" s="68"/>
      <c r="T33" s="32">
        <v>3.069</v>
      </c>
      <c r="U33" s="38">
        <v>2.8319999999999999</v>
      </c>
      <c r="V33" s="74"/>
      <c r="W33" s="34">
        <f t="shared" si="4"/>
        <v>2.8319999999999999</v>
      </c>
      <c r="X33" s="34">
        <f t="shared" si="0"/>
        <v>1.9368770054448217</v>
      </c>
      <c r="Y33" s="35" t="str">
        <f t="shared" si="5"/>
        <v/>
      </c>
      <c r="Z33" s="36">
        <f t="shared" si="6"/>
        <v>0.92277614858260015</v>
      </c>
      <c r="AA33" s="6"/>
      <c r="AB33" s="37">
        <v>0.17449999999999999</v>
      </c>
      <c r="AC33" s="38">
        <v>0.17599999999999999</v>
      </c>
      <c r="AD33" s="38"/>
      <c r="AE33" s="34">
        <f t="shared" si="7"/>
        <v>0.17599999999999999</v>
      </c>
      <c r="AF33" s="34">
        <f t="shared" si="8"/>
        <v>0.25484210193319196</v>
      </c>
      <c r="AG33" s="35" t="str">
        <f t="shared" si="1"/>
        <v/>
      </c>
      <c r="AH33" s="36">
        <f t="shared" si="2"/>
        <v>1.0085959885386819</v>
      </c>
    </row>
    <row r="34" spans="1:34" ht="1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29">
        <f t="shared" si="3"/>
        <v>21</v>
      </c>
      <c r="Q34" s="30" t="s">
        <v>108</v>
      </c>
      <c r="R34" s="31">
        <v>45743</v>
      </c>
      <c r="S34" s="68"/>
      <c r="T34" s="39">
        <v>3.347</v>
      </c>
      <c r="U34" s="38">
        <v>3.47</v>
      </c>
      <c r="V34" s="74"/>
      <c r="W34" s="34">
        <f t="shared" si="4"/>
        <v>3.47</v>
      </c>
      <c r="X34" s="34">
        <f t="shared" si="0"/>
        <v>1.2879868783556556</v>
      </c>
      <c r="Y34" s="35" t="str">
        <f t="shared" si="5"/>
        <v/>
      </c>
      <c r="Z34" s="36">
        <f t="shared" si="6"/>
        <v>1.0367493277561997</v>
      </c>
      <c r="AA34" s="6"/>
      <c r="AB34" s="37">
        <v>0.1862</v>
      </c>
      <c r="AC34" s="38">
        <v>0.17</v>
      </c>
      <c r="AD34" s="38"/>
      <c r="AE34" s="34">
        <f t="shared" si="7"/>
        <v>0.17</v>
      </c>
      <c r="AF34" s="34">
        <f t="shared" si="8"/>
        <v>0.64317292392662206</v>
      </c>
      <c r="AG34" s="35" t="str">
        <f t="shared" si="1"/>
        <v/>
      </c>
      <c r="AH34" s="36">
        <f t="shared" si="2"/>
        <v>0.91299677765843179</v>
      </c>
    </row>
    <row r="35" spans="1:34" ht="1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29">
        <f t="shared" si="3"/>
        <v>22</v>
      </c>
      <c r="Q35" s="30" t="s">
        <v>108</v>
      </c>
      <c r="R35" s="31">
        <v>45743</v>
      </c>
      <c r="S35" s="68"/>
      <c r="T35" s="39">
        <v>3.347</v>
      </c>
      <c r="U35" s="38">
        <v>3.2679999999999998</v>
      </c>
      <c r="V35" s="74"/>
      <c r="W35" s="34">
        <f t="shared" si="4"/>
        <v>3.2679999999999998</v>
      </c>
      <c r="X35" s="34">
        <f t="shared" si="0"/>
        <v>0.26694847000503286</v>
      </c>
      <c r="Y35" s="35" t="str">
        <f t="shared" si="5"/>
        <v/>
      </c>
      <c r="Z35" s="36">
        <f t="shared" si="6"/>
        <v>0.97639677322975793</v>
      </c>
      <c r="AA35" s="6"/>
      <c r="AB35" s="37">
        <v>0.1862</v>
      </c>
      <c r="AC35" s="38">
        <v>0.17100000000000001</v>
      </c>
      <c r="AD35" s="38"/>
      <c r="AE35" s="34">
        <f t="shared" si="7"/>
        <v>0.17100000000000001</v>
      </c>
      <c r="AF35" s="34">
        <f t="shared" si="8"/>
        <v>0.57845112026105017</v>
      </c>
      <c r="AG35" s="35" t="str">
        <f t="shared" si="1"/>
        <v/>
      </c>
      <c r="AH35" s="36">
        <f t="shared" si="2"/>
        <v>0.91836734693877553</v>
      </c>
    </row>
    <row r="36" spans="1:34" ht="1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29">
        <f t="shared" si="3"/>
        <v>23</v>
      </c>
      <c r="Q36" s="30" t="s">
        <v>108</v>
      </c>
      <c r="R36" s="31">
        <v>45772</v>
      </c>
      <c r="S36" s="68"/>
      <c r="T36" s="39">
        <v>3.347</v>
      </c>
      <c r="U36" s="38">
        <v>2.9357000000000002</v>
      </c>
      <c r="V36" s="74"/>
      <c r="W36" s="34">
        <f t="shared" si="4"/>
        <v>2.9357000000000002</v>
      </c>
      <c r="X36" s="34">
        <f t="shared" si="0"/>
        <v>1.4127102581875952</v>
      </c>
      <c r="Y36" s="35" t="str">
        <f t="shared" si="5"/>
        <v/>
      </c>
      <c r="Z36" s="36">
        <f t="shared" si="6"/>
        <v>0.87711383328353754</v>
      </c>
      <c r="AA36" s="6"/>
      <c r="AB36" s="37">
        <v>0.1862</v>
      </c>
      <c r="AC36" s="38">
        <v>0.19040000000000001</v>
      </c>
      <c r="AD36" s="38"/>
      <c r="AE36" s="34">
        <f t="shared" si="7"/>
        <v>0.19040000000000001</v>
      </c>
      <c r="AF36" s="34">
        <f t="shared" si="8"/>
        <v>0.67715187085104545</v>
      </c>
      <c r="AG36" s="35" t="str">
        <f t="shared" si="1"/>
        <v/>
      </c>
      <c r="AH36" s="36">
        <f t="shared" si="2"/>
        <v>1.0225563909774436</v>
      </c>
    </row>
    <row r="37" spans="1:34" ht="1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29">
        <f t="shared" si="3"/>
        <v>24</v>
      </c>
      <c r="Q37" s="30" t="s">
        <v>108</v>
      </c>
      <c r="R37" s="31">
        <v>45772</v>
      </c>
      <c r="S37" s="68"/>
      <c r="T37" s="39">
        <v>3.347</v>
      </c>
      <c r="U37" s="38">
        <v>3.0939999999999999</v>
      </c>
      <c r="V37" s="74"/>
      <c r="W37" s="34">
        <f t="shared" si="4"/>
        <v>3.0939999999999999</v>
      </c>
      <c r="X37" s="34">
        <f t="shared" si="0"/>
        <v>0.61255986194055112</v>
      </c>
      <c r="Y37" s="35" t="str">
        <f t="shared" si="5"/>
        <v/>
      </c>
      <c r="Z37" s="36">
        <f t="shared" si="6"/>
        <v>0.9244099193307439</v>
      </c>
      <c r="AA37" s="6"/>
      <c r="AB37" s="37">
        <v>0.1862</v>
      </c>
      <c r="AC37" s="38">
        <v>0.14779999999999999</v>
      </c>
      <c r="AD37" s="38"/>
      <c r="AE37" s="34">
        <f t="shared" si="7"/>
        <v>0.14779999999999999</v>
      </c>
      <c r="AF37" s="34">
        <f t="shared" si="8"/>
        <v>2.0799969653023207</v>
      </c>
      <c r="AG37" s="35">
        <f t="shared" si="1"/>
        <v>0.14779999999999999</v>
      </c>
      <c r="AH37" s="36">
        <f t="shared" si="2"/>
        <v>0.79377013963480125</v>
      </c>
    </row>
    <row r="38" spans="1:34" ht="1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29">
        <f t="shared" si="3"/>
        <v>25</v>
      </c>
      <c r="Q38" s="30" t="s">
        <v>108</v>
      </c>
      <c r="R38" s="31">
        <v>45785</v>
      </c>
      <c r="S38" s="68"/>
      <c r="T38" s="39">
        <v>3.347</v>
      </c>
      <c r="U38" s="38">
        <v>2.9047999999999998</v>
      </c>
      <c r="V38" s="74"/>
      <c r="W38" s="34">
        <f t="shared" si="4"/>
        <v>2.9047999999999998</v>
      </c>
      <c r="X38" s="34">
        <f t="shared" si="0"/>
        <v>1.5688988067917269</v>
      </c>
      <c r="Y38" s="35" t="str">
        <f t="shared" si="5"/>
        <v/>
      </c>
      <c r="Z38" s="36">
        <f t="shared" si="6"/>
        <v>0.86788168509112629</v>
      </c>
      <c r="AA38" s="6"/>
      <c r="AB38" s="37">
        <v>0.1862</v>
      </c>
      <c r="AC38" s="38">
        <v>0.17169999999999999</v>
      </c>
      <c r="AD38" s="38"/>
      <c r="AE38" s="34">
        <f t="shared" si="7"/>
        <v>0.17169999999999999</v>
      </c>
      <c r="AF38" s="34">
        <f t="shared" si="8"/>
        <v>0.53314585769515122</v>
      </c>
      <c r="AG38" s="35" t="str">
        <f t="shared" si="1"/>
        <v/>
      </c>
      <c r="AH38" s="36">
        <f t="shared" si="2"/>
        <v>0.92212674543501605</v>
      </c>
    </row>
    <row r="39" spans="1:34" ht="1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29">
        <f t="shared" si="3"/>
        <v>26</v>
      </c>
      <c r="Q39" s="30" t="s">
        <v>108</v>
      </c>
      <c r="R39" s="31">
        <v>45785</v>
      </c>
      <c r="S39" s="68"/>
      <c r="T39" s="39">
        <v>3.347</v>
      </c>
      <c r="U39" s="38">
        <v>2.9350000000000001</v>
      </c>
      <c r="V39" s="74"/>
      <c r="W39" s="34">
        <f t="shared" si="4"/>
        <v>2.9350000000000001</v>
      </c>
      <c r="X39" s="34">
        <f t="shared" si="0"/>
        <v>1.416248510097722</v>
      </c>
      <c r="Y39" s="35" t="str">
        <f t="shared" si="5"/>
        <v/>
      </c>
      <c r="Z39" s="36">
        <f t="shared" si="6"/>
        <v>0.87690469076785182</v>
      </c>
      <c r="AA39" s="6"/>
      <c r="AB39" s="37">
        <v>0.1862</v>
      </c>
      <c r="AC39" s="38">
        <v>0.16159999999999999</v>
      </c>
      <c r="AD39" s="38"/>
      <c r="AE39" s="34">
        <f t="shared" si="7"/>
        <v>0.16159999999999999</v>
      </c>
      <c r="AF39" s="34">
        <f t="shared" si="8"/>
        <v>1.1868360747174276</v>
      </c>
      <c r="AG39" s="35" t="str">
        <f t="shared" si="1"/>
        <v/>
      </c>
      <c r="AH39" s="36">
        <f t="shared" si="2"/>
        <v>0.86788399570354458</v>
      </c>
    </row>
    <row r="40" spans="1:34" ht="1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29">
        <f t="shared" si="3"/>
        <v>27</v>
      </c>
      <c r="Q40" s="30" t="s">
        <v>109</v>
      </c>
      <c r="R40" s="31">
        <v>45793</v>
      </c>
      <c r="S40" s="68"/>
      <c r="T40" s="39">
        <v>3.347</v>
      </c>
      <c r="U40" s="38">
        <v>3.2810000000000001</v>
      </c>
      <c r="V40" s="74"/>
      <c r="W40" s="34">
        <f t="shared" si="4"/>
        <v>3.2810000000000001</v>
      </c>
      <c r="X40" s="34">
        <f t="shared" si="0"/>
        <v>0.33265886262165872</v>
      </c>
      <c r="Y40" s="35" t="str">
        <f t="shared" si="5"/>
        <v/>
      </c>
      <c r="Z40" s="36">
        <f t="shared" si="6"/>
        <v>0.98028084852106367</v>
      </c>
      <c r="AA40" s="6"/>
      <c r="AB40" s="37">
        <v>0.1862</v>
      </c>
      <c r="AC40" s="38">
        <v>0.188</v>
      </c>
      <c r="AD40" s="38"/>
      <c r="AE40" s="34">
        <f t="shared" si="7"/>
        <v>0.188</v>
      </c>
      <c r="AF40" s="34">
        <f t="shared" si="8"/>
        <v>0.52181954205367198</v>
      </c>
      <c r="AG40" s="35" t="str">
        <f t="shared" si="1"/>
        <v/>
      </c>
      <c r="AH40" s="36">
        <f t="shared" si="2"/>
        <v>1.0096670247046187</v>
      </c>
    </row>
    <row r="41" spans="1:34" ht="1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29">
        <f t="shared" si="3"/>
        <v>28</v>
      </c>
      <c r="Q41" s="30" t="s">
        <v>109</v>
      </c>
      <c r="R41" s="31">
        <v>45793</v>
      </c>
      <c r="S41" s="68"/>
      <c r="T41" s="39">
        <v>3.347</v>
      </c>
      <c r="U41" s="38">
        <v>3.32</v>
      </c>
      <c r="V41" s="74"/>
      <c r="W41" s="34">
        <f t="shared" si="4"/>
        <v>3.32</v>
      </c>
      <c r="X41" s="34">
        <f t="shared" si="0"/>
        <v>0.52979004047152956</v>
      </c>
      <c r="Y41" s="35" t="str">
        <f t="shared" si="5"/>
        <v/>
      </c>
      <c r="Z41" s="36">
        <f t="shared" si="6"/>
        <v>0.99193307439498057</v>
      </c>
      <c r="AA41" s="6"/>
      <c r="AB41" s="37">
        <v>0.1862</v>
      </c>
      <c r="AC41" s="38">
        <v>0.183</v>
      </c>
      <c r="AD41" s="38"/>
      <c r="AE41" s="34">
        <f t="shared" si="7"/>
        <v>0.183</v>
      </c>
      <c r="AF41" s="34">
        <f t="shared" si="8"/>
        <v>0.19821052372581197</v>
      </c>
      <c r="AG41" s="35" t="str">
        <f t="shared" si="1"/>
        <v/>
      </c>
      <c r="AH41" s="36">
        <f t="shared" si="2"/>
        <v>0.98281417830290008</v>
      </c>
    </row>
    <row r="42" spans="1:34" ht="1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29">
        <f t="shared" si="3"/>
        <v>29</v>
      </c>
      <c r="Q42" s="30" t="s">
        <v>108</v>
      </c>
      <c r="R42" s="31">
        <v>45804</v>
      </c>
      <c r="S42" s="68"/>
      <c r="T42" s="39">
        <v>3.347</v>
      </c>
      <c r="U42" s="38">
        <v>3.121</v>
      </c>
      <c r="V42" s="74"/>
      <c r="W42" s="34">
        <f t="shared" si="4"/>
        <v>3.121</v>
      </c>
      <c r="X42" s="34">
        <f t="shared" si="0"/>
        <v>0.47608443112140802</v>
      </c>
      <c r="Y42" s="35" t="str">
        <f t="shared" si="5"/>
        <v/>
      </c>
      <c r="Z42" s="36">
        <f t="shared" si="6"/>
        <v>0.93247684493576333</v>
      </c>
      <c r="AA42" s="6"/>
      <c r="AB42" s="37">
        <v>0.1862</v>
      </c>
      <c r="AC42" s="38">
        <v>0.18099999999999999</v>
      </c>
      <c r="AD42" s="38"/>
      <c r="AE42" s="34">
        <f t="shared" si="7"/>
        <v>0.18099999999999999</v>
      </c>
      <c r="AF42" s="34">
        <f t="shared" si="8"/>
        <v>6.876691639466799E-2</v>
      </c>
      <c r="AG42" s="35" t="str">
        <f t="shared" si="1"/>
        <v/>
      </c>
      <c r="AH42" s="36">
        <f t="shared" si="2"/>
        <v>0.9720730397422126</v>
      </c>
    </row>
    <row r="43" spans="1:34" ht="1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29">
        <f t="shared" si="3"/>
        <v>30</v>
      </c>
      <c r="Q43" s="30" t="s">
        <v>108</v>
      </c>
      <c r="R43" s="31">
        <v>45804</v>
      </c>
      <c r="S43" s="68"/>
      <c r="T43" s="39">
        <v>3.347</v>
      </c>
      <c r="U43" s="38">
        <v>2.879</v>
      </c>
      <c r="V43" s="74"/>
      <c r="W43" s="34">
        <f t="shared" si="4"/>
        <v>2.879</v>
      </c>
      <c r="X43" s="34">
        <f t="shared" si="0"/>
        <v>1.6993086629077954</v>
      </c>
      <c r="Y43" s="35" t="str">
        <f t="shared" si="5"/>
        <v/>
      </c>
      <c r="Z43" s="36">
        <f t="shared" si="6"/>
        <v>0.86017328951299676</v>
      </c>
      <c r="AA43" s="6"/>
      <c r="AB43" s="37">
        <v>0.1862</v>
      </c>
      <c r="AC43" s="38">
        <v>0.17199999999999999</v>
      </c>
      <c r="AD43" s="38"/>
      <c r="AE43" s="34">
        <f t="shared" si="7"/>
        <v>0.17199999999999999</v>
      </c>
      <c r="AF43" s="34">
        <f t="shared" si="8"/>
        <v>0.51372931659547993</v>
      </c>
      <c r="AG43" s="35" t="str">
        <f t="shared" si="1"/>
        <v/>
      </c>
      <c r="AH43" s="36">
        <f t="shared" si="2"/>
        <v>0.92373791621911916</v>
      </c>
    </row>
    <row r="44" spans="1:34" ht="1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29">
        <f t="shared" si="3"/>
        <v>31</v>
      </c>
      <c r="Q44" s="30" t="s">
        <v>108</v>
      </c>
      <c r="R44" s="31">
        <v>45825</v>
      </c>
      <c r="S44" s="68"/>
      <c r="T44" s="39">
        <v>3.347</v>
      </c>
      <c r="U44" s="38">
        <v>3.3879999999999999</v>
      </c>
      <c r="V44" s="74"/>
      <c r="W44" s="34">
        <f t="shared" si="4"/>
        <v>3.3879999999999999</v>
      </c>
      <c r="X44" s="34">
        <f t="shared" si="0"/>
        <v>0.87350594031233286</v>
      </c>
      <c r="Y44" s="35" t="str">
        <f t="shared" si="5"/>
        <v/>
      </c>
      <c r="Z44" s="36">
        <f t="shared" si="6"/>
        <v>1.0122497759187332</v>
      </c>
      <c r="AA44" s="6"/>
      <c r="AB44" s="37">
        <v>0.1862</v>
      </c>
      <c r="AC44" s="38">
        <v>0.19500000000000001</v>
      </c>
      <c r="AD44" s="38"/>
      <c r="AE44" s="34">
        <f t="shared" si="7"/>
        <v>0.19500000000000001</v>
      </c>
      <c r="AF44" s="34">
        <f t="shared" si="8"/>
        <v>0.97487216771267582</v>
      </c>
      <c r="AG44" s="35" t="str">
        <f t="shared" si="1"/>
        <v/>
      </c>
      <c r="AH44" s="36">
        <f t="shared" si="2"/>
        <v>1.0472610096670247</v>
      </c>
    </row>
    <row r="45" spans="1:34" ht="1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29">
        <f t="shared" si="3"/>
        <v>32</v>
      </c>
      <c r="Q45" s="30" t="s">
        <v>108</v>
      </c>
      <c r="R45" s="31">
        <v>45825</v>
      </c>
      <c r="S45" s="68"/>
      <c r="T45" s="39">
        <v>3.347</v>
      </c>
      <c r="U45" s="38">
        <v>3.1309999999999998</v>
      </c>
      <c r="V45" s="74"/>
      <c r="W45" s="34">
        <f t="shared" si="4"/>
        <v>3.1309999999999998</v>
      </c>
      <c r="X45" s="34">
        <f t="shared" si="0"/>
        <v>0.42553797526246745</v>
      </c>
      <c r="Y45" s="35" t="str">
        <f t="shared" si="5"/>
        <v/>
      </c>
      <c r="Z45" s="36">
        <f t="shared" si="6"/>
        <v>0.93546459515984459</v>
      </c>
      <c r="AA45" s="6"/>
      <c r="AB45" s="37">
        <v>0.1862</v>
      </c>
      <c r="AC45" s="38">
        <v>0.186</v>
      </c>
      <c r="AD45" s="38"/>
      <c r="AE45" s="34">
        <f t="shared" si="7"/>
        <v>0.186</v>
      </c>
      <c r="AF45" s="34">
        <f t="shared" si="8"/>
        <v>0.39237593472252796</v>
      </c>
      <c r="AG45" s="35" t="str">
        <f t="shared" si="1"/>
        <v/>
      </c>
      <c r="AH45" s="36">
        <f t="shared" si="2"/>
        <v>0.99892588614393119</v>
      </c>
    </row>
    <row r="46" spans="1:34" ht="1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29">
        <f t="shared" si="3"/>
        <v>33</v>
      </c>
      <c r="Q46" s="30" t="s">
        <v>108</v>
      </c>
      <c r="R46" s="31">
        <v>45825</v>
      </c>
      <c r="S46" s="68"/>
      <c r="T46" s="39">
        <v>3.347</v>
      </c>
      <c r="U46" s="38">
        <v>3.468</v>
      </c>
      <c r="V46" s="74"/>
      <c r="W46" s="34">
        <f t="shared" si="4"/>
        <v>3.468</v>
      </c>
      <c r="X46" s="34">
        <f t="shared" si="0"/>
        <v>1.2778775871838661</v>
      </c>
      <c r="Y46" s="35" t="str">
        <f t="shared" si="5"/>
        <v/>
      </c>
      <c r="Z46" s="36">
        <f t="shared" si="6"/>
        <v>1.0361517777113833</v>
      </c>
      <c r="AA46" s="6"/>
      <c r="AB46" s="37">
        <v>0.1862</v>
      </c>
      <c r="AC46" s="38">
        <v>0.17399999999999999</v>
      </c>
      <c r="AD46" s="38"/>
      <c r="AE46" s="34">
        <f t="shared" si="7"/>
        <v>0.17399999999999999</v>
      </c>
      <c r="AF46" s="34">
        <f t="shared" si="8"/>
        <v>0.38428570926433592</v>
      </c>
      <c r="AG46" s="35" t="str">
        <f t="shared" si="1"/>
        <v/>
      </c>
      <c r="AH46" s="36">
        <f t="shared" si="2"/>
        <v>0.93447905477980653</v>
      </c>
    </row>
    <row r="47" spans="1:34" ht="1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29">
        <f t="shared" si="3"/>
        <v>34</v>
      </c>
      <c r="Q47" s="30" t="s">
        <v>108</v>
      </c>
      <c r="R47" s="31">
        <v>45825</v>
      </c>
      <c r="S47" s="68"/>
      <c r="T47" s="39">
        <v>3.347</v>
      </c>
      <c r="U47" s="38">
        <v>3.2029999999999998</v>
      </c>
      <c r="V47" s="74"/>
      <c r="W47" s="34">
        <f t="shared" si="4"/>
        <v>3.2029999999999998</v>
      </c>
      <c r="X47" s="34">
        <f t="shared" si="0"/>
        <v>6.1603493078087442E-2</v>
      </c>
      <c r="Y47" s="35" t="str">
        <f t="shared" si="5"/>
        <v/>
      </c>
      <c r="Z47" s="36">
        <f t="shared" si="6"/>
        <v>0.95697639677322976</v>
      </c>
      <c r="AA47" s="6"/>
      <c r="AB47" s="37">
        <v>0.1862</v>
      </c>
      <c r="AC47" s="38">
        <v>0.17899999999999999</v>
      </c>
      <c r="AD47" s="38"/>
      <c r="AE47" s="34">
        <f t="shared" si="7"/>
        <v>0.17899999999999999</v>
      </c>
      <c r="AF47" s="34">
        <f t="shared" si="8"/>
        <v>6.0676690936475985E-2</v>
      </c>
      <c r="AG47" s="35" t="str">
        <f t="shared" si="1"/>
        <v/>
      </c>
      <c r="AH47" s="36">
        <f t="shared" si="2"/>
        <v>0.96133190118152523</v>
      </c>
    </row>
    <row r="48" spans="1:34" ht="1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29">
        <f t="shared" si="3"/>
        <v>35</v>
      </c>
      <c r="Q48" s="30" t="s">
        <v>106</v>
      </c>
      <c r="R48" s="31">
        <v>45860</v>
      </c>
      <c r="S48" s="68"/>
      <c r="T48" s="39">
        <v>3.347</v>
      </c>
      <c r="U48" s="38">
        <v>3.2839999999999998</v>
      </c>
      <c r="V48" s="74"/>
      <c r="W48" s="34">
        <f t="shared" si="4"/>
        <v>3.2839999999999998</v>
      </c>
      <c r="X48" s="34">
        <f t="shared" si="0"/>
        <v>0.34782279937933952</v>
      </c>
      <c r="Y48" s="35" t="str">
        <f t="shared" si="5"/>
        <v/>
      </c>
      <c r="Z48" s="36">
        <f t="shared" si="6"/>
        <v>0.98117717358828793</v>
      </c>
      <c r="AA48" s="6"/>
      <c r="AB48" s="37">
        <v>0.1862</v>
      </c>
      <c r="AC48" s="38">
        <v>0.21099999999999999</v>
      </c>
      <c r="AD48" s="38"/>
      <c r="AE48" s="34">
        <f t="shared" si="7"/>
        <v>0.21099999999999999</v>
      </c>
      <c r="AF48" s="34">
        <f t="shared" si="8"/>
        <v>2.0104210263618261</v>
      </c>
      <c r="AG48" s="35">
        <f t="shared" si="1"/>
        <v>0.21099999999999999</v>
      </c>
      <c r="AH48" s="36">
        <f t="shared" si="2"/>
        <v>1.1331901181525241</v>
      </c>
    </row>
    <row r="49" spans="1:34" ht="1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29">
        <f t="shared" si="3"/>
        <v>36</v>
      </c>
      <c r="Q49" s="30" t="s">
        <v>106</v>
      </c>
      <c r="R49" s="31">
        <v>45860</v>
      </c>
      <c r="S49" s="68"/>
      <c r="T49" s="39">
        <v>3.347</v>
      </c>
      <c r="U49" s="38">
        <v>3.5150000000000001</v>
      </c>
      <c r="V49" s="74"/>
      <c r="W49" s="34">
        <f t="shared" si="4"/>
        <v>3.5150000000000001</v>
      </c>
      <c r="X49" s="34">
        <f t="shared" si="0"/>
        <v>1.5154459297208926</v>
      </c>
      <c r="Y49" s="35" t="str">
        <f t="shared" si="5"/>
        <v/>
      </c>
      <c r="Z49" s="36">
        <f t="shared" si="6"/>
        <v>1.0501942037645653</v>
      </c>
      <c r="AA49" s="6"/>
      <c r="AB49" s="37">
        <v>0.1862</v>
      </c>
      <c r="AC49" s="38">
        <v>0.193</v>
      </c>
      <c r="AD49" s="38"/>
      <c r="AE49" s="34">
        <f t="shared" si="7"/>
        <v>0.193</v>
      </c>
      <c r="AF49" s="34">
        <f t="shared" si="8"/>
        <v>0.84542856038153191</v>
      </c>
      <c r="AG49" s="35" t="str">
        <f t="shared" si="1"/>
        <v/>
      </c>
      <c r="AH49" s="36">
        <f t="shared" si="2"/>
        <v>1.0365198711063373</v>
      </c>
    </row>
    <row r="50" spans="1:34" ht="1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29">
        <f t="shared" si="3"/>
        <v>37</v>
      </c>
      <c r="Q50" s="30" t="s">
        <v>106</v>
      </c>
      <c r="R50" s="31">
        <v>45912</v>
      </c>
      <c r="S50" s="68"/>
      <c r="T50" s="39">
        <v>3.347</v>
      </c>
      <c r="U50" s="38">
        <v>3.35</v>
      </c>
      <c r="V50" s="74"/>
      <c r="W50" s="34">
        <f t="shared" si="4"/>
        <v>3.35</v>
      </c>
      <c r="X50" s="34">
        <f t="shared" si="0"/>
        <v>0.68142940804835561</v>
      </c>
      <c r="Y50" s="35" t="str">
        <f t="shared" si="5"/>
        <v/>
      </c>
      <c r="Z50" s="36">
        <f t="shared" si="6"/>
        <v>1.0008963250672245</v>
      </c>
      <c r="AA50" s="6"/>
      <c r="AB50" s="37">
        <v>0.1862</v>
      </c>
      <c r="AC50" s="38">
        <v>0.16500000000000001</v>
      </c>
      <c r="AD50" s="38"/>
      <c r="AE50" s="34">
        <f t="shared" si="7"/>
        <v>0.16500000000000001</v>
      </c>
      <c r="AF50" s="34">
        <f t="shared" si="8"/>
        <v>0.96678194225448211</v>
      </c>
      <c r="AG50" s="35" t="str">
        <f t="shared" si="1"/>
        <v/>
      </c>
      <c r="AH50" s="36">
        <f t="shared" si="2"/>
        <v>0.8861439312567132</v>
      </c>
    </row>
    <row r="51" spans="1:34" ht="1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29">
        <f t="shared" si="3"/>
        <v>38</v>
      </c>
      <c r="Q51" s="30" t="s">
        <v>106</v>
      </c>
      <c r="R51" s="31">
        <v>46044</v>
      </c>
      <c r="S51" s="68"/>
      <c r="T51" s="39">
        <v>3.347</v>
      </c>
      <c r="U51" s="38">
        <v>3.3450000000000002</v>
      </c>
      <c r="V51" s="74"/>
      <c r="W51" s="34">
        <f t="shared" si="4"/>
        <v>3.3450000000000002</v>
      </c>
      <c r="X51" s="34">
        <f t="shared" si="0"/>
        <v>0.65615618011888543</v>
      </c>
      <c r="Y51" s="35" t="str">
        <f t="shared" si="5"/>
        <v/>
      </c>
      <c r="Z51" s="36">
        <f t="shared" si="6"/>
        <v>0.99940244995518379</v>
      </c>
      <c r="AA51" s="6"/>
      <c r="AB51" s="37">
        <v>0.1862</v>
      </c>
      <c r="AC51" s="38">
        <v>0.2</v>
      </c>
      <c r="AD51" s="38"/>
      <c r="AE51" s="34">
        <f t="shared" si="7"/>
        <v>0.2</v>
      </c>
      <c r="AF51" s="34">
        <f t="shared" si="8"/>
        <v>1.2984811860405359</v>
      </c>
      <c r="AG51" s="35" t="str">
        <f t="shared" si="1"/>
        <v/>
      </c>
      <c r="AH51" s="36">
        <f t="shared" si="2"/>
        <v>1.0741138560687433</v>
      </c>
    </row>
    <row r="52" spans="1:34" ht="1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29">
        <f t="shared" si="3"/>
        <v>39</v>
      </c>
      <c r="Q52" s="30" t="s">
        <v>106</v>
      </c>
      <c r="R52" s="31">
        <v>46044</v>
      </c>
      <c r="S52" s="68"/>
      <c r="T52" s="39">
        <v>3.347</v>
      </c>
      <c r="U52" s="38">
        <v>3.37</v>
      </c>
      <c r="V52" s="74"/>
      <c r="W52" s="34">
        <f t="shared" si="4"/>
        <v>3.37</v>
      </c>
      <c r="X52" s="34">
        <f t="shared" si="0"/>
        <v>0.78252231976623898</v>
      </c>
      <c r="Y52" s="35" t="str">
        <f t="shared" si="5"/>
        <v/>
      </c>
      <c r="Z52" s="36">
        <f t="shared" si="6"/>
        <v>1.006871825515387</v>
      </c>
      <c r="AA52" s="6"/>
      <c r="AB52" s="37">
        <v>0.1862</v>
      </c>
      <c r="AC52" s="38">
        <v>0.18099999999999999</v>
      </c>
      <c r="AD52" s="38"/>
      <c r="AE52" s="34">
        <f t="shared" si="7"/>
        <v>0.18099999999999999</v>
      </c>
      <c r="AF52" s="34">
        <f t="shared" si="8"/>
        <v>6.876691639466799E-2</v>
      </c>
      <c r="AG52" s="35" t="str">
        <f t="shared" si="1"/>
        <v/>
      </c>
      <c r="AH52" s="36">
        <f t="shared" si="2"/>
        <v>0.9720730397422126</v>
      </c>
    </row>
    <row r="53" spans="1:34" ht="1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29">
        <f t="shared" si="3"/>
        <v>40</v>
      </c>
      <c r="Q53" s="30" t="s">
        <v>106</v>
      </c>
      <c r="R53" s="31">
        <v>46065</v>
      </c>
      <c r="S53" s="68"/>
      <c r="T53" s="39">
        <v>3.347</v>
      </c>
      <c r="U53" s="38">
        <v>3.101</v>
      </c>
      <c r="V53" s="74"/>
      <c r="W53" s="34">
        <f t="shared" si="4"/>
        <v>3.101</v>
      </c>
      <c r="X53" s="34">
        <f t="shared" si="0"/>
        <v>0.57717734283929134</v>
      </c>
      <c r="Y53" s="35" t="str">
        <f t="shared" si="5"/>
        <v/>
      </c>
      <c r="Z53" s="36">
        <f t="shared" si="6"/>
        <v>0.9265013444876008</v>
      </c>
      <c r="AA53" s="6"/>
      <c r="AB53" s="37">
        <v>0.1862</v>
      </c>
      <c r="AC53" s="38">
        <v>0.159</v>
      </c>
      <c r="AD53" s="38"/>
      <c r="AE53" s="34">
        <f t="shared" si="7"/>
        <v>0.159</v>
      </c>
      <c r="AF53" s="34">
        <f t="shared" si="8"/>
        <v>1.3551127642479139</v>
      </c>
      <c r="AG53" s="35" t="str">
        <f t="shared" si="1"/>
        <v/>
      </c>
      <c r="AH53" s="36">
        <f t="shared" si="2"/>
        <v>0.85392051557465087</v>
      </c>
    </row>
    <row r="54" spans="1:34" ht="1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29" t="str">
        <f t="shared" si="3"/>
        <v/>
      </c>
      <c r="Q54" s="30"/>
      <c r="R54" s="31"/>
      <c r="S54" s="68"/>
      <c r="T54" s="39">
        <v>3.347</v>
      </c>
      <c r="U54" s="38"/>
      <c r="V54" s="74"/>
      <c r="W54" s="34" t="str">
        <f t="shared" si="4"/>
        <v>FALSE</v>
      </c>
      <c r="X54" s="34" t="str">
        <f t="shared" si="0"/>
        <v>FALSE</v>
      </c>
      <c r="Y54" s="35">
        <f t="shared" si="5"/>
        <v>0</v>
      </c>
      <c r="Z54" s="36" t="str">
        <f t="shared" si="6"/>
        <v/>
      </c>
      <c r="AA54" s="6"/>
      <c r="AB54" s="37">
        <v>0.1862</v>
      </c>
      <c r="AC54" s="38"/>
      <c r="AD54" s="38"/>
      <c r="AE54" s="34" t="str">
        <f t="shared" si="7"/>
        <v>FALSE</v>
      </c>
      <c r="AF54" s="34" t="str">
        <f t="shared" si="8"/>
        <v>FALSE</v>
      </c>
      <c r="AG54" s="35">
        <f t="shared" si="1"/>
        <v>0</v>
      </c>
      <c r="AH54" s="36" t="str">
        <f t="shared" si="2"/>
        <v/>
      </c>
    </row>
    <row r="55" spans="1:34" ht="1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29" t="str">
        <f t="shared" si="3"/>
        <v/>
      </c>
      <c r="Q55" s="30"/>
      <c r="R55" s="31"/>
      <c r="S55" s="68"/>
      <c r="T55" s="40"/>
      <c r="U55" s="38"/>
      <c r="V55" s="74"/>
      <c r="W55" s="34" t="str">
        <f t="shared" si="4"/>
        <v>FALSE</v>
      </c>
      <c r="X55" s="34" t="str">
        <f t="shared" si="0"/>
        <v>FALSE</v>
      </c>
      <c r="Y55" s="35">
        <f t="shared" si="5"/>
        <v>0</v>
      </c>
      <c r="Z55" s="36" t="str">
        <f t="shared" si="6"/>
        <v/>
      </c>
      <c r="AA55" s="6"/>
      <c r="AB55" s="41"/>
      <c r="AC55" s="38"/>
      <c r="AD55" s="38"/>
      <c r="AE55" s="34" t="str">
        <f t="shared" si="7"/>
        <v>FALSE</v>
      </c>
      <c r="AF55" s="34" t="str">
        <f t="shared" si="8"/>
        <v>FALSE</v>
      </c>
      <c r="AG55" s="35">
        <f t="shared" si="1"/>
        <v>0</v>
      </c>
      <c r="AH55" s="36" t="str">
        <f t="shared" si="2"/>
        <v/>
      </c>
    </row>
    <row r="56" spans="1:34" ht="1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29" t="str">
        <f t="shared" si="3"/>
        <v/>
      </c>
      <c r="Q56" s="30"/>
      <c r="R56" s="31"/>
      <c r="S56" s="68"/>
      <c r="T56" s="40"/>
      <c r="U56" s="38"/>
      <c r="V56" s="74"/>
      <c r="W56" s="34" t="str">
        <f t="shared" si="4"/>
        <v>FALSE</v>
      </c>
      <c r="X56" s="34" t="str">
        <f t="shared" si="0"/>
        <v>FALSE</v>
      </c>
      <c r="Y56" s="35">
        <f t="shared" si="5"/>
        <v>0</v>
      </c>
      <c r="Z56" s="36" t="str">
        <f t="shared" si="6"/>
        <v/>
      </c>
      <c r="AA56" s="6"/>
      <c r="AB56" s="41"/>
      <c r="AC56" s="38"/>
      <c r="AD56" s="38"/>
      <c r="AE56" s="34" t="str">
        <f t="shared" si="7"/>
        <v>FALSE</v>
      </c>
      <c r="AF56" s="34" t="str">
        <f t="shared" si="8"/>
        <v>FALSE</v>
      </c>
      <c r="AG56" s="35">
        <f t="shared" si="1"/>
        <v>0</v>
      </c>
      <c r="AH56" s="36" t="str">
        <f t="shared" si="2"/>
        <v/>
      </c>
    </row>
    <row r="57" spans="1:34" ht="14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29" t="str">
        <f t="shared" si="3"/>
        <v/>
      </c>
      <c r="Q57" s="30"/>
      <c r="R57" s="31"/>
      <c r="S57" s="68"/>
      <c r="T57" s="40"/>
      <c r="U57" s="38"/>
      <c r="V57" s="74"/>
      <c r="W57" s="34" t="str">
        <f t="shared" si="4"/>
        <v>FALSE</v>
      </c>
      <c r="X57" s="34" t="str">
        <f t="shared" si="0"/>
        <v>FALSE</v>
      </c>
      <c r="Y57" s="35">
        <f t="shared" si="5"/>
        <v>0</v>
      </c>
      <c r="Z57" s="36" t="str">
        <f t="shared" si="6"/>
        <v/>
      </c>
      <c r="AA57" s="42"/>
      <c r="AB57" s="41"/>
      <c r="AC57" s="38"/>
      <c r="AD57" s="38"/>
      <c r="AE57" s="34" t="str">
        <f t="shared" si="7"/>
        <v>FALSE</v>
      </c>
      <c r="AF57" s="34" t="str">
        <f t="shared" si="8"/>
        <v>FALSE</v>
      </c>
      <c r="AG57" s="35">
        <f t="shared" si="1"/>
        <v>0</v>
      </c>
      <c r="AH57" s="36" t="str">
        <f t="shared" si="2"/>
        <v/>
      </c>
    </row>
    <row r="58" spans="1:34" ht="1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29" t="str">
        <f t="shared" si="3"/>
        <v/>
      </c>
      <c r="Q58" s="30"/>
      <c r="R58" s="31"/>
      <c r="S58" s="68"/>
      <c r="T58" s="40"/>
      <c r="U58" s="38"/>
      <c r="V58" s="74"/>
      <c r="W58" s="34" t="str">
        <f t="shared" si="4"/>
        <v>FALSE</v>
      </c>
      <c r="X58" s="34" t="str">
        <f t="shared" si="0"/>
        <v>FALSE</v>
      </c>
      <c r="Y58" s="35">
        <f t="shared" si="5"/>
        <v>0</v>
      </c>
      <c r="Z58" s="36" t="str">
        <f t="shared" si="6"/>
        <v/>
      </c>
      <c r="AA58" s="6"/>
      <c r="AB58" s="41"/>
      <c r="AC58" s="38"/>
      <c r="AD58" s="38"/>
      <c r="AE58" s="34" t="str">
        <f t="shared" si="7"/>
        <v>FALSE</v>
      </c>
      <c r="AF58" s="34" t="str">
        <f t="shared" si="8"/>
        <v>FALSE</v>
      </c>
      <c r="AG58" s="35">
        <f t="shared" si="1"/>
        <v>0</v>
      </c>
      <c r="AH58" s="36" t="str">
        <f t="shared" si="2"/>
        <v/>
      </c>
    </row>
    <row r="59" spans="1:34" ht="1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29" t="str">
        <f t="shared" si="3"/>
        <v/>
      </c>
      <c r="Q59" s="30"/>
      <c r="R59" s="31"/>
      <c r="S59" s="68"/>
      <c r="T59" s="40"/>
      <c r="U59" s="38"/>
      <c r="V59" s="74"/>
      <c r="W59" s="34" t="str">
        <f t="shared" si="4"/>
        <v>FALSE</v>
      </c>
      <c r="X59" s="34" t="str">
        <f t="shared" si="0"/>
        <v>FALSE</v>
      </c>
      <c r="Y59" s="35">
        <f t="shared" si="5"/>
        <v>0</v>
      </c>
      <c r="Z59" s="36" t="str">
        <f t="shared" si="6"/>
        <v/>
      </c>
      <c r="AA59" s="6"/>
      <c r="AB59" s="41"/>
      <c r="AC59" s="38"/>
      <c r="AD59" s="38"/>
      <c r="AE59" s="34" t="str">
        <f t="shared" si="7"/>
        <v>FALSE</v>
      </c>
      <c r="AF59" s="34" t="str">
        <f t="shared" si="8"/>
        <v>FALSE</v>
      </c>
      <c r="AG59" s="35">
        <f t="shared" si="1"/>
        <v>0</v>
      </c>
      <c r="AH59" s="36" t="str">
        <f t="shared" si="2"/>
        <v/>
      </c>
    </row>
    <row r="60" spans="1:34" ht="1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29" t="str">
        <f t="shared" si="3"/>
        <v/>
      </c>
      <c r="Q60" s="30"/>
      <c r="R60" s="31"/>
      <c r="S60" s="68"/>
      <c r="T60" s="40"/>
      <c r="U60" s="38"/>
      <c r="V60" s="74"/>
      <c r="W60" s="34" t="str">
        <f t="shared" si="4"/>
        <v>FALSE</v>
      </c>
      <c r="X60" s="34" t="str">
        <f t="shared" si="0"/>
        <v>FALSE</v>
      </c>
      <c r="Y60" s="35">
        <f t="shared" si="5"/>
        <v>0</v>
      </c>
      <c r="Z60" s="36" t="str">
        <f t="shared" si="6"/>
        <v/>
      </c>
      <c r="AA60" s="6"/>
      <c r="AB60" s="41"/>
      <c r="AC60" s="38"/>
      <c r="AD60" s="38"/>
      <c r="AE60" s="34" t="str">
        <f t="shared" si="7"/>
        <v>FALSE</v>
      </c>
      <c r="AF60" s="34" t="str">
        <f t="shared" si="8"/>
        <v>FALSE</v>
      </c>
      <c r="AG60" s="35">
        <f t="shared" si="1"/>
        <v>0</v>
      </c>
      <c r="AH60" s="36" t="str">
        <f t="shared" si="2"/>
        <v/>
      </c>
    </row>
    <row r="61" spans="1:34" ht="1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29" t="str">
        <f t="shared" si="3"/>
        <v/>
      </c>
      <c r="Q61" s="30"/>
      <c r="R61" s="31"/>
      <c r="S61" s="68"/>
      <c r="T61" s="40"/>
      <c r="U61" s="38"/>
      <c r="V61" s="74"/>
      <c r="W61" s="34" t="str">
        <f t="shared" si="4"/>
        <v>FALSE</v>
      </c>
      <c r="X61" s="34" t="str">
        <f t="shared" si="0"/>
        <v>FALSE</v>
      </c>
      <c r="Y61" s="35">
        <f t="shared" si="5"/>
        <v>0</v>
      </c>
      <c r="Z61" s="36" t="str">
        <f t="shared" si="6"/>
        <v/>
      </c>
      <c r="AA61" s="6"/>
      <c r="AB61" s="41"/>
      <c r="AC61" s="38"/>
      <c r="AD61" s="38"/>
      <c r="AE61" s="34" t="str">
        <f t="shared" si="7"/>
        <v>FALSE</v>
      </c>
      <c r="AF61" s="34" t="str">
        <f t="shared" si="8"/>
        <v>FALSE</v>
      </c>
      <c r="AG61" s="35">
        <f t="shared" si="1"/>
        <v>0</v>
      </c>
      <c r="AH61" s="36" t="str">
        <f t="shared" si="2"/>
        <v/>
      </c>
    </row>
    <row r="62" spans="1:34" ht="1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29" t="str">
        <f t="shared" si="3"/>
        <v/>
      </c>
      <c r="Q62" s="30"/>
      <c r="R62" s="31"/>
      <c r="S62" s="68"/>
      <c r="T62" s="40"/>
      <c r="U62" s="38"/>
      <c r="V62" s="74"/>
      <c r="W62" s="34" t="str">
        <f t="shared" si="4"/>
        <v>FALSE</v>
      </c>
      <c r="X62" s="34" t="str">
        <f t="shared" si="0"/>
        <v>FALSE</v>
      </c>
      <c r="Y62" s="35">
        <f t="shared" si="5"/>
        <v>0</v>
      </c>
      <c r="Z62" s="36" t="str">
        <f t="shared" si="6"/>
        <v/>
      </c>
      <c r="AA62" s="6"/>
      <c r="AB62" s="41"/>
      <c r="AC62" s="38"/>
      <c r="AD62" s="38"/>
      <c r="AE62" s="34" t="str">
        <f t="shared" si="7"/>
        <v>FALSE</v>
      </c>
      <c r="AF62" s="34" t="str">
        <f t="shared" si="8"/>
        <v>FALSE</v>
      </c>
      <c r="AG62" s="35">
        <f t="shared" si="1"/>
        <v>0</v>
      </c>
      <c r="AH62" s="36" t="str">
        <f t="shared" si="2"/>
        <v/>
      </c>
    </row>
    <row r="63" spans="1:34" ht="1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29" t="str">
        <f t="shared" si="3"/>
        <v/>
      </c>
      <c r="Q63" s="30"/>
      <c r="R63" s="31"/>
      <c r="S63" s="68"/>
      <c r="T63" s="40"/>
      <c r="U63" s="38"/>
      <c r="V63" s="74"/>
      <c r="W63" s="34" t="str">
        <f t="shared" si="4"/>
        <v>FALSE</v>
      </c>
      <c r="X63" s="34" t="str">
        <f t="shared" si="0"/>
        <v>FALSE</v>
      </c>
      <c r="Y63" s="35">
        <f t="shared" si="5"/>
        <v>0</v>
      </c>
      <c r="Z63" s="36" t="str">
        <f t="shared" si="6"/>
        <v/>
      </c>
      <c r="AA63" s="6"/>
      <c r="AB63" s="41"/>
      <c r="AC63" s="38"/>
      <c r="AD63" s="38"/>
      <c r="AE63" s="34" t="str">
        <f t="shared" si="7"/>
        <v>FALSE</v>
      </c>
      <c r="AF63" s="34" t="str">
        <f t="shared" si="8"/>
        <v>FALSE</v>
      </c>
      <c r="AG63" s="35">
        <f t="shared" si="1"/>
        <v>0</v>
      </c>
      <c r="AH63" s="36" t="str">
        <f t="shared" si="2"/>
        <v/>
      </c>
    </row>
    <row r="64" spans="1:34" ht="1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29" t="str">
        <f t="shared" si="3"/>
        <v/>
      </c>
      <c r="Q64" s="30"/>
      <c r="R64" s="31"/>
      <c r="S64" s="68"/>
      <c r="T64" s="40"/>
      <c r="U64" s="38"/>
      <c r="V64" s="74"/>
      <c r="W64" s="34" t="str">
        <f t="shared" si="4"/>
        <v>FALSE</v>
      </c>
      <c r="X64" s="34" t="str">
        <f t="shared" si="0"/>
        <v>FALSE</v>
      </c>
      <c r="Y64" s="35">
        <f t="shared" si="5"/>
        <v>0</v>
      </c>
      <c r="Z64" s="36" t="str">
        <f t="shared" si="6"/>
        <v/>
      </c>
      <c r="AA64" s="6"/>
      <c r="AB64" s="41"/>
      <c r="AC64" s="38"/>
      <c r="AD64" s="38"/>
      <c r="AE64" s="34" t="str">
        <f t="shared" si="7"/>
        <v>FALSE</v>
      </c>
      <c r="AF64" s="34" t="str">
        <f t="shared" si="8"/>
        <v>FALSE</v>
      </c>
      <c r="AG64" s="35">
        <f t="shared" si="1"/>
        <v>0</v>
      </c>
      <c r="AH64" s="36" t="str">
        <f t="shared" si="2"/>
        <v/>
      </c>
    </row>
    <row r="65" spans="1:34" ht="1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29" t="str">
        <f t="shared" si="3"/>
        <v/>
      </c>
      <c r="Q65" s="30"/>
      <c r="R65" s="31"/>
      <c r="S65" s="68"/>
      <c r="T65" s="40"/>
      <c r="U65" s="38"/>
      <c r="V65" s="74"/>
      <c r="W65" s="34" t="str">
        <f t="shared" si="4"/>
        <v>FALSE</v>
      </c>
      <c r="X65" s="34" t="str">
        <f t="shared" si="0"/>
        <v>FALSE</v>
      </c>
      <c r="Y65" s="35">
        <f t="shared" si="5"/>
        <v>0</v>
      </c>
      <c r="Z65" s="36" t="str">
        <f t="shared" si="6"/>
        <v/>
      </c>
      <c r="AA65" s="6"/>
      <c r="AB65" s="41"/>
      <c r="AC65" s="38"/>
      <c r="AD65" s="38"/>
      <c r="AE65" s="34" t="str">
        <f t="shared" si="7"/>
        <v>FALSE</v>
      </c>
      <c r="AF65" s="34" t="str">
        <f t="shared" si="8"/>
        <v>FALSE</v>
      </c>
      <c r="AG65" s="35">
        <f t="shared" si="1"/>
        <v>0</v>
      </c>
      <c r="AH65" s="36" t="str">
        <f t="shared" si="2"/>
        <v/>
      </c>
    </row>
    <row r="66" spans="1:34" ht="1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29" t="str">
        <f t="shared" si="3"/>
        <v/>
      </c>
      <c r="Q66" s="30"/>
      <c r="R66" s="31"/>
      <c r="S66" s="68"/>
      <c r="T66" s="40"/>
      <c r="U66" s="38"/>
      <c r="V66" s="74"/>
      <c r="W66" s="34" t="str">
        <f t="shared" si="4"/>
        <v>FALSE</v>
      </c>
      <c r="X66" s="34" t="str">
        <f t="shared" si="0"/>
        <v>FALSE</v>
      </c>
      <c r="Y66" s="35">
        <f t="shared" si="5"/>
        <v>0</v>
      </c>
      <c r="Z66" s="36" t="str">
        <f t="shared" si="6"/>
        <v/>
      </c>
      <c r="AA66" s="6"/>
      <c r="AB66" s="41"/>
      <c r="AC66" s="38"/>
      <c r="AD66" s="38"/>
      <c r="AE66" s="34"/>
      <c r="AF66" s="34" t="str">
        <f t="shared" si="8"/>
        <v>FALSE</v>
      </c>
      <c r="AG66" s="35">
        <f t="shared" si="1"/>
        <v>0</v>
      </c>
      <c r="AH66" s="36" t="str">
        <f t="shared" si="2"/>
        <v/>
      </c>
    </row>
    <row r="67" spans="1:34" ht="1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29" t="str">
        <f t="shared" si="3"/>
        <v/>
      </c>
      <c r="Q67" s="30"/>
      <c r="R67" s="31"/>
      <c r="S67" s="68"/>
      <c r="T67" s="40"/>
      <c r="U67" s="38"/>
      <c r="V67" s="74"/>
      <c r="W67" s="34" t="str">
        <f t="shared" si="4"/>
        <v>FALSE</v>
      </c>
      <c r="X67" s="34" t="str">
        <f t="shared" si="0"/>
        <v>FALSE</v>
      </c>
      <c r="Y67" s="35">
        <f t="shared" si="5"/>
        <v>0</v>
      </c>
      <c r="Z67" s="36" t="str">
        <f t="shared" si="6"/>
        <v/>
      </c>
      <c r="AA67" s="6"/>
      <c r="AB67" s="41"/>
      <c r="AC67" s="38"/>
      <c r="AD67" s="38"/>
      <c r="AE67" s="34"/>
      <c r="AF67" s="34" t="str">
        <f t="shared" si="8"/>
        <v>FALSE</v>
      </c>
      <c r="AG67" s="35">
        <f t="shared" si="1"/>
        <v>0</v>
      </c>
      <c r="AH67" s="36" t="str">
        <f t="shared" si="2"/>
        <v/>
      </c>
    </row>
    <row r="68" spans="1:34" ht="1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29" t="str">
        <f t="shared" si="3"/>
        <v/>
      </c>
      <c r="Q68" s="30"/>
      <c r="R68" s="31"/>
      <c r="S68" s="68"/>
      <c r="T68" s="40"/>
      <c r="U68" s="38"/>
      <c r="V68" s="74"/>
      <c r="W68" s="34" t="str">
        <f t="shared" si="4"/>
        <v>FALSE</v>
      </c>
      <c r="X68" s="34" t="str">
        <f t="shared" si="0"/>
        <v>FALSE</v>
      </c>
      <c r="Y68" s="35">
        <f t="shared" si="5"/>
        <v>0</v>
      </c>
      <c r="Z68" s="36" t="str">
        <f t="shared" si="6"/>
        <v/>
      </c>
      <c r="AA68" s="6"/>
      <c r="AB68" s="41"/>
      <c r="AC68" s="38"/>
      <c r="AD68" s="38"/>
      <c r="AE68" s="34"/>
      <c r="AF68" s="34" t="str">
        <f t="shared" si="8"/>
        <v>FALSE</v>
      </c>
      <c r="AG68" s="35">
        <f t="shared" si="1"/>
        <v>0</v>
      </c>
      <c r="AH68" s="36" t="str">
        <f t="shared" si="2"/>
        <v/>
      </c>
    </row>
    <row r="69" spans="1:34" ht="1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29" t="str">
        <f t="shared" si="3"/>
        <v/>
      </c>
      <c r="Q69" s="30"/>
      <c r="R69" s="31"/>
      <c r="S69" s="68"/>
      <c r="T69" s="40"/>
      <c r="U69" s="38"/>
      <c r="V69" s="74"/>
      <c r="W69" s="34" t="str">
        <f t="shared" si="4"/>
        <v>FALSE</v>
      </c>
      <c r="X69" s="34" t="str">
        <f t="shared" si="0"/>
        <v>FALSE</v>
      </c>
      <c r="Y69" s="35">
        <f t="shared" si="5"/>
        <v>0</v>
      </c>
      <c r="Z69" s="36" t="str">
        <f t="shared" si="6"/>
        <v/>
      </c>
      <c r="AA69" s="6"/>
      <c r="AB69" s="41"/>
      <c r="AC69" s="38"/>
      <c r="AD69" s="38"/>
      <c r="AE69" s="34"/>
      <c r="AF69" s="34" t="str">
        <f t="shared" si="8"/>
        <v>FALSE</v>
      </c>
      <c r="AG69" s="35">
        <f t="shared" si="1"/>
        <v>0</v>
      </c>
      <c r="AH69" s="36" t="str">
        <f t="shared" si="2"/>
        <v/>
      </c>
    </row>
    <row r="70" spans="1:34" ht="1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29" t="str">
        <f t="shared" si="3"/>
        <v/>
      </c>
      <c r="Q70" s="30"/>
      <c r="R70" s="31"/>
      <c r="S70" s="68"/>
      <c r="T70" s="40"/>
      <c r="U70" s="38"/>
      <c r="V70" s="74"/>
      <c r="W70" s="34" t="str">
        <f t="shared" si="4"/>
        <v>FALSE</v>
      </c>
      <c r="X70" s="34" t="str">
        <f t="shared" si="0"/>
        <v>FALSE</v>
      </c>
      <c r="Y70" s="35">
        <f t="shared" si="5"/>
        <v>0</v>
      </c>
      <c r="Z70" s="36" t="str">
        <f t="shared" si="6"/>
        <v/>
      </c>
      <c r="AA70" s="6"/>
      <c r="AB70" s="41"/>
      <c r="AC70" s="38"/>
      <c r="AD70" s="38"/>
      <c r="AE70" s="34"/>
      <c r="AF70" s="34" t="str">
        <f t="shared" si="8"/>
        <v>FALSE</v>
      </c>
      <c r="AG70" s="35">
        <f t="shared" si="1"/>
        <v>0</v>
      </c>
      <c r="AH70" s="36" t="str">
        <f t="shared" si="2"/>
        <v/>
      </c>
    </row>
    <row r="71" spans="1:34" ht="1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29" t="str">
        <f t="shared" si="3"/>
        <v/>
      </c>
      <c r="Q71" s="30"/>
      <c r="R71" s="31"/>
      <c r="S71" s="68"/>
      <c r="T71" s="40"/>
      <c r="U71" s="38"/>
      <c r="V71" s="74"/>
      <c r="W71" s="34" t="str">
        <f t="shared" si="4"/>
        <v>FALSE</v>
      </c>
      <c r="X71" s="34" t="str">
        <f t="shared" si="0"/>
        <v>FALSE</v>
      </c>
      <c r="Y71" s="35">
        <f t="shared" si="5"/>
        <v>0</v>
      </c>
      <c r="Z71" s="36" t="str">
        <f t="shared" si="6"/>
        <v/>
      </c>
      <c r="AA71" s="6"/>
      <c r="AB71" s="41"/>
      <c r="AC71" s="38"/>
      <c r="AD71" s="38"/>
      <c r="AE71" s="34"/>
      <c r="AF71" s="34" t="str">
        <f t="shared" si="8"/>
        <v>FALSE</v>
      </c>
      <c r="AG71" s="35">
        <f t="shared" si="1"/>
        <v>0</v>
      </c>
      <c r="AH71" s="36" t="str">
        <f t="shared" si="2"/>
        <v/>
      </c>
    </row>
    <row r="72" spans="1:34" ht="1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29" t="str">
        <f t="shared" si="3"/>
        <v/>
      </c>
      <c r="Q72" s="30"/>
      <c r="R72" s="31"/>
      <c r="S72" s="68"/>
      <c r="T72" s="40"/>
      <c r="U72" s="38"/>
      <c r="V72" s="74"/>
      <c r="W72" s="34" t="str">
        <f t="shared" si="4"/>
        <v>FALSE</v>
      </c>
      <c r="X72" s="34" t="str">
        <f t="shared" si="0"/>
        <v>FALSE</v>
      </c>
      <c r="Y72" s="35">
        <f t="shared" si="5"/>
        <v>0</v>
      </c>
      <c r="Z72" s="36" t="str">
        <f t="shared" si="6"/>
        <v/>
      </c>
      <c r="AA72" s="6"/>
      <c r="AB72" s="41"/>
      <c r="AC72" s="38"/>
      <c r="AD72" s="38"/>
      <c r="AE72" s="34"/>
      <c r="AF72" s="34" t="str">
        <f t="shared" si="8"/>
        <v>FALSE</v>
      </c>
      <c r="AG72" s="35">
        <f t="shared" si="1"/>
        <v>0</v>
      </c>
      <c r="AH72" s="36" t="str">
        <f t="shared" si="2"/>
        <v/>
      </c>
    </row>
    <row r="73" spans="1:34" ht="1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29" t="str">
        <f t="shared" si="3"/>
        <v/>
      </c>
      <c r="Q73" s="30"/>
      <c r="R73" s="31"/>
      <c r="S73" s="68"/>
      <c r="T73" s="40"/>
      <c r="U73" s="38"/>
      <c r="V73" s="74"/>
      <c r="W73" s="34" t="str">
        <f t="shared" si="4"/>
        <v>FALSE</v>
      </c>
      <c r="X73" s="34" t="str">
        <f t="shared" si="0"/>
        <v>FALSE</v>
      </c>
      <c r="Y73" s="35">
        <f t="shared" si="5"/>
        <v>0</v>
      </c>
      <c r="Z73" s="36" t="str">
        <f t="shared" si="6"/>
        <v/>
      </c>
      <c r="AA73" s="6"/>
      <c r="AB73" s="41"/>
      <c r="AC73" s="38"/>
      <c r="AD73" s="38"/>
      <c r="AE73" s="34"/>
      <c r="AF73" s="34" t="str">
        <f t="shared" si="8"/>
        <v>FALSE</v>
      </c>
      <c r="AG73" s="35">
        <f t="shared" si="1"/>
        <v>0</v>
      </c>
      <c r="AH73" s="36" t="str">
        <f t="shared" si="2"/>
        <v/>
      </c>
    </row>
    <row r="74" spans="1:34" ht="1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29" t="str">
        <f t="shared" si="3"/>
        <v/>
      </c>
      <c r="Q74" s="30"/>
      <c r="R74" s="31"/>
      <c r="S74" s="68"/>
      <c r="T74" s="40"/>
      <c r="U74" s="38"/>
      <c r="V74" s="74"/>
      <c r="W74" s="34" t="str">
        <f t="shared" si="4"/>
        <v>FALSE</v>
      </c>
      <c r="X74" s="34" t="str">
        <f t="shared" si="0"/>
        <v>FALSE</v>
      </c>
      <c r="Y74" s="35">
        <f t="shared" si="5"/>
        <v>0</v>
      </c>
      <c r="Z74" s="36" t="str">
        <f t="shared" si="6"/>
        <v/>
      </c>
      <c r="AA74" s="6"/>
      <c r="AB74" s="41"/>
      <c r="AC74" s="38"/>
      <c r="AD74" s="38"/>
      <c r="AE74" s="34"/>
      <c r="AF74" s="34" t="str">
        <f t="shared" si="8"/>
        <v>FALSE</v>
      </c>
      <c r="AG74" s="35">
        <f t="shared" si="1"/>
        <v>0</v>
      </c>
      <c r="AH74" s="36" t="str">
        <f t="shared" si="2"/>
        <v/>
      </c>
    </row>
    <row r="75" spans="1:34" ht="1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29" t="str">
        <f t="shared" si="3"/>
        <v/>
      </c>
      <c r="Q75" s="30"/>
      <c r="R75" s="31"/>
      <c r="S75" s="68"/>
      <c r="T75" s="40"/>
      <c r="U75" s="38"/>
      <c r="V75" s="74"/>
      <c r="W75" s="34" t="str">
        <f t="shared" si="4"/>
        <v>FALSE</v>
      </c>
      <c r="X75" s="34" t="str">
        <f t="shared" si="0"/>
        <v>FALSE</v>
      </c>
      <c r="Y75" s="35">
        <f t="shared" si="5"/>
        <v>0</v>
      </c>
      <c r="Z75" s="36" t="str">
        <f t="shared" si="6"/>
        <v/>
      </c>
      <c r="AA75" s="6"/>
      <c r="AB75" s="41"/>
      <c r="AC75" s="38"/>
      <c r="AD75" s="38"/>
      <c r="AE75" s="34"/>
      <c r="AF75" s="34" t="str">
        <f t="shared" si="8"/>
        <v>FALSE</v>
      </c>
      <c r="AG75" s="35">
        <f t="shared" si="1"/>
        <v>0</v>
      </c>
      <c r="AH75" s="36" t="str">
        <f t="shared" si="2"/>
        <v/>
      </c>
    </row>
    <row r="76" spans="1:34" ht="1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29" t="str">
        <f t="shared" si="3"/>
        <v/>
      </c>
      <c r="Q76" s="30"/>
      <c r="R76" s="31"/>
      <c r="S76" s="68"/>
      <c r="T76" s="40"/>
      <c r="U76" s="38"/>
      <c r="V76" s="74"/>
      <c r="W76" s="34" t="str">
        <f t="shared" si="4"/>
        <v>FALSE</v>
      </c>
      <c r="X76" s="34" t="str">
        <f t="shared" si="0"/>
        <v>FALSE</v>
      </c>
      <c r="Y76" s="35">
        <f t="shared" si="5"/>
        <v>0</v>
      </c>
      <c r="Z76" s="36" t="str">
        <f t="shared" si="6"/>
        <v/>
      </c>
      <c r="AA76" s="6"/>
      <c r="AB76" s="41"/>
      <c r="AC76" s="38"/>
      <c r="AD76" s="38"/>
      <c r="AE76" s="34"/>
      <c r="AF76" s="34" t="str">
        <f t="shared" si="8"/>
        <v>FALSE</v>
      </c>
      <c r="AG76" s="35">
        <f t="shared" si="1"/>
        <v>0</v>
      </c>
      <c r="AH76" s="36" t="str">
        <f t="shared" si="2"/>
        <v/>
      </c>
    </row>
    <row r="77" spans="1:34" ht="1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29" t="str">
        <f t="shared" si="3"/>
        <v/>
      </c>
      <c r="Q77" s="30"/>
      <c r="R77" s="31"/>
      <c r="S77" s="68"/>
      <c r="T77" s="40"/>
      <c r="U77" s="38"/>
      <c r="V77" s="74"/>
      <c r="W77" s="34" t="str">
        <f t="shared" si="4"/>
        <v>FALSE</v>
      </c>
      <c r="X77" s="34" t="str">
        <f t="shared" si="0"/>
        <v>FALSE</v>
      </c>
      <c r="Y77" s="35">
        <f t="shared" si="5"/>
        <v>0</v>
      </c>
      <c r="Z77" s="36" t="str">
        <f t="shared" si="6"/>
        <v/>
      </c>
      <c r="AA77" s="6"/>
      <c r="AB77" s="41"/>
      <c r="AC77" s="38"/>
      <c r="AD77" s="38"/>
      <c r="AE77" s="34"/>
      <c r="AF77" s="34" t="str">
        <f t="shared" si="8"/>
        <v>FALSE</v>
      </c>
      <c r="AG77" s="35">
        <f t="shared" si="1"/>
        <v>0</v>
      </c>
      <c r="AH77" s="36" t="str">
        <f t="shared" si="2"/>
        <v/>
      </c>
    </row>
    <row r="78" spans="1:34" ht="1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29" t="str">
        <f t="shared" si="3"/>
        <v/>
      </c>
      <c r="Q78" s="30"/>
      <c r="R78" s="31"/>
      <c r="S78" s="68"/>
      <c r="T78" s="40"/>
      <c r="U78" s="38"/>
      <c r="V78" s="74"/>
      <c r="W78" s="34" t="str">
        <f t="shared" si="4"/>
        <v>FALSE</v>
      </c>
      <c r="X78" s="34" t="str">
        <f t="shared" ref="X78:X120" si="9">IF(U78="","FALSE",ABS((U78-AVERAGE($U$14:$U$120))/_xlfn.STDEV.S($U$14:$U$104)))</f>
        <v>FALSE</v>
      </c>
      <c r="Y78" s="35">
        <f t="shared" si="5"/>
        <v>0</v>
      </c>
      <c r="Z78" s="36" t="str">
        <f t="shared" si="6"/>
        <v/>
      </c>
      <c r="AA78" s="6"/>
      <c r="AB78" s="41"/>
      <c r="AC78" s="38"/>
      <c r="AD78" s="38"/>
      <c r="AE78" s="34"/>
      <c r="AF78" s="34" t="str">
        <f t="shared" si="8"/>
        <v>FALSE</v>
      </c>
      <c r="AG78" s="35">
        <f t="shared" ref="AG78:AG120" si="10">IF(OR(AC78&gt;$AG$11,AC78&lt;$AF$11),AC78,"")</f>
        <v>0</v>
      </c>
      <c r="AH78" s="36" t="str">
        <f t="shared" ref="AH78:AH120" si="11">IF(AC78="","",AC78/AB78)</f>
        <v/>
      </c>
    </row>
    <row r="79" spans="1:34" ht="1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29" t="str">
        <f t="shared" ref="P79:P120" si="12">IF(R79&lt;&gt;"",P78+1,"")</f>
        <v/>
      </c>
      <c r="Q79" s="30"/>
      <c r="R79" s="31"/>
      <c r="S79" s="68"/>
      <c r="T79" s="40"/>
      <c r="U79" s="38"/>
      <c r="V79" s="74"/>
      <c r="W79" s="34" t="str">
        <f t="shared" ref="W79:W120" si="13">IF(X79&gt;3,"FALSE",U79)</f>
        <v>FALSE</v>
      </c>
      <c r="X79" s="34" t="str">
        <f t="shared" si="9"/>
        <v>FALSE</v>
      </c>
      <c r="Y79" s="35">
        <f t="shared" ref="Y79:Y120" si="14">IF(OR(U79&gt;$Y$11,U79&lt;$X$11),U79,"")</f>
        <v>0</v>
      </c>
      <c r="Z79" s="36" t="str">
        <f t="shared" ref="Z79:Z120" si="15">IF(U79="","",U79/T79)</f>
        <v/>
      </c>
      <c r="AA79" s="6"/>
      <c r="AB79" s="41"/>
      <c r="AC79" s="38"/>
      <c r="AD79" s="38"/>
      <c r="AE79" s="34"/>
      <c r="AF79" s="34" t="str">
        <f t="shared" ref="AF79:AF120" si="16">IF(AC79="","FALSE",ABS((AC79-AVERAGE($AC$14:$AC$120))/_xlfn.STDEV.S($AC$14:$AC$104)))</f>
        <v>FALSE</v>
      </c>
      <c r="AG79" s="35">
        <f t="shared" si="10"/>
        <v>0</v>
      </c>
      <c r="AH79" s="36" t="str">
        <f t="shared" si="11"/>
        <v/>
      </c>
    </row>
    <row r="80" spans="1:34" ht="1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29" t="str">
        <f t="shared" si="12"/>
        <v/>
      </c>
      <c r="Q80" s="30"/>
      <c r="R80" s="31"/>
      <c r="S80" s="68"/>
      <c r="T80" s="40"/>
      <c r="U80" s="38"/>
      <c r="V80" s="74"/>
      <c r="W80" s="34" t="str">
        <f t="shared" si="13"/>
        <v>FALSE</v>
      </c>
      <c r="X80" s="34" t="str">
        <f t="shared" si="9"/>
        <v>FALSE</v>
      </c>
      <c r="Y80" s="35">
        <f t="shared" si="14"/>
        <v>0</v>
      </c>
      <c r="Z80" s="36" t="str">
        <f t="shared" si="15"/>
        <v/>
      </c>
      <c r="AA80" s="6"/>
      <c r="AB80" s="41"/>
      <c r="AC80" s="38"/>
      <c r="AD80" s="38"/>
      <c r="AE80" s="34"/>
      <c r="AF80" s="34" t="str">
        <f t="shared" si="16"/>
        <v>FALSE</v>
      </c>
      <c r="AG80" s="35">
        <f t="shared" si="10"/>
        <v>0</v>
      </c>
      <c r="AH80" s="36" t="str">
        <f t="shared" si="11"/>
        <v/>
      </c>
    </row>
    <row r="81" spans="1:34" ht="1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29" t="str">
        <f t="shared" si="12"/>
        <v/>
      </c>
      <c r="Q81" s="30"/>
      <c r="R81" s="31"/>
      <c r="S81" s="68"/>
      <c r="T81" s="40"/>
      <c r="U81" s="38"/>
      <c r="V81" s="74"/>
      <c r="W81" s="34" t="str">
        <f t="shared" si="13"/>
        <v>FALSE</v>
      </c>
      <c r="X81" s="34" t="str">
        <f t="shared" si="9"/>
        <v>FALSE</v>
      </c>
      <c r="Y81" s="35">
        <f t="shared" si="14"/>
        <v>0</v>
      </c>
      <c r="Z81" s="36" t="str">
        <f t="shared" si="15"/>
        <v/>
      </c>
      <c r="AA81" s="6"/>
      <c r="AB81" s="41"/>
      <c r="AC81" s="38"/>
      <c r="AD81" s="38"/>
      <c r="AE81" s="34"/>
      <c r="AF81" s="34" t="str">
        <f t="shared" si="16"/>
        <v>FALSE</v>
      </c>
      <c r="AG81" s="35">
        <f t="shared" si="10"/>
        <v>0</v>
      </c>
      <c r="AH81" s="36" t="str">
        <f t="shared" si="11"/>
        <v/>
      </c>
    </row>
    <row r="82" spans="1:34" ht="1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29" t="str">
        <f t="shared" si="12"/>
        <v/>
      </c>
      <c r="Q82" s="30"/>
      <c r="R82" s="31"/>
      <c r="S82" s="68"/>
      <c r="T82" s="40"/>
      <c r="U82" s="38"/>
      <c r="V82" s="74"/>
      <c r="W82" s="34" t="str">
        <f t="shared" si="13"/>
        <v>FALSE</v>
      </c>
      <c r="X82" s="34" t="str">
        <f t="shared" si="9"/>
        <v>FALSE</v>
      </c>
      <c r="Y82" s="35">
        <f t="shared" si="14"/>
        <v>0</v>
      </c>
      <c r="Z82" s="36" t="str">
        <f t="shared" si="15"/>
        <v/>
      </c>
      <c r="AA82" s="6"/>
      <c r="AB82" s="41"/>
      <c r="AC82" s="38"/>
      <c r="AD82" s="38"/>
      <c r="AE82" s="34"/>
      <c r="AF82" s="34" t="str">
        <f t="shared" si="16"/>
        <v>FALSE</v>
      </c>
      <c r="AG82" s="35">
        <f t="shared" si="10"/>
        <v>0</v>
      </c>
      <c r="AH82" s="36" t="str">
        <f t="shared" si="11"/>
        <v/>
      </c>
    </row>
    <row r="83" spans="1:34" ht="1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29" t="str">
        <f t="shared" si="12"/>
        <v/>
      </c>
      <c r="Q83" s="30"/>
      <c r="R83" s="31"/>
      <c r="S83" s="68"/>
      <c r="T83" s="40"/>
      <c r="U83" s="38"/>
      <c r="V83" s="74"/>
      <c r="W83" s="34" t="str">
        <f t="shared" si="13"/>
        <v>FALSE</v>
      </c>
      <c r="X83" s="34" t="str">
        <f t="shared" si="9"/>
        <v>FALSE</v>
      </c>
      <c r="Y83" s="35">
        <f t="shared" si="14"/>
        <v>0</v>
      </c>
      <c r="Z83" s="36" t="str">
        <f t="shared" si="15"/>
        <v/>
      </c>
      <c r="AA83" s="6"/>
      <c r="AB83" s="41"/>
      <c r="AC83" s="38"/>
      <c r="AD83" s="38"/>
      <c r="AE83" s="34"/>
      <c r="AF83" s="34" t="str">
        <f t="shared" si="16"/>
        <v>FALSE</v>
      </c>
      <c r="AG83" s="35">
        <f t="shared" si="10"/>
        <v>0</v>
      </c>
      <c r="AH83" s="36" t="str">
        <f t="shared" si="11"/>
        <v/>
      </c>
    </row>
    <row r="84" spans="1:34" ht="1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29" t="str">
        <f t="shared" si="12"/>
        <v/>
      </c>
      <c r="Q84" s="30"/>
      <c r="R84" s="31"/>
      <c r="S84" s="68"/>
      <c r="T84" s="40"/>
      <c r="U84" s="38"/>
      <c r="V84" s="74"/>
      <c r="W84" s="34" t="str">
        <f t="shared" si="13"/>
        <v>FALSE</v>
      </c>
      <c r="X84" s="34" t="str">
        <f t="shared" si="9"/>
        <v>FALSE</v>
      </c>
      <c r="Y84" s="35">
        <f t="shared" si="14"/>
        <v>0</v>
      </c>
      <c r="Z84" s="36" t="str">
        <f t="shared" si="15"/>
        <v/>
      </c>
      <c r="AA84" s="6"/>
      <c r="AB84" s="41"/>
      <c r="AC84" s="38"/>
      <c r="AD84" s="38"/>
      <c r="AE84" s="34"/>
      <c r="AF84" s="34" t="str">
        <f t="shared" si="16"/>
        <v>FALSE</v>
      </c>
      <c r="AG84" s="35">
        <f t="shared" si="10"/>
        <v>0</v>
      </c>
      <c r="AH84" s="36" t="str">
        <f t="shared" si="11"/>
        <v/>
      </c>
    </row>
    <row r="85" spans="1:34" ht="1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29" t="str">
        <f t="shared" si="12"/>
        <v/>
      </c>
      <c r="Q85" s="30"/>
      <c r="R85" s="31"/>
      <c r="S85" s="68"/>
      <c r="T85" s="40"/>
      <c r="U85" s="38"/>
      <c r="V85" s="74"/>
      <c r="W85" s="34" t="str">
        <f t="shared" si="13"/>
        <v>FALSE</v>
      </c>
      <c r="X85" s="34" t="str">
        <f t="shared" si="9"/>
        <v>FALSE</v>
      </c>
      <c r="Y85" s="35">
        <f t="shared" si="14"/>
        <v>0</v>
      </c>
      <c r="Z85" s="36" t="str">
        <f t="shared" si="15"/>
        <v/>
      </c>
      <c r="AA85" s="6"/>
      <c r="AB85" s="41"/>
      <c r="AC85" s="38"/>
      <c r="AD85" s="38"/>
      <c r="AE85" s="34"/>
      <c r="AF85" s="34" t="str">
        <f t="shared" si="16"/>
        <v>FALSE</v>
      </c>
      <c r="AG85" s="35">
        <f t="shared" si="10"/>
        <v>0</v>
      </c>
      <c r="AH85" s="36" t="str">
        <f t="shared" si="11"/>
        <v/>
      </c>
    </row>
    <row r="86" spans="1:34" ht="1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29" t="str">
        <f t="shared" si="12"/>
        <v/>
      </c>
      <c r="Q86" s="30"/>
      <c r="R86" s="31"/>
      <c r="S86" s="68"/>
      <c r="T86" s="40"/>
      <c r="U86" s="38"/>
      <c r="V86" s="74"/>
      <c r="W86" s="34" t="str">
        <f t="shared" si="13"/>
        <v>FALSE</v>
      </c>
      <c r="X86" s="34" t="str">
        <f t="shared" si="9"/>
        <v>FALSE</v>
      </c>
      <c r="Y86" s="35">
        <f t="shared" si="14"/>
        <v>0</v>
      </c>
      <c r="Z86" s="36" t="str">
        <f t="shared" si="15"/>
        <v/>
      </c>
      <c r="AA86" s="6"/>
      <c r="AB86" s="41"/>
      <c r="AC86" s="38"/>
      <c r="AD86" s="38"/>
      <c r="AE86" s="34"/>
      <c r="AF86" s="34" t="str">
        <f t="shared" si="16"/>
        <v>FALSE</v>
      </c>
      <c r="AG86" s="35">
        <f t="shared" si="10"/>
        <v>0</v>
      </c>
      <c r="AH86" s="36" t="str">
        <f t="shared" si="11"/>
        <v/>
      </c>
    </row>
    <row r="87" spans="1:34" ht="1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29" t="str">
        <f t="shared" si="12"/>
        <v/>
      </c>
      <c r="Q87" s="30"/>
      <c r="R87" s="31"/>
      <c r="S87" s="68"/>
      <c r="T87" s="40"/>
      <c r="U87" s="38"/>
      <c r="V87" s="74"/>
      <c r="W87" s="34" t="str">
        <f t="shared" si="13"/>
        <v>FALSE</v>
      </c>
      <c r="X87" s="34" t="str">
        <f t="shared" si="9"/>
        <v>FALSE</v>
      </c>
      <c r="Y87" s="35">
        <f t="shared" si="14"/>
        <v>0</v>
      </c>
      <c r="Z87" s="36" t="str">
        <f t="shared" si="15"/>
        <v/>
      </c>
      <c r="AA87" s="6"/>
      <c r="AB87" s="41"/>
      <c r="AC87" s="38"/>
      <c r="AD87" s="38"/>
      <c r="AE87" s="34"/>
      <c r="AF87" s="34" t="str">
        <f t="shared" si="16"/>
        <v>FALSE</v>
      </c>
      <c r="AG87" s="35">
        <f t="shared" si="10"/>
        <v>0</v>
      </c>
      <c r="AH87" s="36" t="str">
        <f t="shared" si="11"/>
        <v/>
      </c>
    </row>
    <row r="88" spans="1:34" ht="1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29" t="str">
        <f t="shared" si="12"/>
        <v/>
      </c>
      <c r="Q88" s="30"/>
      <c r="R88" s="31"/>
      <c r="S88" s="68"/>
      <c r="T88" s="40"/>
      <c r="U88" s="38"/>
      <c r="V88" s="74"/>
      <c r="W88" s="34" t="str">
        <f t="shared" si="13"/>
        <v>FALSE</v>
      </c>
      <c r="X88" s="34" t="str">
        <f t="shared" si="9"/>
        <v>FALSE</v>
      </c>
      <c r="Y88" s="35">
        <f t="shared" si="14"/>
        <v>0</v>
      </c>
      <c r="Z88" s="36" t="str">
        <f t="shared" si="15"/>
        <v/>
      </c>
      <c r="AA88" s="6"/>
      <c r="AB88" s="41"/>
      <c r="AC88" s="38"/>
      <c r="AD88" s="38"/>
      <c r="AE88" s="34"/>
      <c r="AF88" s="34" t="str">
        <f t="shared" si="16"/>
        <v>FALSE</v>
      </c>
      <c r="AG88" s="35">
        <f t="shared" si="10"/>
        <v>0</v>
      </c>
      <c r="AH88" s="36" t="str">
        <f t="shared" si="11"/>
        <v/>
      </c>
    </row>
    <row r="89" spans="1:34" ht="1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29" t="str">
        <f t="shared" si="12"/>
        <v/>
      </c>
      <c r="Q89" s="30"/>
      <c r="R89" s="31"/>
      <c r="S89" s="68"/>
      <c r="T89" s="40"/>
      <c r="U89" s="38"/>
      <c r="V89" s="74"/>
      <c r="W89" s="34" t="str">
        <f t="shared" si="13"/>
        <v>FALSE</v>
      </c>
      <c r="X89" s="34" t="str">
        <f t="shared" si="9"/>
        <v>FALSE</v>
      </c>
      <c r="Y89" s="35">
        <f t="shared" si="14"/>
        <v>0</v>
      </c>
      <c r="Z89" s="36" t="str">
        <f t="shared" si="15"/>
        <v/>
      </c>
      <c r="AA89" s="6"/>
      <c r="AB89" s="41"/>
      <c r="AC89" s="38"/>
      <c r="AD89" s="38"/>
      <c r="AE89" s="34"/>
      <c r="AF89" s="34" t="str">
        <f t="shared" si="16"/>
        <v>FALSE</v>
      </c>
      <c r="AG89" s="35">
        <f t="shared" si="10"/>
        <v>0</v>
      </c>
      <c r="AH89" s="36" t="str">
        <f t="shared" si="11"/>
        <v/>
      </c>
    </row>
    <row r="90" spans="1:34" ht="1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29" t="str">
        <f t="shared" si="12"/>
        <v/>
      </c>
      <c r="Q90" s="30"/>
      <c r="R90" s="31"/>
      <c r="S90" s="68"/>
      <c r="T90" s="40"/>
      <c r="U90" s="38"/>
      <c r="V90" s="74"/>
      <c r="W90" s="34" t="str">
        <f t="shared" si="13"/>
        <v>FALSE</v>
      </c>
      <c r="X90" s="34" t="str">
        <f t="shared" si="9"/>
        <v>FALSE</v>
      </c>
      <c r="Y90" s="35">
        <f t="shared" si="14"/>
        <v>0</v>
      </c>
      <c r="Z90" s="36" t="str">
        <f t="shared" si="15"/>
        <v/>
      </c>
      <c r="AA90" s="6"/>
      <c r="AB90" s="41"/>
      <c r="AC90" s="38"/>
      <c r="AD90" s="38"/>
      <c r="AE90" s="34"/>
      <c r="AF90" s="34" t="str">
        <f t="shared" si="16"/>
        <v>FALSE</v>
      </c>
      <c r="AG90" s="35">
        <f t="shared" si="10"/>
        <v>0</v>
      </c>
      <c r="AH90" s="36" t="str">
        <f t="shared" si="11"/>
        <v/>
      </c>
    </row>
    <row r="91" spans="1:34" ht="1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29" t="str">
        <f t="shared" si="12"/>
        <v/>
      </c>
      <c r="Q91" s="30"/>
      <c r="R91" s="31"/>
      <c r="S91" s="68"/>
      <c r="T91" s="40"/>
      <c r="U91" s="38"/>
      <c r="V91" s="74"/>
      <c r="W91" s="34" t="str">
        <f t="shared" si="13"/>
        <v>FALSE</v>
      </c>
      <c r="X91" s="34" t="str">
        <f t="shared" si="9"/>
        <v>FALSE</v>
      </c>
      <c r="Y91" s="35">
        <f t="shared" si="14"/>
        <v>0</v>
      </c>
      <c r="Z91" s="36" t="str">
        <f t="shared" si="15"/>
        <v/>
      </c>
      <c r="AA91" s="6"/>
      <c r="AB91" s="41"/>
      <c r="AC91" s="38"/>
      <c r="AD91" s="38"/>
      <c r="AE91" s="34"/>
      <c r="AF91" s="34" t="str">
        <f t="shared" si="16"/>
        <v>FALSE</v>
      </c>
      <c r="AG91" s="35">
        <f t="shared" si="10"/>
        <v>0</v>
      </c>
      <c r="AH91" s="36" t="str">
        <f t="shared" si="11"/>
        <v/>
      </c>
    </row>
    <row r="92" spans="1:34" ht="1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29" t="str">
        <f t="shared" si="12"/>
        <v/>
      </c>
      <c r="Q92" s="30"/>
      <c r="R92" s="31"/>
      <c r="S92" s="68"/>
      <c r="T92" s="40"/>
      <c r="U92" s="38"/>
      <c r="V92" s="74"/>
      <c r="W92" s="34" t="str">
        <f t="shared" si="13"/>
        <v>FALSE</v>
      </c>
      <c r="X92" s="34" t="str">
        <f t="shared" si="9"/>
        <v>FALSE</v>
      </c>
      <c r="Y92" s="35">
        <f t="shared" si="14"/>
        <v>0</v>
      </c>
      <c r="Z92" s="36" t="str">
        <f t="shared" si="15"/>
        <v/>
      </c>
      <c r="AA92" s="6"/>
      <c r="AB92" s="41"/>
      <c r="AC92" s="38"/>
      <c r="AD92" s="38"/>
      <c r="AE92" s="34"/>
      <c r="AF92" s="34" t="str">
        <f t="shared" si="16"/>
        <v>FALSE</v>
      </c>
      <c r="AG92" s="35">
        <f t="shared" si="10"/>
        <v>0</v>
      </c>
      <c r="AH92" s="36" t="str">
        <f t="shared" si="11"/>
        <v/>
      </c>
    </row>
    <row r="93" spans="1:34" ht="1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29" t="str">
        <f t="shared" si="12"/>
        <v/>
      </c>
      <c r="Q93" s="30"/>
      <c r="R93" s="31"/>
      <c r="S93" s="68"/>
      <c r="T93" s="40"/>
      <c r="U93" s="38"/>
      <c r="V93" s="74"/>
      <c r="W93" s="34" t="str">
        <f t="shared" si="13"/>
        <v>FALSE</v>
      </c>
      <c r="X93" s="34" t="str">
        <f t="shared" si="9"/>
        <v>FALSE</v>
      </c>
      <c r="Y93" s="35">
        <f t="shared" si="14"/>
        <v>0</v>
      </c>
      <c r="Z93" s="36" t="str">
        <f t="shared" si="15"/>
        <v/>
      </c>
      <c r="AA93" s="6"/>
      <c r="AB93" s="41"/>
      <c r="AC93" s="38"/>
      <c r="AD93" s="38"/>
      <c r="AE93" s="34"/>
      <c r="AF93" s="34" t="str">
        <f t="shared" si="16"/>
        <v>FALSE</v>
      </c>
      <c r="AG93" s="35">
        <f t="shared" si="10"/>
        <v>0</v>
      </c>
      <c r="AH93" s="36" t="str">
        <f t="shared" si="11"/>
        <v/>
      </c>
    </row>
    <row r="94" spans="1:34" ht="1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29" t="str">
        <f t="shared" si="12"/>
        <v/>
      </c>
      <c r="Q94" s="30"/>
      <c r="R94" s="31"/>
      <c r="S94" s="68"/>
      <c r="T94" s="40"/>
      <c r="U94" s="38"/>
      <c r="V94" s="74"/>
      <c r="W94" s="34" t="str">
        <f t="shared" si="13"/>
        <v>FALSE</v>
      </c>
      <c r="X94" s="34" t="str">
        <f t="shared" si="9"/>
        <v>FALSE</v>
      </c>
      <c r="Y94" s="35">
        <f t="shared" si="14"/>
        <v>0</v>
      </c>
      <c r="Z94" s="36" t="str">
        <f t="shared" si="15"/>
        <v/>
      </c>
      <c r="AA94" s="6"/>
      <c r="AB94" s="41"/>
      <c r="AC94" s="38"/>
      <c r="AD94" s="38"/>
      <c r="AE94" s="34"/>
      <c r="AF94" s="34" t="str">
        <f t="shared" si="16"/>
        <v>FALSE</v>
      </c>
      <c r="AG94" s="35">
        <f t="shared" si="10"/>
        <v>0</v>
      </c>
      <c r="AH94" s="36" t="str">
        <f t="shared" si="11"/>
        <v/>
      </c>
    </row>
    <row r="95" spans="1:34" ht="1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29" t="str">
        <f t="shared" si="12"/>
        <v/>
      </c>
      <c r="Q95" s="30"/>
      <c r="R95" s="31"/>
      <c r="S95" s="68"/>
      <c r="T95" s="40"/>
      <c r="U95" s="38"/>
      <c r="V95" s="74"/>
      <c r="W95" s="34" t="str">
        <f t="shared" si="13"/>
        <v>FALSE</v>
      </c>
      <c r="X95" s="34" t="str">
        <f t="shared" si="9"/>
        <v>FALSE</v>
      </c>
      <c r="Y95" s="35">
        <f t="shared" si="14"/>
        <v>0</v>
      </c>
      <c r="Z95" s="36" t="str">
        <f t="shared" si="15"/>
        <v/>
      </c>
      <c r="AA95" s="6"/>
      <c r="AB95" s="41"/>
      <c r="AC95" s="38"/>
      <c r="AD95" s="38"/>
      <c r="AE95" s="34"/>
      <c r="AF95" s="34" t="str">
        <f t="shared" si="16"/>
        <v>FALSE</v>
      </c>
      <c r="AG95" s="35">
        <f t="shared" si="10"/>
        <v>0</v>
      </c>
      <c r="AH95" s="36" t="str">
        <f t="shared" si="11"/>
        <v/>
      </c>
    </row>
    <row r="96" spans="1:34" ht="1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29" t="str">
        <f t="shared" si="12"/>
        <v/>
      </c>
      <c r="Q96" s="30"/>
      <c r="R96" s="31"/>
      <c r="S96" s="68"/>
      <c r="T96" s="40"/>
      <c r="U96" s="38"/>
      <c r="V96" s="74"/>
      <c r="W96" s="34" t="str">
        <f t="shared" si="13"/>
        <v>FALSE</v>
      </c>
      <c r="X96" s="34" t="str">
        <f t="shared" si="9"/>
        <v>FALSE</v>
      </c>
      <c r="Y96" s="35">
        <f t="shared" si="14"/>
        <v>0</v>
      </c>
      <c r="Z96" s="36" t="str">
        <f t="shared" si="15"/>
        <v/>
      </c>
      <c r="AA96" s="6"/>
      <c r="AB96" s="41"/>
      <c r="AC96" s="38"/>
      <c r="AD96" s="38"/>
      <c r="AE96" s="34"/>
      <c r="AF96" s="34" t="str">
        <f t="shared" si="16"/>
        <v>FALSE</v>
      </c>
      <c r="AG96" s="35">
        <f t="shared" si="10"/>
        <v>0</v>
      </c>
      <c r="AH96" s="36" t="str">
        <f t="shared" si="11"/>
        <v/>
      </c>
    </row>
    <row r="97" spans="1:34" ht="1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29" t="str">
        <f t="shared" si="12"/>
        <v/>
      </c>
      <c r="Q97" s="30"/>
      <c r="R97" s="31"/>
      <c r="S97" s="68"/>
      <c r="T97" s="40"/>
      <c r="U97" s="38"/>
      <c r="V97" s="74"/>
      <c r="W97" s="34" t="str">
        <f t="shared" si="13"/>
        <v>FALSE</v>
      </c>
      <c r="X97" s="34" t="str">
        <f t="shared" si="9"/>
        <v>FALSE</v>
      </c>
      <c r="Y97" s="35">
        <f t="shared" si="14"/>
        <v>0</v>
      </c>
      <c r="Z97" s="36" t="str">
        <f t="shared" si="15"/>
        <v/>
      </c>
      <c r="AA97" s="6"/>
      <c r="AB97" s="41"/>
      <c r="AC97" s="38"/>
      <c r="AD97" s="38"/>
      <c r="AE97" s="34"/>
      <c r="AF97" s="34" t="str">
        <f t="shared" si="16"/>
        <v>FALSE</v>
      </c>
      <c r="AG97" s="35">
        <f t="shared" si="10"/>
        <v>0</v>
      </c>
      <c r="AH97" s="36" t="str">
        <f t="shared" si="11"/>
        <v/>
      </c>
    </row>
    <row r="98" spans="1:34" ht="1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29" t="str">
        <f t="shared" si="12"/>
        <v/>
      </c>
      <c r="Q98" s="30"/>
      <c r="R98" s="31"/>
      <c r="S98" s="68"/>
      <c r="T98" s="40"/>
      <c r="U98" s="38"/>
      <c r="V98" s="74"/>
      <c r="W98" s="34" t="str">
        <f t="shared" si="13"/>
        <v>FALSE</v>
      </c>
      <c r="X98" s="34" t="str">
        <f t="shared" si="9"/>
        <v>FALSE</v>
      </c>
      <c r="Y98" s="35">
        <f t="shared" si="14"/>
        <v>0</v>
      </c>
      <c r="Z98" s="36" t="str">
        <f t="shared" si="15"/>
        <v/>
      </c>
      <c r="AA98" s="6"/>
      <c r="AB98" s="41"/>
      <c r="AC98" s="38"/>
      <c r="AD98" s="38"/>
      <c r="AE98" s="34"/>
      <c r="AF98" s="34" t="str">
        <f t="shared" si="16"/>
        <v>FALSE</v>
      </c>
      <c r="AG98" s="35">
        <f t="shared" si="10"/>
        <v>0</v>
      </c>
      <c r="AH98" s="36" t="str">
        <f t="shared" si="11"/>
        <v/>
      </c>
    </row>
    <row r="99" spans="1:34" ht="1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29" t="str">
        <f t="shared" si="12"/>
        <v/>
      </c>
      <c r="Q99" s="30"/>
      <c r="R99" s="31"/>
      <c r="S99" s="68"/>
      <c r="T99" s="40"/>
      <c r="U99" s="38"/>
      <c r="V99" s="74"/>
      <c r="W99" s="34" t="str">
        <f t="shared" si="13"/>
        <v>FALSE</v>
      </c>
      <c r="X99" s="34" t="str">
        <f t="shared" si="9"/>
        <v>FALSE</v>
      </c>
      <c r="Y99" s="35">
        <f t="shared" si="14"/>
        <v>0</v>
      </c>
      <c r="Z99" s="36" t="str">
        <f t="shared" si="15"/>
        <v/>
      </c>
      <c r="AA99" s="6"/>
      <c r="AB99" s="41"/>
      <c r="AC99" s="38"/>
      <c r="AD99" s="38"/>
      <c r="AE99" s="34"/>
      <c r="AF99" s="34" t="str">
        <f t="shared" si="16"/>
        <v>FALSE</v>
      </c>
      <c r="AG99" s="35">
        <f t="shared" si="10"/>
        <v>0</v>
      </c>
      <c r="AH99" s="36" t="str">
        <f t="shared" si="11"/>
        <v/>
      </c>
    </row>
    <row r="100" spans="1:34" ht="1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29" t="str">
        <f t="shared" si="12"/>
        <v/>
      </c>
      <c r="Q100" s="30"/>
      <c r="R100" s="31"/>
      <c r="S100" s="68"/>
      <c r="T100" s="40"/>
      <c r="U100" s="38"/>
      <c r="V100" s="74"/>
      <c r="W100" s="34" t="str">
        <f t="shared" si="13"/>
        <v>FALSE</v>
      </c>
      <c r="X100" s="34" t="str">
        <f t="shared" si="9"/>
        <v>FALSE</v>
      </c>
      <c r="Y100" s="35">
        <f t="shared" si="14"/>
        <v>0</v>
      </c>
      <c r="Z100" s="36" t="str">
        <f t="shared" si="15"/>
        <v/>
      </c>
      <c r="AA100" s="6"/>
      <c r="AB100" s="41"/>
      <c r="AC100" s="38"/>
      <c r="AD100" s="38"/>
      <c r="AE100" s="34"/>
      <c r="AF100" s="34" t="str">
        <f t="shared" si="16"/>
        <v>FALSE</v>
      </c>
      <c r="AG100" s="35">
        <f t="shared" si="10"/>
        <v>0</v>
      </c>
      <c r="AH100" s="36" t="str">
        <f t="shared" si="11"/>
        <v/>
      </c>
    </row>
    <row r="101" spans="1:34" ht="1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29" t="str">
        <f t="shared" si="12"/>
        <v/>
      </c>
      <c r="Q101" s="30"/>
      <c r="R101" s="31"/>
      <c r="S101" s="68"/>
      <c r="T101" s="40"/>
      <c r="U101" s="38"/>
      <c r="V101" s="74"/>
      <c r="W101" s="34" t="str">
        <f t="shared" si="13"/>
        <v>FALSE</v>
      </c>
      <c r="X101" s="34" t="str">
        <f t="shared" si="9"/>
        <v>FALSE</v>
      </c>
      <c r="Y101" s="35">
        <f t="shared" si="14"/>
        <v>0</v>
      </c>
      <c r="Z101" s="36" t="str">
        <f t="shared" si="15"/>
        <v/>
      </c>
      <c r="AA101" s="6"/>
      <c r="AB101" s="41"/>
      <c r="AC101" s="38"/>
      <c r="AD101" s="38"/>
      <c r="AE101" s="34"/>
      <c r="AF101" s="34" t="str">
        <f t="shared" si="16"/>
        <v>FALSE</v>
      </c>
      <c r="AG101" s="35">
        <f t="shared" si="10"/>
        <v>0</v>
      </c>
      <c r="AH101" s="36" t="str">
        <f t="shared" si="11"/>
        <v/>
      </c>
    </row>
    <row r="102" spans="1:34" ht="1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29" t="str">
        <f t="shared" si="12"/>
        <v/>
      </c>
      <c r="Q102" s="30"/>
      <c r="R102" s="31"/>
      <c r="S102" s="68"/>
      <c r="T102" s="40"/>
      <c r="U102" s="38"/>
      <c r="V102" s="74"/>
      <c r="W102" s="34" t="str">
        <f t="shared" si="13"/>
        <v>FALSE</v>
      </c>
      <c r="X102" s="34" t="str">
        <f t="shared" si="9"/>
        <v>FALSE</v>
      </c>
      <c r="Y102" s="35">
        <f t="shared" si="14"/>
        <v>0</v>
      </c>
      <c r="Z102" s="36" t="str">
        <f t="shared" si="15"/>
        <v/>
      </c>
      <c r="AA102" s="6"/>
      <c r="AB102" s="41"/>
      <c r="AC102" s="38"/>
      <c r="AD102" s="38"/>
      <c r="AE102" s="34"/>
      <c r="AF102" s="34" t="str">
        <f t="shared" si="16"/>
        <v>FALSE</v>
      </c>
      <c r="AG102" s="35">
        <f t="shared" si="10"/>
        <v>0</v>
      </c>
      <c r="AH102" s="36" t="str">
        <f t="shared" si="11"/>
        <v/>
      </c>
    </row>
    <row r="103" spans="1:34" ht="1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29" t="str">
        <f t="shared" si="12"/>
        <v/>
      </c>
      <c r="Q103" s="30"/>
      <c r="R103" s="31"/>
      <c r="S103" s="68"/>
      <c r="T103" s="40"/>
      <c r="U103" s="38"/>
      <c r="V103" s="74"/>
      <c r="W103" s="34" t="str">
        <f t="shared" si="13"/>
        <v>FALSE</v>
      </c>
      <c r="X103" s="34" t="str">
        <f t="shared" si="9"/>
        <v>FALSE</v>
      </c>
      <c r="Y103" s="35">
        <f t="shared" si="14"/>
        <v>0</v>
      </c>
      <c r="Z103" s="36" t="str">
        <f t="shared" si="15"/>
        <v/>
      </c>
      <c r="AA103" s="6"/>
      <c r="AB103" s="41"/>
      <c r="AC103" s="38"/>
      <c r="AD103" s="38"/>
      <c r="AE103" s="34"/>
      <c r="AF103" s="34" t="str">
        <f t="shared" si="16"/>
        <v>FALSE</v>
      </c>
      <c r="AG103" s="35">
        <f t="shared" si="10"/>
        <v>0</v>
      </c>
      <c r="AH103" s="36" t="str">
        <f t="shared" si="11"/>
        <v/>
      </c>
    </row>
    <row r="104" spans="1:34" ht="1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29" t="str">
        <f t="shared" si="12"/>
        <v/>
      </c>
      <c r="Q104" s="30"/>
      <c r="R104" s="31"/>
      <c r="S104" s="68"/>
      <c r="T104" s="40"/>
      <c r="U104" s="38"/>
      <c r="V104" s="74"/>
      <c r="W104" s="34" t="str">
        <f t="shared" si="13"/>
        <v>FALSE</v>
      </c>
      <c r="X104" s="34" t="str">
        <f t="shared" si="9"/>
        <v>FALSE</v>
      </c>
      <c r="Y104" s="35">
        <f t="shared" si="14"/>
        <v>0</v>
      </c>
      <c r="Z104" s="36" t="str">
        <f t="shared" si="15"/>
        <v/>
      </c>
      <c r="AA104" s="6"/>
      <c r="AB104" s="41"/>
      <c r="AC104" s="38"/>
      <c r="AD104" s="38"/>
      <c r="AE104" s="34"/>
      <c r="AF104" s="34" t="str">
        <f t="shared" si="16"/>
        <v>FALSE</v>
      </c>
      <c r="AG104" s="35">
        <f t="shared" si="10"/>
        <v>0</v>
      </c>
      <c r="AH104" s="36" t="str">
        <f t="shared" si="11"/>
        <v/>
      </c>
    </row>
    <row r="105" spans="1:34" ht="1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29" t="str">
        <f t="shared" si="12"/>
        <v/>
      </c>
      <c r="Q105" s="30"/>
      <c r="R105" s="31"/>
      <c r="S105" s="68"/>
      <c r="T105" s="40"/>
      <c r="U105" s="38"/>
      <c r="V105" s="74"/>
      <c r="W105" s="34" t="str">
        <f t="shared" si="13"/>
        <v>FALSE</v>
      </c>
      <c r="X105" s="34" t="str">
        <f t="shared" si="9"/>
        <v>FALSE</v>
      </c>
      <c r="Y105" s="35">
        <f t="shared" si="14"/>
        <v>0</v>
      </c>
      <c r="Z105" s="36" t="str">
        <f t="shared" si="15"/>
        <v/>
      </c>
      <c r="AA105" s="6"/>
      <c r="AB105" s="41"/>
      <c r="AC105" s="38"/>
      <c r="AD105" s="38"/>
      <c r="AE105" s="34"/>
      <c r="AF105" s="34" t="str">
        <f t="shared" si="16"/>
        <v>FALSE</v>
      </c>
      <c r="AG105" s="35">
        <f t="shared" si="10"/>
        <v>0</v>
      </c>
      <c r="AH105" s="36" t="str">
        <f t="shared" si="11"/>
        <v/>
      </c>
    </row>
    <row r="106" spans="1:34" ht="1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29" t="str">
        <f t="shared" si="12"/>
        <v/>
      </c>
      <c r="Q106" s="30"/>
      <c r="R106" s="31"/>
      <c r="S106" s="68"/>
      <c r="T106" s="40"/>
      <c r="U106" s="38"/>
      <c r="V106" s="74"/>
      <c r="W106" s="34" t="str">
        <f t="shared" si="13"/>
        <v>FALSE</v>
      </c>
      <c r="X106" s="34" t="str">
        <f t="shared" si="9"/>
        <v>FALSE</v>
      </c>
      <c r="Y106" s="35">
        <f t="shared" si="14"/>
        <v>0</v>
      </c>
      <c r="Z106" s="36" t="str">
        <f t="shared" si="15"/>
        <v/>
      </c>
      <c r="AA106" s="6"/>
      <c r="AB106" s="41"/>
      <c r="AC106" s="38"/>
      <c r="AD106" s="38"/>
      <c r="AE106" s="34"/>
      <c r="AF106" s="34" t="str">
        <f t="shared" si="16"/>
        <v>FALSE</v>
      </c>
      <c r="AG106" s="35">
        <f t="shared" si="10"/>
        <v>0</v>
      </c>
      <c r="AH106" s="36" t="str">
        <f t="shared" si="11"/>
        <v/>
      </c>
    </row>
    <row r="107" spans="1:34" ht="1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29" t="str">
        <f t="shared" si="12"/>
        <v/>
      </c>
      <c r="Q107" s="30"/>
      <c r="R107" s="31"/>
      <c r="S107" s="68"/>
      <c r="T107" s="40"/>
      <c r="U107" s="38"/>
      <c r="V107" s="74"/>
      <c r="W107" s="34" t="str">
        <f t="shared" si="13"/>
        <v>FALSE</v>
      </c>
      <c r="X107" s="34" t="str">
        <f t="shared" si="9"/>
        <v>FALSE</v>
      </c>
      <c r="Y107" s="35">
        <f t="shared" si="14"/>
        <v>0</v>
      </c>
      <c r="Z107" s="36" t="str">
        <f t="shared" si="15"/>
        <v/>
      </c>
      <c r="AA107" s="6"/>
      <c r="AB107" s="41"/>
      <c r="AC107" s="38"/>
      <c r="AD107" s="38"/>
      <c r="AE107" s="34"/>
      <c r="AF107" s="34" t="str">
        <f t="shared" si="16"/>
        <v>FALSE</v>
      </c>
      <c r="AG107" s="35">
        <f t="shared" si="10"/>
        <v>0</v>
      </c>
      <c r="AH107" s="36" t="str">
        <f t="shared" si="11"/>
        <v/>
      </c>
    </row>
    <row r="108" spans="1:34" ht="1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29" t="str">
        <f t="shared" si="12"/>
        <v/>
      </c>
      <c r="Q108" s="30"/>
      <c r="R108" s="31"/>
      <c r="S108" s="68"/>
      <c r="T108" s="40"/>
      <c r="U108" s="38"/>
      <c r="V108" s="74"/>
      <c r="W108" s="34" t="str">
        <f t="shared" si="13"/>
        <v>FALSE</v>
      </c>
      <c r="X108" s="34" t="str">
        <f t="shared" si="9"/>
        <v>FALSE</v>
      </c>
      <c r="Y108" s="35">
        <f t="shared" si="14"/>
        <v>0</v>
      </c>
      <c r="Z108" s="36" t="str">
        <f t="shared" si="15"/>
        <v/>
      </c>
      <c r="AA108" s="6"/>
      <c r="AB108" s="41"/>
      <c r="AC108" s="38"/>
      <c r="AD108" s="38"/>
      <c r="AE108" s="34"/>
      <c r="AF108" s="34" t="str">
        <f t="shared" si="16"/>
        <v>FALSE</v>
      </c>
      <c r="AG108" s="35">
        <f t="shared" si="10"/>
        <v>0</v>
      </c>
      <c r="AH108" s="36" t="str">
        <f t="shared" si="11"/>
        <v/>
      </c>
    </row>
    <row r="109" spans="1:34" ht="1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29" t="str">
        <f t="shared" si="12"/>
        <v/>
      </c>
      <c r="Q109" s="30"/>
      <c r="R109" s="31"/>
      <c r="S109" s="68"/>
      <c r="T109" s="40"/>
      <c r="U109" s="38"/>
      <c r="V109" s="74"/>
      <c r="W109" s="34" t="str">
        <f t="shared" si="13"/>
        <v>FALSE</v>
      </c>
      <c r="X109" s="34" t="str">
        <f t="shared" si="9"/>
        <v>FALSE</v>
      </c>
      <c r="Y109" s="35">
        <f t="shared" si="14"/>
        <v>0</v>
      </c>
      <c r="Z109" s="36" t="str">
        <f t="shared" si="15"/>
        <v/>
      </c>
      <c r="AA109" s="6"/>
      <c r="AB109" s="41"/>
      <c r="AC109" s="38"/>
      <c r="AD109" s="38"/>
      <c r="AE109" s="34"/>
      <c r="AF109" s="34" t="str">
        <f t="shared" si="16"/>
        <v>FALSE</v>
      </c>
      <c r="AG109" s="35">
        <f t="shared" si="10"/>
        <v>0</v>
      </c>
      <c r="AH109" s="36" t="str">
        <f t="shared" si="11"/>
        <v/>
      </c>
    </row>
    <row r="110" spans="1:34" ht="1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29" t="str">
        <f t="shared" si="12"/>
        <v/>
      </c>
      <c r="Q110" s="30"/>
      <c r="R110" s="31"/>
      <c r="S110" s="68"/>
      <c r="T110" s="40"/>
      <c r="U110" s="38"/>
      <c r="V110" s="74"/>
      <c r="W110" s="34" t="str">
        <f t="shared" si="13"/>
        <v>FALSE</v>
      </c>
      <c r="X110" s="34" t="str">
        <f t="shared" si="9"/>
        <v>FALSE</v>
      </c>
      <c r="Y110" s="35">
        <f t="shared" si="14"/>
        <v>0</v>
      </c>
      <c r="Z110" s="36" t="str">
        <f t="shared" si="15"/>
        <v/>
      </c>
      <c r="AA110" s="6"/>
      <c r="AB110" s="41"/>
      <c r="AC110" s="38"/>
      <c r="AD110" s="38"/>
      <c r="AE110" s="34"/>
      <c r="AF110" s="34" t="str">
        <f t="shared" si="16"/>
        <v>FALSE</v>
      </c>
      <c r="AG110" s="35">
        <f t="shared" si="10"/>
        <v>0</v>
      </c>
      <c r="AH110" s="36" t="str">
        <f t="shared" si="11"/>
        <v/>
      </c>
    </row>
    <row r="111" spans="1:34" ht="1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29" t="str">
        <f t="shared" si="12"/>
        <v/>
      </c>
      <c r="Q111" s="30"/>
      <c r="R111" s="31"/>
      <c r="S111" s="68"/>
      <c r="T111" s="40"/>
      <c r="U111" s="38"/>
      <c r="V111" s="74"/>
      <c r="W111" s="34" t="str">
        <f t="shared" si="13"/>
        <v>FALSE</v>
      </c>
      <c r="X111" s="34" t="str">
        <f t="shared" si="9"/>
        <v>FALSE</v>
      </c>
      <c r="Y111" s="35">
        <f t="shared" si="14"/>
        <v>0</v>
      </c>
      <c r="Z111" s="36" t="str">
        <f t="shared" si="15"/>
        <v/>
      </c>
      <c r="AA111" s="6"/>
      <c r="AB111" s="41"/>
      <c r="AC111" s="38"/>
      <c r="AD111" s="38"/>
      <c r="AE111" s="34"/>
      <c r="AF111" s="34" t="str">
        <f t="shared" si="16"/>
        <v>FALSE</v>
      </c>
      <c r="AG111" s="35">
        <f t="shared" si="10"/>
        <v>0</v>
      </c>
      <c r="AH111" s="36" t="str">
        <f t="shared" si="11"/>
        <v/>
      </c>
    </row>
    <row r="112" spans="1:34" ht="1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29" t="str">
        <f t="shared" si="12"/>
        <v/>
      </c>
      <c r="Q112" s="30"/>
      <c r="R112" s="31"/>
      <c r="S112" s="68"/>
      <c r="T112" s="40"/>
      <c r="U112" s="38"/>
      <c r="V112" s="74"/>
      <c r="W112" s="34" t="str">
        <f t="shared" si="13"/>
        <v>FALSE</v>
      </c>
      <c r="X112" s="34" t="str">
        <f t="shared" si="9"/>
        <v>FALSE</v>
      </c>
      <c r="Y112" s="35">
        <f t="shared" si="14"/>
        <v>0</v>
      </c>
      <c r="Z112" s="36" t="str">
        <f t="shared" si="15"/>
        <v/>
      </c>
      <c r="AA112" s="6"/>
      <c r="AB112" s="41"/>
      <c r="AC112" s="38"/>
      <c r="AD112" s="38"/>
      <c r="AE112" s="34"/>
      <c r="AF112" s="34" t="str">
        <f t="shared" si="16"/>
        <v>FALSE</v>
      </c>
      <c r="AG112" s="35">
        <f t="shared" si="10"/>
        <v>0</v>
      </c>
      <c r="AH112" s="36" t="str">
        <f t="shared" si="11"/>
        <v/>
      </c>
    </row>
    <row r="113" spans="1:34" ht="1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29" t="str">
        <f t="shared" si="12"/>
        <v/>
      </c>
      <c r="Q113" s="30"/>
      <c r="R113" s="31"/>
      <c r="S113" s="68"/>
      <c r="T113" s="40"/>
      <c r="U113" s="38"/>
      <c r="V113" s="74"/>
      <c r="W113" s="34" t="str">
        <f t="shared" si="13"/>
        <v>FALSE</v>
      </c>
      <c r="X113" s="34" t="str">
        <f t="shared" si="9"/>
        <v>FALSE</v>
      </c>
      <c r="Y113" s="35">
        <f t="shared" si="14"/>
        <v>0</v>
      </c>
      <c r="Z113" s="36" t="str">
        <f t="shared" si="15"/>
        <v/>
      </c>
      <c r="AA113" s="6"/>
      <c r="AB113" s="41"/>
      <c r="AC113" s="38"/>
      <c r="AD113" s="38"/>
      <c r="AE113" s="34"/>
      <c r="AF113" s="34" t="str">
        <f t="shared" si="16"/>
        <v>FALSE</v>
      </c>
      <c r="AG113" s="35">
        <f t="shared" si="10"/>
        <v>0</v>
      </c>
      <c r="AH113" s="36" t="str">
        <f t="shared" si="11"/>
        <v/>
      </c>
    </row>
    <row r="114" spans="1:34" ht="1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29" t="str">
        <f t="shared" si="12"/>
        <v/>
      </c>
      <c r="Q114" s="30"/>
      <c r="R114" s="31"/>
      <c r="S114" s="68"/>
      <c r="T114" s="40"/>
      <c r="U114" s="38"/>
      <c r="V114" s="74"/>
      <c r="W114" s="34" t="str">
        <f t="shared" si="13"/>
        <v>FALSE</v>
      </c>
      <c r="X114" s="34" t="str">
        <f t="shared" si="9"/>
        <v>FALSE</v>
      </c>
      <c r="Y114" s="35">
        <f t="shared" si="14"/>
        <v>0</v>
      </c>
      <c r="Z114" s="36" t="str">
        <f t="shared" si="15"/>
        <v/>
      </c>
      <c r="AA114" s="6"/>
      <c r="AB114" s="41"/>
      <c r="AC114" s="38"/>
      <c r="AD114" s="38"/>
      <c r="AE114" s="34"/>
      <c r="AF114" s="34" t="str">
        <f t="shared" si="16"/>
        <v>FALSE</v>
      </c>
      <c r="AG114" s="35">
        <f t="shared" si="10"/>
        <v>0</v>
      </c>
      <c r="AH114" s="36" t="str">
        <f t="shared" si="11"/>
        <v/>
      </c>
    </row>
    <row r="115" spans="1:34" ht="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29" t="str">
        <f t="shared" si="12"/>
        <v/>
      </c>
      <c r="Q115" s="30"/>
      <c r="R115" s="31"/>
      <c r="S115" s="68"/>
      <c r="T115" s="40"/>
      <c r="U115" s="38"/>
      <c r="V115" s="74"/>
      <c r="W115" s="34" t="str">
        <f t="shared" si="13"/>
        <v>FALSE</v>
      </c>
      <c r="X115" s="34" t="str">
        <f t="shared" si="9"/>
        <v>FALSE</v>
      </c>
      <c r="Y115" s="35">
        <f t="shared" si="14"/>
        <v>0</v>
      </c>
      <c r="Z115" s="36" t="str">
        <f t="shared" si="15"/>
        <v/>
      </c>
      <c r="AA115" s="6"/>
      <c r="AB115" s="41"/>
      <c r="AC115" s="38"/>
      <c r="AD115" s="38"/>
      <c r="AE115" s="34"/>
      <c r="AF115" s="34" t="str">
        <f t="shared" si="16"/>
        <v>FALSE</v>
      </c>
      <c r="AG115" s="35">
        <f t="shared" si="10"/>
        <v>0</v>
      </c>
      <c r="AH115" s="36" t="str">
        <f t="shared" si="11"/>
        <v/>
      </c>
    </row>
    <row r="116" spans="1:34" ht="1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29" t="str">
        <f t="shared" si="12"/>
        <v/>
      </c>
      <c r="Q116" s="30"/>
      <c r="R116" s="31"/>
      <c r="S116" s="68"/>
      <c r="T116" s="40"/>
      <c r="U116" s="38"/>
      <c r="V116" s="74"/>
      <c r="W116" s="34" t="str">
        <f t="shared" si="13"/>
        <v>FALSE</v>
      </c>
      <c r="X116" s="34" t="str">
        <f t="shared" si="9"/>
        <v>FALSE</v>
      </c>
      <c r="Y116" s="35">
        <f t="shared" si="14"/>
        <v>0</v>
      </c>
      <c r="Z116" s="36" t="str">
        <f t="shared" si="15"/>
        <v/>
      </c>
      <c r="AA116" s="6"/>
      <c r="AB116" s="41"/>
      <c r="AC116" s="38"/>
      <c r="AD116" s="38"/>
      <c r="AE116" s="34"/>
      <c r="AF116" s="34" t="str">
        <f t="shared" si="16"/>
        <v>FALSE</v>
      </c>
      <c r="AG116" s="35">
        <f t="shared" si="10"/>
        <v>0</v>
      </c>
      <c r="AH116" s="36" t="str">
        <f t="shared" si="11"/>
        <v/>
      </c>
    </row>
    <row r="117" spans="1:34" ht="1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29" t="str">
        <f t="shared" si="12"/>
        <v/>
      </c>
      <c r="Q117" s="30"/>
      <c r="R117" s="31"/>
      <c r="S117" s="68"/>
      <c r="T117" s="40"/>
      <c r="U117" s="38"/>
      <c r="V117" s="74"/>
      <c r="W117" s="34" t="str">
        <f t="shared" si="13"/>
        <v>FALSE</v>
      </c>
      <c r="X117" s="34" t="str">
        <f t="shared" si="9"/>
        <v>FALSE</v>
      </c>
      <c r="Y117" s="35">
        <f t="shared" si="14"/>
        <v>0</v>
      </c>
      <c r="Z117" s="36" t="str">
        <f t="shared" si="15"/>
        <v/>
      </c>
      <c r="AA117" s="6"/>
      <c r="AB117" s="41"/>
      <c r="AC117" s="38"/>
      <c r="AD117" s="38"/>
      <c r="AE117" s="34"/>
      <c r="AF117" s="34" t="str">
        <f t="shared" si="16"/>
        <v>FALSE</v>
      </c>
      <c r="AG117" s="35">
        <f t="shared" si="10"/>
        <v>0</v>
      </c>
      <c r="AH117" s="36" t="str">
        <f t="shared" si="11"/>
        <v/>
      </c>
    </row>
    <row r="118" spans="1:34" ht="1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29" t="str">
        <f t="shared" si="12"/>
        <v/>
      </c>
      <c r="Q118" s="30"/>
      <c r="R118" s="31"/>
      <c r="S118" s="68"/>
      <c r="T118" s="40"/>
      <c r="U118" s="38"/>
      <c r="V118" s="74"/>
      <c r="W118" s="34" t="str">
        <f t="shared" si="13"/>
        <v>FALSE</v>
      </c>
      <c r="X118" s="34" t="str">
        <f t="shared" si="9"/>
        <v>FALSE</v>
      </c>
      <c r="Y118" s="35">
        <f t="shared" si="14"/>
        <v>0</v>
      </c>
      <c r="Z118" s="36" t="str">
        <f t="shared" si="15"/>
        <v/>
      </c>
      <c r="AA118" s="6"/>
      <c r="AB118" s="41"/>
      <c r="AC118" s="38"/>
      <c r="AD118" s="38"/>
      <c r="AE118" s="34"/>
      <c r="AF118" s="34" t="str">
        <f t="shared" si="16"/>
        <v>FALSE</v>
      </c>
      <c r="AG118" s="35">
        <f t="shared" si="10"/>
        <v>0</v>
      </c>
      <c r="AH118" s="36" t="str">
        <f t="shared" si="11"/>
        <v/>
      </c>
    </row>
    <row r="119" spans="1:34" ht="1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29" t="str">
        <f t="shared" si="12"/>
        <v/>
      </c>
      <c r="Q119" s="30"/>
      <c r="R119" s="31"/>
      <c r="S119" s="68"/>
      <c r="T119" s="40"/>
      <c r="U119" s="38"/>
      <c r="V119" s="74"/>
      <c r="W119" s="34" t="str">
        <f t="shared" si="13"/>
        <v>FALSE</v>
      </c>
      <c r="X119" s="34" t="str">
        <f t="shared" si="9"/>
        <v>FALSE</v>
      </c>
      <c r="Y119" s="35">
        <f t="shared" si="14"/>
        <v>0</v>
      </c>
      <c r="Z119" s="36" t="str">
        <f t="shared" si="15"/>
        <v/>
      </c>
      <c r="AA119" s="6"/>
      <c r="AB119" s="41"/>
      <c r="AC119" s="38"/>
      <c r="AD119" s="38"/>
      <c r="AE119" s="34"/>
      <c r="AF119" s="34" t="str">
        <f t="shared" si="16"/>
        <v>FALSE</v>
      </c>
      <c r="AG119" s="35">
        <f t="shared" si="10"/>
        <v>0</v>
      </c>
      <c r="AH119" s="36" t="str">
        <f t="shared" si="11"/>
        <v/>
      </c>
    </row>
    <row r="120" spans="1:34" ht="1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29" t="str">
        <f t="shared" si="12"/>
        <v/>
      </c>
      <c r="Q120" s="30"/>
      <c r="R120" s="31"/>
      <c r="S120" s="68"/>
      <c r="T120" s="40"/>
      <c r="U120" s="38"/>
      <c r="V120" s="74"/>
      <c r="W120" s="34" t="str">
        <f t="shared" si="13"/>
        <v>FALSE</v>
      </c>
      <c r="X120" s="34" t="str">
        <f t="shared" si="9"/>
        <v>FALSE</v>
      </c>
      <c r="Y120" s="35">
        <f t="shared" si="14"/>
        <v>0</v>
      </c>
      <c r="Z120" s="36" t="str">
        <f t="shared" si="15"/>
        <v/>
      </c>
      <c r="AA120" s="6"/>
      <c r="AB120" s="41"/>
      <c r="AC120" s="38"/>
      <c r="AD120" s="38"/>
      <c r="AE120" s="34"/>
      <c r="AF120" s="34" t="str">
        <f t="shared" si="16"/>
        <v>FALSE</v>
      </c>
      <c r="AG120" s="35">
        <f t="shared" si="10"/>
        <v>0</v>
      </c>
      <c r="AH120" s="36" t="str">
        <f t="shared" si="11"/>
        <v/>
      </c>
    </row>
  </sheetData>
  <mergeCells count="11">
    <mergeCell ref="P6:U6"/>
    <mergeCell ref="X6:AA6"/>
    <mergeCell ref="Q8:Z8"/>
    <mergeCell ref="AB8:AH8"/>
    <mergeCell ref="D1:L2"/>
    <mergeCell ref="X2:AA2"/>
    <mergeCell ref="AC2:AG2"/>
    <mergeCell ref="P3:R3"/>
    <mergeCell ref="T3:U3"/>
    <mergeCell ref="X3:AA3"/>
    <mergeCell ref="AC3:AG3"/>
  </mergeCells>
  <conditionalFormatting sqref="U14:U120">
    <cfRule type="containsBlanks" dxfId="19" priority="1">
      <formula>LEN(TRIM(U14))=0</formula>
    </cfRule>
    <cfRule type="expression" dxfId="18" priority="2">
      <formula>AND(X14&gt;=2,X14&lt;3)</formula>
    </cfRule>
    <cfRule type="expression" dxfId="17" priority="3">
      <formula>X14&gt;3</formula>
    </cfRule>
  </conditionalFormatting>
  <conditionalFormatting sqref="W14:W120">
    <cfRule type="expression" dxfId="16" priority="15">
      <formula>X14="FALSE"</formula>
    </cfRule>
  </conditionalFormatting>
  <conditionalFormatting sqref="X14:X120">
    <cfRule type="expression" dxfId="15" priority="14">
      <formula>X14="FALSE"</formula>
    </cfRule>
    <cfRule type="expression" dxfId="14" priority="16">
      <formula>AND(X14&gt;2,X14&lt;3)</formula>
    </cfRule>
  </conditionalFormatting>
  <conditionalFormatting sqref="X14:Y50 X51:X120">
    <cfRule type="expression" dxfId="13" priority="20">
      <formula>X14&gt;=3</formula>
    </cfRule>
  </conditionalFormatting>
  <conditionalFormatting sqref="Y14:Y50">
    <cfRule type="expression" dxfId="12" priority="19">
      <formula>AND(X14&gt;=2,X14&lt;3)</formula>
    </cfRule>
  </conditionalFormatting>
  <conditionalFormatting sqref="Z14:Z120">
    <cfRule type="cellIs" dxfId="11" priority="17" operator="notBetween">
      <formula>0.8</formula>
      <formula>1.15</formula>
    </cfRule>
  </conditionalFormatting>
  <conditionalFormatting sqref="AC14:AC120">
    <cfRule type="containsBlanks" dxfId="10" priority="4">
      <formula>LEN(TRIM(AC14))=0</formula>
    </cfRule>
    <cfRule type="expression" dxfId="9" priority="5">
      <formula>AND(AF14&gt;=2,AF14&lt;3)</formula>
    </cfRule>
    <cfRule type="expression" dxfId="8" priority="6">
      <formula>AF14&gt;3</formula>
    </cfRule>
  </conditionalFormatting>
  <conditionalFormatting sqref="AE14:AE120">
    <cfRule type="expression" dxfId="7" priority="13">
      <formula>AF14="FALSE"</formula>
    </cfRule>
  </conditionalFormatting>
  <conditionalFormatting sqref="AF14:AF120">
    <cfRule type="expression" dxfId="6" priority="10">
      <formula>AF14="FALSE"</formula>
    </cfRule>
    <cfRule type="expression" dxfId="5" priority="11">
      <formula>AND(AF14&gt;2,AF14&lt;3)</formula>
    </cfRule>
    <cfRule type="expression" dxfId="4" priority="12">
      <formula>AF14&gt;=3</formula>
    </cfRule>
  </conditionalFormatting>
  <conditionalFormatting sqref="AG14:AG120">
    <cfRule type="expression" dxfId="3" priority="7">
      <formula>AF14=0</formula>
    </cfRule>
    <cfRule type="expression" dxfId="2" priority="8">
      <formula>AND(AF14&gt;=2,AF14&lt;3)</formula>
    </cfRule>
    <cfRule type="expression" dxfId="1" priority="9">
      <formula>AG14&gt;=3</formula>
    </cfRule>
  </conditionalFormatting>
  <conditionalFormatting sqref="AH14:AH120">
    <cfRule type="cellIs" dxfId="0" priority="18" operator="notBetween">
      <formula>0.8</formula>
      <formula>1.15</formula>
    </cfRule>
  </conditionalFormatting>
  <pageMargins left="0.4" right="0.4" top="0.4" bottom="0.4" header="0" footer="0"/>
  <pageSetup scale="10" fitToHeight="0" orientation="landscape" horizontalDpi="4294967292" verticalDpi="4294967292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5808509-a494-44d5-b5b9-68c7724eda1d">
      <Terms xmlns="http://schemas.microsoft.com/office/infopath/2007/PartnerControls"/>
    </lcf76f155ced4ddcb4097134ff3c332f>
    <AcknowledgeButton xmlns="c5808509-a494-44d5-b5b9-68c7724eda1d" xsi:nil="true"/>
    <TaxCatchAll xmlns="74a281e5-73b3-4141-98a4-82aaf9efda0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7A018343851546960D0B06287A612C" ma:contentTypeVersion="23" ma:contentTypeDescription="Create a new document." ma:contentTypeScope="" ma:versionID="d03ffaabab7a29ea0fd6199d03b1aafd">
  <xsd:schema xmlns:xsd="http://www.w3.org/2001/XMLSchema" xmlns:xs="http://www.w3.org/2001/XMLSchema" xmlns:p="http://schemas.microsoft.com/office/2006/metadata/properties" xmlns:ns2="c5808509-a494-44d5-b5b9-68c7724eda1d" xmlns:ns3="74a281e5-73b3-4141-98a4-82aaf9efda00" targetNamespace="http://schemas.microsoft.com/office/2006/metadata/properties" ma:root="true" ma:fieldsID="b86a6fb18d48f5875fd5e81e2b5c0491" ns2:_="" ns3:_="">
    <xsd:import namespace="c5808509-a494-44d5-b5b9-68c7724eda1d"/>
    <xsd:import namespace="74a281e5-73b3-4141-98a4-82aaf9efda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AcknowledgeButto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808509-a494-44d5-b5b9-68c7724eda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AcknowledgeButton" ma:index="22" nillable="true" ma:displayName="AcknowledgeButton" ma:format="Dropdown" ma:internalName="AcknowledgeButton">
      <xsd:simpleType>
        <xsd:restriction base="dms:Text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281e5-73b3-4141-98a4-82aaf9efda0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d3e68794-1bbd-4b66-a9be-8cfbcbea9c14}" ma:internalName="TaxCatchAll" ma:showField="CatchAllData" ma:web="74a281e5-73b3-4141-98a4-82aaf9efda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3A4B8F-5DC8-415F-816D-B25BA948E389}"/>
</file>

<file path=customXml/itemProps2.xml><?xml version="1.0" encoding="utf-8"?>
<ds:datastoreItem xmlns:ds="http://schemas.openxmlformats.org/officeDocument/2006/customXml" ds:itemID="{DF203DB2-2E2D-43D9-B498-249DDC2B90F2}"/>
</file>

<file path=customXml/itemProps3.xml><?xml version="1.0" encoding="utf-8"?>
<ds:datastoreItem xmlns:ds="http://schemas.openxmlformats.org/officeDocument/2006/customXml" ds:itemID="{44467C33-05D5-404D-B208-1227AD6C60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bchbpi@nus.edu.sg</dc:creator>
  <cp:keywords/>
  <dc:description/>
  <cp:lastModifiedBy/>
  <cp:revision/>
  <dcterms:created xsi:type="dcterms:W3CDTF">2025-11-05T07:26:12Z</dcterms:created>
  <dcterms:modified xsi:type="dcterms:W3CDTF">2026-06-03T06:13:52Z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0x010100787A018343851546960D0B06287A612C</vt:lpwstr>
  </property>
  <property fmtid="{D5CDD505-2E9C-101B-9397-08002B2CF9AE}" pid="3" name="MediaServiceImageTags">
    <vt:lpwstr/>
  </property>
</Properties>
</file>