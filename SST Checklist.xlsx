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nesannasiji/Desktop/"/>
    </mc:Choice>
  </mc:AlternateContent>
  <xr:revisionPtr revIDLastSave="0" documentId="13_ncr:1_{DAE1CF4B-A05F-EC46-AC62-A8C460F13C59}" xr6:coauthVersionLast="47" xr6:coauthVersionMax="47" xr10:uidLastSave="{00000000-0000-0000-0000-000000000000}"/>
  <bookViews>
    <workbookView xWindow="0" yWindow="660" windowWidth="29400" windowHeight="18460" tabRatio="664" firstSheet="13" activeTab="13" xr2:uid="{5D6AD84D-DD24-4977-8AC1-8339DFB2D115}"/>
  </bookViews>
  <sheets>
    <sheet name="Main Checklist" sheetId="1" r:id="rId1"/>
    <sheet name="11-deoxycorticosterone" sheetId="2" r:id="rId2"/>
    <sheet name="11-deoxycortisol" sheetId="9" r:id="rId3"/>
    <sheet name="17-OHP" sheetId="10" r:id="rId4"/>
    <sheet name="21-deoxycortisol" sheetId="11" r:id="rId5"/>
    <sheet name="Aldosterone" sheetId="12" r:id="rId6"/>
    <sheet name="Androstenedione" sheetId="13" r:id="rId7"/>
    <sheet name="Corticosterone" sheetId="14" r:id="rId8"/>
    <sheet name="Cortisol" sheetId="15" r:id="rId9"/>
    <sheet name="Cortisone" sheetId="16" r:id="rId10"/>
    <sheet name="Dexamethasone" sheetId="17" r:id="rId11"/>
    <sheet name="DHEA" sheetId="18" r:id="rId12"/>
    <sheet name="DHEA-S" sheetId="19" r:id="rId13"/>
    <sheet name="DHT" sheetId="20" r:id="rId14"/>
    <sheet name="Progesterone" sheetId="21" r:id="rId15"/>
    <sheet name="Testosterone" sheetId="2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2" l="1"/>
  <c r="O2" i="11"/>
  <c r="N2" i="10"/>
  <c r="N2" i="9"/>
  <c r="N2" i="2"/>
  <c r="N4" i="2" s="1"/>
  <c r="E2" i="19"/>
  <c r="F11" i="22"/>
  <c r="E11" i="22"/>
  <c r="F10" i="22"/>
  <c r="E10" i="22"/>
  <c r="F9" i="22"/>
  <c r="E9" i="22"/>
  <c r="F8" i="22"/>
  <c r="E8" i="22"/>
  <c r="F7" i="22"/>
  <c r="E7" i="22"/>
  <c r="F6" i="22"/>
  <c r="E6" i="22"/>
  <c r="F5" i="22"/>
  <c r="E5" i="22"/>
  <c r="F4" i="22"/>
  <c r="E4" i="22"/>
  <c r="F3" i="22"/>
  <c r="E3" i="22"/>
  <c r="M2" i="22"/>
  <c r="F2" i="22"/>
  <c r="E2" i="22"/>
  <c r="F11" i="21"/>
  <c r="E11" i="21"/>
  <c r="F10" i="21"/>
  <c r="E10" i="21"/>
  <c r="F9" i="21"/>
  <c r="E9" i="21"/>
  <c r="F8" i="21"/>
  <c r="E8" i="21"/>
  <c r="F7" i="21"/>
  <c r="E7" i="21"/>
  <c r="F6" i="21"/>
  <c r="E6" i="21"/>
  <c r="F5" i="21"/>
  <c r="E5" i="21"/>
  <c r="F4" i="21"/>
  <c r="E4" i="21"/>
  <c r="F3" i="21"/>
  <c r="E3" i="21"/>
  <c r="N2" i="21"/>
  <c r="M2" i="21"/>
  <c r="F2" i="21"/>
  <c r="E2" i="21"/>
  <c r="F11" i="20"/>
  <c r="E11" i="20"/>
  <c r="F10" i="20"/>
  <c r="E10" i="20"/>
  <c r="F9" i="20"/>
  <c r="E9" i="20"/>
  <c r="F8" i="20"/>
  <c r="E8" i="20"/>
  <c r="F7" i="20"/>
  <c r="E7" i="20"/>
  <c r="F6" i="20"/>
  <c r="E6" i="20"/>
  <c r="F5" i="20"/>
  <c r="E5" i="20"/>
  <c r="F4" i="20"/>
  <c r="E4" i="20"/>
  <c r="F3" i="20"/>
  <c r="E3" i="20"/>
  <c r="N2" i="20"/>
  <c r="M2" i="20"/>
  <c r="F2" i="20"/>
  <c r="E2" i="20"/>
  <c r="F11" i="19"/>
  <c r="E11" i="19"/>
  <c r="F10" i="19"/>
  <c r="E10" i="19"/>
  <c r="F9" i="19"/>
  <c r="E9" i="19"/>
  <c r="F8" i="19"/>
  <c r="E8" i="19"/>
  <c r="F7" i="19"/>
  <c r="E7" i="19"/>
  <c r="F6" i="19"/>
  <c r="E6" i="19"/>
  <c r="F5" i="19"/>
  <c r="E5" i="19"/>
  <c r="F4" i="19"/>
  <c r="E4" i="19"/>
  <c r="F3" i="19"/>
  <c r="E3" i="19"/>
  <c r="N2" i="19"/>
  <c r="M2" i="19"/>
  <c r="F2" i="19"/>
  <c r="F11" i="18"/>
  <c r="E11" i="18"/>
  <c r="F10" i="18"/>
  <c r="E10" i="18"/>
  <c r="F9" i="18"/>
  <c r="E9" i="18"/>
  <c r="F8" i="18"/>
  <c r="E8" i="18"/>
  <c r="F7" i="18"/>
  <c r="E7" i="18"/>
  <c r="F6" i="18"/>
  <c r="E6" i="18"/>
  <c r="F5" i="18"/>
  <c r="E5" i="18"/>
  <c r="F4" i="18"/>
  <c r="E4" i="18"/>
  <c r="F3" i="18"/>
  <c r="E3" i="18"/>
  <c r="N2" i="18"/>
  <c r="M2" i="18"/>
  <c r="F2" i="18"/>
  <c r="E2" i="18"/>
  <c r="F11" i="17"/>
  <c r="E11" i="17"/>
  <c r="F10" i="17"/>
  <c r="E10" i="17"/>
  <c r="F9" i="17"/>
  <c r="E9" i="17"/>
  <c r="F8" i="17"/>
  <c r="E8" i="17"/>
  <c r="F7" i="17"/>
  <c r="E7" i="17"/>
  <c r="F6" i="17"/>
  <c r="E6" i="17"/>
  <c r="F5" i="17"/>
  <c r="E5" i="17"/>
  <c r="F4" i="17"/>
  <c r="E4" i="17"/>
  <c r="F3" i="17"/>
  <c r="E3" i="17"/>
  <c r="N2" i="17"/>
  <c r="M2" i="17"/>
  <c r="F2" i="17"/>
  <c r="E2" i="17"/>
  <c r="F11" i="16"/>
  <c r="E11" i="16"/>
  <c r="F10" i="16"/>
  <c r="E10" i="16"/>
  <c r="F9" i="16"/>
  <c r="E9" i="16"/>
  <c r="F8" i="16"/>
  <c r="E8" i="16"/>
  <c r="F7" i="16"/>
  <c r="E7" i="16"/>
  <c r="F6" i="16"/>
  <c r="E6" i="16"/>
  <c r="F5" i="16"/>
  <c r="E5" i="16"/>
  <c r="F4" i="16"/>
  <c r="E4" i="16"/>
  <c r="F3" i="16"/>
  <c r="E3" i="16"/>
  <c r="N2" i="16"/>
  <c r="M2" i="16"/>
  <c r="F2" i="16"/>
  <c r="E2" i="16"/>
  <c r="F11" i="15"/>
  <c r="E11" i="15"/>
  <c r="F10" i="15"/>
  <c r="E10" i="15"/>
  <c r="F9" i="15"/>
  <c r="E9" i="15"/>
  <c r="F8" i="15"/>
  <c r="E8" i="15"/>
  <c r="F7" i="15"/>
  <c r="E7" i="15"/>
  <c r="F6" i="15"/>
  <c r="E6" i="15"/>
  <c r="F5" i="15"/>
  <c r="E5" i="15"/>
  <c r="F4" i="15"/>
  <c r="E4" i="15"/>
  <c r="F3" i="15"/>
  <c r="E3" i="15"/>
  <c r="O2" i="15"/>
  <c r="N2" i="15"/>
  <c r="F2" i="15"/>
  <c r="E2" i="15"/>
  <c r="O4" i="9"/>
  <c r="O4" i="10"/>
  <c r="O4" i="11"/>
  <c r="O4" i="12"/>
  <c r="O4" i="13"/>
  <c r="F11" i="14"/>
  <c r="E11" i="14"/>
  <c r="F10" i="14"/>
  <c r="E10" i="14"/>
  <c r="F9" i="14"/>
  <c r="E9" i="14"/>
  <c r="F8" i="14"/>
  <c r="E8" i="14"/>
  <c r="F7" i="14"/>
  <c r="E7" i="14"/>
  <c r="F6" i="14"/>
  <c r="E6" i="14"/>
  <c r="F5" i="14"/>
  <c r="E5" i="14"/>
  <c r="F4" i="14"/>
  <c r="E4" i="14"/>
  <c r="F3" i="14"/>
  <c r="E3" i="14"/>
  <c r="O2" i="14"/>
  <c r="N2" i="14"/>
  <c r="F2" i="14"/>
  <c r="E2" i="14"/>
  <c r="F11" i="13"/>
  <c r="E11" i="13"/>
  <c r="F10" i="13"/>
  <c r="E10" i="13"/>
  <c r="F9" i="13"/>
  <c r="E9" i="13"/>
  <c r="F8" i="13"/>
  <c r="E8" i="13"/>
  <c r="F7" i="13"/>
  <c r="E7" i="13"/>
  <c r="F6" i="13"/>
  <c r="E6" i="13"/>
  <c r="F5" i="13"/>
  <c r="E5" i="13"/>
  <c r="F4" i="13"/>
  <c r="E4" i="13"/>
  <c r="F3" i="13"/>
  <c r="E3" i="13"/>
  <c r="O2" i="13"/>
  <c r="N2" i="13"/>
  <c r="F2" i="13"/>
  <c r="E2" i="13"/>
  <c r="N2" i="12"/>
  <c r="F11" i="12"/>
  <c r="E11" i="12"/>
  <c r="F10" i="12"/>
  <c r="E10" i="12"/>
  <c r="F9" i="12"/>
  <c r="E9" i="12"/>
  <c r="F8" i="12"/>
  <c r="E8" i="12"/>
  <c r="F7" i="12"/>
  <c r="E7" i="12"/>
  <c r="F6" i="12"/>
  <c r="E6" i="12"/>
  <c r="F5" i="12"/>
  <c r="E5" i="12"/>
  <c r="F4" i="12"/>
  <c r="E4" i="12"/>
  <c r="F3" i="12"/>
  <c r="E3" i="12"/>
  <c r="O2" i="12"/>
  <c r="F2" i="12"/>
  <c r="E2" i="12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F3" i="11"/>
  <c r="E3" i="11"/>
  <c r="N2" i="11"/>
  <c r="F2" i="11"/>
  <c r="E2" i="11"/>
  <c r="F11" i="10"/>
  <c r="E11" i="10"/>
  <c r="F10" i="10"/>
  <c r="E10" i="10"/>
  <c r="F9" i="10"/>
  <c r="E9" i="10"/>
  <c r="F8" i="10"/>
  <c r="E8" i="10"/>
  <c r="F7" i="10"/>
  <c r="E7" i="10"/>
  <c r="F6" i="10"/>
  <c r="E6" i="10"/>
  <c r="F5" i="10"/>
  <c r="E5" i="10"/>
  <c r="F4" i="10"/>
  <c r="E4" i="10"/>
  <c r="F3" i="10"/>
  <c r="E3" i="10"/>
  <c r="O2" i="10"/>
  <c r="F2" i="10"/>
  <c r="E2" i="10"/>
  <c r="F2" i="9"/>
  <c r="F3" i="9"/>
  <c r="F4" i="9"/>
  <c r="F5" i="9"/>
  <c r="F6" i="9"/>
  <c r="F7" i="9"/>
  <c r="F8" i="9"/>
  <c r="F9" i="9"/>
  <c r="F10" i="9"/>
  <c r="F11" i="9"/>
  <c r="O2" i="9"/>
  <c r="E3" i="9"/>
  <c r="E4" i="9"/>
  <c r="E5" i="9"/>
  <c r="E6" i="9"/>
  <c r="E7" i="9"/>
  <c r="E8" i="9"/>
  <c r="E9" i="9"/>
  <c r="E10" i="9"/>
  <c r="E11" i="9"/>
  <c r="E2" i="9"/>
  <c r="E2" i="2"/>
  <c r="D2" i="2"/>
  <c r="D4" i="2"/>
  <c r="D5" i="2"/>
  <c r="D6" i="2"/>
  <c r="D7" i="2"/>
  <c r="D8" i="2"/>
  <c r="D9" i="2"/>
  <c r="D10" i="2"/>
  <c r="D11" i="2"/>
  <c r="D3" i="2"/>
  <c r="M2" i="2"/>
  <c r="F5" i="1"/>
  <c r="G5" i="1" s="1"/>
  <c r="F3" i="1"/>
  <c r="G3" i="1" s="1"/>
  <c r="F4" i="1"/>
  <c r="G4" i="1" s="1"/>
  <c r="F2" i="1"/>
  <c r="G2" i="1" s="1"/>
  <c r="G6" i="1"/>
  <c r="G7" i="1"/>
  <c r="G8" i="1"/>
  <c r="G9" i="1"/>
  <c r="G10" i="1"/>
  <c r="G11" i="1"/>
  <c r="G12" i="1"/>
  <c r="J2" i="22" l="1"/>
  <c r="I2" i="22"/>
  <c r="H2" i="22"/>
  <c r="G2" i="22"/>
  <c r="D2" i="22" s="1"/>
  <c r="R2" i="22"/>
  <c r="Q2" i="22"/>
  <c r="P2" i="22"/>
  <c r="O2" i="22"/>
  <c r="N4" i="22"/>
  <c r="J3" i="22"/>
  <c r="I3" i="22"/>
  <c r="H3" i="22"/>
  <c r="G3" i="22"/>
  <c r="D3" i="22" s="1"/>
  <c r="J4" i="22"/>
  <c r="I4" i="22"/>
  <c r="H4" i="22"/>
  <c r="G4" i="22"/>
  <c r="D4" i="22" s="1"/>
  <c r="J5" i="22"/>
  <c r="I5" i="22"/>
  <c r="H5" i="22"/>
  <c r="G5" i="22"/>
  <c r="D5" i="22" s="1"/>
  <c r="J6" i="22"/>
  <c r="I6" i="22"/>
  <c r="H6" i="22"/>
  <c r="G6" i="22"/>
  <c r="D6" i="22" s="1"/>
  <c r="J7" i="22"/>
  <c r="I7" i="22"/>
  <c r="H7" i="22"/>
  <c r="G7" i="22"/>
  <c r="D7" i="22" s="1"/>
  <c r="J8" i="22"/>
  <c r="I8" i="22"/>
  <c r="H8" i="22"/>
  <c r="G8" i="22"/>
  <c r="D8" i="22" s="1"/>
  <c r="J9" i="22"/>
  <c r="I9" i="22"/>
  <c r="H9" i="22"/>
  <c r="G9" i="22"/>
  <c r="D9" i="22" s="1"/>
  <c r="J10" i="22"/>
  <c r="I10" i="22"/>
  <c r="H10" i="22"/>
  <c r="G10" i="22"/>
  <c r="D10" i="22" s="1"/>
  <c r="J11" i="22"/>
  <c r="I11" i="22"/>
  <c r="H11" i="22"/>
  <c r="G11" i="22"/>
  <c r="D11" i="22" s="1"/>
  <c r="J2" i="21"/>
  <c r="I2" i="21"/>
  <c r="H2" i="21"/>
  <c r="G2" i="21"/>
  <c r="D2" i="21" s="1"/>
  <c r="R2" i="21"/>
  <c r="Q2" i="21"/>
  <c r="P2" i="21"/>
  <c r="O2" i="21"/>
  <c r="N4" i="21"/>
  <c r="J3" i="21"/>
  <c r="I3" i="21"/>
  <c r="H3" i="21"/>
  <c r="G3" i="21"/>
  <c r="D3" i="21" s="1"/>
  <c r="J4" i="21"/>
  <c r="I4" i="21"/>
  <c r="H4" i="21"/>
  <c r="G4" i="21"/>
  <c r="D4" i="21" s="1"/>
  <c r="J5" i="21"/>
  <c r="I5" i="21"/>
  <c r="H5" i="21"/>
  <c r="G5" i="21"/>
  <c r="D5" i="21" s="1"/>
  <c r="J6" i="21"/>
  <c r="I6" i="21"/>
  <c r="H6" i="21"/>
  <c r="G6" i="21"/>
  <c r="D6" i="21" s="1"/>
  <c r="J7" i="21"/>
  <c r="I7" i="21"/>
  <c r="H7" i="21"/>
  <c r="G7" i="21"/>
  <c r="D7" i="21" s="1"/>
  <c r="J8" i="21"/>
  <c r="I8" i="21"/>
  <c r="H8" i="21"/>
  <c r="G8" i="21"/>
  <c r="D8" i="21" s="1"/>
  <c r="J9" i="21"/>
  <c r="I9" i="21"/>
  <c r="H9" i="21"/>
  <c r="G9" i="21"/>
  <c r="D9" i="21" s="1"/>
  <c r="J10" i="21"/>
  <c r="I10" i="21"/>
  <c r="H10" i="21"/>
  <c r="G10" i="21"/>
  <c r="D10" i="21" s="1"/>
  <c r="J11" i="21"/>
  <c r="I11" i="21"/>
  <c r="H11" i="21"/>
  <c r="G11" i="21"/>
  <c r="D11" i="21" s="1"/>
  <c r="J2" i="20"/>
  <c r="I2" i="20"/>
  <c r="H2" i="20"/>
  <c r="G2" i="20"/>
  <c r="D2" i="20" s="1"/>
  <c r="R2" i="20"/>
  <c r="Q2" i="20"/>
  <c r="P2" i="20"/>
  <c r="O2" i="20"/>
  <c r="N4" i="20"/>
  <c r="J3" i="20"/>
  <c r="I3" i="20"/>
  <c r="H3" i="20"/>
  <c r="G3" i="20"/>
  <c r="D3" i="20" s="1"/>
  <c r="J4" i="20"/>
  <c r="I4" i="20"/>
  <c r="H4" i="20"/>
  <c r="G4" i="20"/>
  <c r="D4" i="20" s="1"/>
  <c r="J5" i="20"/>
  <c r="I5" i="20"/>
  <c r="H5" i="20"/>
  <c r="G5" i="20"/>
  <c r="D5" i="20" s="1"/>
  <c r="J6" i="20"/>
  <c r="I6" i="20"/>
  <c r="H6" i="20"/>
  <c r="G6" i="20"/>
  <c r="D6" i="20" s="1"/>
  <c r="J7" i="20"/>
  <c r="I7" i="20"/>
  <c r="H7" i="20"/>
  <c r="G7" i="20"/>
  <c r="D7" i="20" s="1"/>
  <c r="J8" i="20"/>
  <c r="I8" i="20"/>
  <c r="H8" i="20"/>
  <c r="G8" i="20"/>
  <c r="D8" i="20" s="1"/>
  <c r="J9" i="20"/>
  <c r="I9" i="20"/>
  <c r="H9" i="20"/>
  <c r="G9" i="20"/>
  <c r="D9" i="20" s="1"/>
  <c r="J10" i="20"/>
  <c r="I10" i="20"/>
  <c r="H10" i="20"/>
  <c r="G10" i="20"/>
  <c r="D10" i="20" s="1"/>
  <c r="J11" i="20"/>
  <c r="I11" i="20"/>
  <c r="H11" i="20"/>
  <c r="G11" i="20"/>
  <c r="D11" i="20" s="1"/>
  <c r="J2" i="19"/>
  <c r="I2" i="19"/>
  <c r="H2" i="19"/>
  <c r="G2" i="19"/>
  <c r="D2" i="19" s="1"/>
  <c r="R2" i="19"/>
  <c r="Q2" i="19"/>
  <c r="P2" i="19"/>
  <c r="O2" i="19"/>
  <c r="N4" i="19"/>
  <c r="J3" i="19"/>
  <c r="I3" i="19"/>
  <c r="H3" i="19"/>
  <c r="G3" i="19"/>
  <c r="D3" i="19" s="1"/>
  <c r="J4" i="19"/>
  <c r="I4" i="19"/>
  <c r="H4" i="19"/>
  <c r="G4" i="19"/>
  <c r="D4" i="19" s="1"/>
  <c r="J5" i="19"/>
  <c r="I5" i="19"/>
  <c r="H5" i="19"/>
  <c r="G5" i="19"/>
  <c r="D5" i="19" s="1"/>
  <c r="J6" i="19"/>
  <c r="I6" i="19"/>
  <c r="H6" i="19"/>
  <c r="G6" i="19"/>
  <c r="D6" i="19" s="1"/>
  <c r="J7" i="19"/>
  <c r="I7" i="19"/>
  <c r="H7" i="19"/>
  <c r="G7" i="19"/>
  <c r="D7" i="19" s="1"/>
  <c r="J8" i="19"/>
  <c r="I8" i="19"/>
  <c r="H8" i="19"/>
  <c r="G8" i="19"/>
  <c r="D8" i="19" s="1"/>
  <c r="J9" i="19"/>
  <c r="I9" i="19"/>
  <c r="H9" i="19"/>
  <c r="G9" i="19"/>
  <c r="D9" i="19" s="1"/>
  <c r="J10" i="19"/>
  <c r="I10" i="19"/>
  <c r="H10" i="19"/>
  <c r="G10" i="19"/>
  <c r="D10" i="19" s="1"/>
  <c r="J11" i="19"/>
  <c r="I11" i="19"/>
  <c r="H11" i="19"/>
  <c r="G11" i="19"/>
  <c r="D11" i="19" s="1"/>
  <c r="J2" i="18"/>
  <c r="I2" i="18"/>
  <c r="H2" i="18"/>
  <c r="G2" i="18"/>
  <c r="D2" i="18" s="1"/>
  <c r="R2" i="18"/>
  <c r="Q2" i="18"/>
  <c r="P2" i="18"/>
  <c r="O2" i="18"/>
  <c r="N4" i="18"/>
  <c r="J3" i="18"/>
  <c r="I3" i="18"/>
  <c r="H3" i="18"/>
  <c r="G3" i="18"/>
  <c r="D3" i="18" s="1"/>
  <c r="J4" i="18"/>
  <c r="I4" i="18"/>
  <c r="H4" i="18"/>
  <c r="G4" i="18"/>
  <c r="D4" i="18" s="1"/>
  <c r="J5" i="18"/>
  <c r="I5" i="18"/>
  <c r="H5" i="18"/>
  <c r="G5" i="18"/>
  <c r="D5" i="18" s="1"/>
  <c r="J6" i="18"/>
  <c r="I6" i="18"/>
  <c r="H6" i="18"/>
  <c r="G6" i="18"/>
  <c r="D6" i="18" s="1"/>
  <c r="J7" i="18"/>
  <c r="I7" i="18"/>
  <c r="H7" i="18"/>
  <c r="G7" i="18"/>
  <c r="D7" i="18" s="1"/>
  <c r="J8" i="18"/>
  <c r="I8" i="18"/>
  <c r="H8" i="18"/>
  <c r="G8" i="18"/>
  <c r="D8" i="18" s="1"/>
  <c r="J9" i="18"/>
  <c r="I9" i="18"/>
  <c r="H9" i="18"/>
  <c r="G9" i="18"/>
  <c r="D9" i="18" s="1"/>
  <c r="J10" i="18"/>
  <c r="I10" i="18"/>
  <c r="H10" i="18"/>
  <c r="G10" i="18"/>
  <c r="D10" i="18" s="1"/>
  <c r="J11" i="18"/>
  <c r="I11" i="18"/>
  <c r="H11" i="18"/>
  <c r="G11" i="18"/>
  <c r="D11" i="18" s="1"/>
  <c r="J2" i="17"/>
  <c r="I2" i="17"/>
  <c r="H2" i="17"/>
  <c r="G2" i="17"/>
  <c r="D2" i="17" s="1"/>
  <c r="R2" i="17"/>
  <c r="Q2" i="17"/>
  <c r="P2" i="17"/>
  <c r="O2" i="17"/>
  <c r="N4" i="17"/>
  <c r="J3" i="17"/>
  <c r="I3" i="17"/>
  <c r="H3" i="17"/>
  <c r="G3" i="17"/>
  <c r="D3" i="17" s="1"/>
  <c r="J4" i="17"/>
  <c r="I4" i="17"/>
  <c r="H4" i="17"/>
  <c r="G4" i="17"/>
  <c r="D4" i="17" s="1"/>
  <c r="J5" i="17"/>
  <c r="I5" i="17"/>
  <c r="H5" i="17"/>
  <c r="G5" i="17"/>
  <c r="D5" i="17" s="1"/>
  <c r="J6" i="17"/>
  <c r="I6" i="17"/>
  <c r="H6" i="17"/>
  <c r="G6" i="17"/>
  <c r="D6" i="17" s="1"/>
  <c r="J7" i="17"/>
  <c r="I7" i="17"/>
  <c r="H7" i="17"/>
  <c r="G7" i="17"/>
  <c r="D7" i="17" s="1"/>
  <c r="J8" i="17"/>
  <c r="I8" i="17"/>
  <c r="H8" i="17"/>
  <c r="G8" i="17"/>
  <c r="D8" i="17" s="1"/>
  <c r="J9" i="17"/>
  <c r="I9" i="17"/>
  <c r="H9" i="17"/>
  <c r="G9" i="17"/>
  <c r="D9" i="17" s="1"/>
  <c r="J10" i="17"/>
  <c r="I10" i="17"/>
  <c r="H10" i="17"/>
  <c r="G10" i="17"/>
  <c r="D10" i="17" s="1"/>
  <c r="J11" i="17"/>
  <c r="I11" i="17"/>
  <c r="H11" i="17"/>
  <c r="G11" i="17"/>
  <c r="D11" i="17" s="1"/>
  <c r="J2" i="16"/>
  <c r="I2" i="16"/>
  <c r="H2" i="16"/>
  <c r="G2" i="16"/>
  <c r="D2" i="16" s="1"/>
  <c r="R2" i="16"/>
  <c r="Q2" i="16"/>
  <c r="P2" i="16"/>
  <c r="O2" i="16"/>
  <c r="N4" i="16"/>
  <c r="J3" i="16"/>
  <c r="I3" i="16"/>
  <c r="H3" i="16"/>
  <c r="G3" i="16"/>
  <c r="D3" i="16" s="1"/>
  <c r="J4" i="16"/>
  <c r="I4" i="16"/>
  <c r="H4" i="16"/>
  <c r="G4" i="16"/>
  <c r="D4" i="16" s="1"/>
  <c r="J5" i="16"/>
  <c r="I5" i="16"/>
  <c r="H5" i="16"/>
  <c r="G5" i="16"/>
  <c r="D5" i="16" s="1"/>
  <c r="J6" i="16"/>
  <c r="I6" i="16"/>
  <c r="H6" i="16"/>
  <c r="G6" i="16"/>
  <c r="D6" i="16" s="1"/>
  <c r="J7" i="16"/>
  <c r="I7" i="16"/>
  <c r="H7" i="16"/>
  <c r="G7" i="16"/>
  <c r="D7" i="16" s="1"/>
  <c r="J8" i="16"/>
  <c r="I8" i="16"/>
  <c r="H8" i="16"/>
  <c r="G8" i="16"/>
  <c r="D8" i="16" s="1"/>
  <c r="J9" i="16"/>
  <c r="I9" i="16"/>
  <c r="H9" i="16"/>
  <c r="G9" i="16"/>
  <c r="D9" i="16" s="1"/>
  <c r="J10" i="16"/>
  <c r="I10" i="16"/>
  <c r="H10" i="16"/>
  <c r="G10" i="16"/>
  <c r="D10" i="16" s="1"/>
  <c r="J11" i="16"/>
  <c r="I11" i="16"/>
  <c r="H11" i="16"/>
  <c r="G11" i="16"/>
  <c r="D11" i="16" s="1"/>
  <c r="J2" i="15"/>
  <c r="I2" i="15"/>
  <c r="H2" i="15"/>
  <c r="G2" i="15"/>
  <c r="D2" i="15" s="1"/>
  <c r="S2" i="15"/>
  <c r="R2" i="15"/>
  <c r="Q2" i="15"/>
  <c r="P2" i="15"/>
  <c r="O4" i="15"/>
  <c r="J3" i="15"/>
  <c r="I3" i="15"/>
  <c r="H3" i="15"/>
  <c r="G3" i="15"/>
  <c r="D3" i="15" s="1"/>
  <c r="J4" i="15"/>
  <c r="I4" i="15"/>
  <c r="H4" i="15"/>
  <c r="G4" i="15"/>
  <c r="D4" i="15" s="1"/>
  <c r="J5" i="15"/>
  <c r="I5" i="15"/>
  <c r="H5" i="15"/>
  <c r="G5" i="15"/>
  <c r="D5" i="15" s="1"/>
  <c r="J6" i="15"/>
  <c r="I6" i="15"/>
  <c r="H6" i="15"/>
  <c r="G6" i="15"/>
  <c r="D6" i="15" s="1"/>
  <c r="J7" i="15"/>
  <c r="I7" i="15"/>
  <c r="H7" i="15"/>
  <c r="G7" i="15"/>
  <c r="D7" i="15" s="1"/>
  <c r="J8" i="15"/>
  <c r="I8" i="15"/>
  <c r="H8" i="15"/>
  <c r="G8" i="15"/>
  <c r="D8" i="15" s="1"/>
  <c r="J9" i="15"/>
  <c r="I9" i="15"/>
  <c r="H9" i="15"/>
  <c r="G9" i="15"/>
  <c r="D9" i="15" s="1"/>
  <c r="J10" i="15"/>
  <c r="I10" i="15"/>
  <c r="H10" i="15"/>
  <c r="G10" i="15"/>
  <c r="D10" i="15" s="1"/>
  <c r="J11" i="15"/>
  <c r="I11" i="15"/>
  <c r="H11" i="15"/>
  <c r="G11" i="15"/>
  <c r="D11" i="15" s="1"/>
  <c r="O4" i="14"/>
  <c r="J2" i="14"/>
  <c r="I2" i="14"/>
  <c r="H2" i="14"/>
  <c r="G2" i="14"/>
  <c r="D2" i="14" s="1"/>
  <c r="S2" i="14"/>
  <c r="R2" i="14"/>
  <c r="Q2" i="14"/>
  <c r="P2" i="14"/>
  <c r="J3" i="14"/>
  <c r="I3" i="14"/>
  <c r="H3" i="14"/>
  <c r="G3" i="14"/>
  <c r="D3" i="14" s="1"/>
  <c r="J4" i="14"/>
  <c r="I4" i="14"/>
  <c r="H4" i="14"/>
  <c r="G4" i="14"/>
  <c r="D4" i="14" s="1"/>
  <c r="J5" i="14"/>
  <c r="I5" i="14"/>
  <c r="H5" i="14"/>
  <c r="G5" i="14"/>
  <c r="D5" i="14" s="1"/>
  <c r="J6" i="14"/>
  <c r="I6" i="14"/>
  <c r="H6" i="14"/>
  <c r="G6" i="14"/>
  <c r="D6" i="14" s="1"/>
  <c r="J7" i="14"/>
  <c r="I7" i="14"/>
  <c r="H7" i="14"/>
  <c r="G7" i="14"/>
  <c r="D7" i="14" s="1"/>
  <c r="J8" i="14"/>
  <c r="I8" i="14"/>
  <c r="H8" i="14"/>
  <c r="G8" i="14"/>
  <c r="D8" i="14" s="1"/>
  <c r="J9" i="14"/>
  <c r="I9" i="14"/>
  <c r="H9" i="14"/>
  <c r="G9" i="14"/>
  <c r="D9" i="14" s="1"/>
  <c r="J10" i="14"/>
  <c r="I10" i="14"/>
  <c r="H10" i="14"/>
  <c r="G10" i="14"/>
  <c r="D10" i="14" s="1"/>
  <c r="J11" i="14"/>
  <c r="I11" i="14"/>
  <c r="H11" i="14"/>
  <c r="G11" i="14"/>
  <c r="D11" i="14" s="1"/>
  <c r="J2" i="13"/>
  <c r="I2" i="13"/>
  <c r="H2" i="13"/>
  <c r="G2" i="13"/>
  <c r="D2" i="13" s="1"/>
  <c r="S2" i="13"/>
  <c r="R2" i="13"/>
  <c r="Q2" i="13"/>
  <c r="P2" i="13"/>
  <c r="J3" i="13"/>
  <c r="I3" i="13"/>
  <c r="H3" i="13"/>
  <c r="G3" i="13"/>
  <c r="D3" i="13" s="1"/>
  <c r="J4" i="13"/>
  <c r="I4" i="13"/>
  <c r="H4" i="13"/>
  <c r="G4" i="13"/>
  <c r="D4" i="13" s="1"/>
  <c r="J5" i="13"/>
  <c r="I5" i="13"/>
  <c r="H5" i="13"/>
  <c r="G5" i="13"/>
  <c r="D5" i="13" s="1"/>
  <c r="J6" i="13"/>
  <c r="I6" i="13"/>
  <c r="H6" i="13"/>
  <c r="G6" i="13"/>
  <c r="D6" i="13" s="1"/>
  <c r="J7" i="13"/>
  <c r="I7" i="13"/>
  <c r="H7" i="13"/>
  <c r="G7" i="13"/>
  <c r="D7" i="13" s="1"/>
  <c r="J8" i="13"/>
  <c r="I8" i="13"/>
  <c r="H8" i="13"/>
  <c r="G8" i="13"/>
  <c r="D8" i="13" s="1"/>
  <c r="J9" i="13"/>
  <c r="I9" i="13"/>
  <c r="H9" i="13"/>
  <c r="G9" i="13"/>
  <c r="D9" i="13" s="1"/>
  <c r="J10" i="13"/>
  <c r="I10" i="13"/>
  <c r="H10" i="13"/>
  <c r="G10" i="13"/>
  <c r="D10" i="13" s="1"/>
  <c r="J11" i="13"/>
  <c r="I11" i="13"/>
  <c r="H11" i="13"/>
  <c r="G11" i="13"/>
  <c r="D11" i="13" s="1"/>
  <c r="J2" i="12"/>
  <c r="I2" i="12"/>
  <c r="H2" i="12"/>
  <c r="G2" i="12"/>
  <c r="D2" i="12" s="1"/>
  <c r="S2" i="12"/>
  <c r="R2" i="12"/>
  <c r="Q2" i="12"/>
  <c r="P2" i="12"/>
  <c r="J3" i="12"/>
  <c r="I3" i="12"/>
  <c r="H3" i="12"/>
  <c r="G3" i="12"/>
  <c r="D3" i="12" s="1"/>
  <c r="J4" i="12"/>
  <c r="I4" i="12"/>
  <c r="H4" i="12"/>
  <c r="G4" i="12"/>
  <c r="D4" i="12" s="1"/>
  <c r="J5" i="12"/>
  <c r="I5" i="12"/>
  <c r="H5" i="12"/>
  <c r="G5" i="12"/>
  <c r="D5" i="12" s="1"/>
  <c r="J6" i="12"/>
  <c r="I6" i="12"/>
  <c r="H6" i="12"/>
  <c r="G6" i="12"/>
  <c r="D6" i="12" s="1"/>
  <c r="J7" i="12"/>
  <c r="I7" i="12"/>
  <c r="H7" i="12"/>
  <c r="G7" i="12"/>
  <c r="D7" i="12" s="1"/>
  <c r="J8" i="12"/>
  <c r="I8" i="12"/>
  <c r="H8" i="12"/>
  <c r="G8" i="12"/>
  <c r="D8" i="12" s="1"/>
  <c r="J9" i="12"/>
  <c r="I9" i="12"/>
  <c r="H9" i="12"/>
  <c r="G9" i="12"/>
  <c r="D9" i="12" s="1"/>
  <c r="J10" i="12"/>
  <c r="I10" i="12"/>
  <c r="H10" i="12"/>
  <c r="G10" i="12"/>
  <c r="D10" i="12" s="1"/>
  <c r="J11" i="12"/>
  <c r="I11" i="12"/>
  <c r="H11" i="12"/>
  <c r="G11" i="12"/>
  <c r="D11" i="12" s="1"/>
  <c r="J2" i="11"/>
  <c r="I2" i="11"/>
  <c r="H2" i="11"/>
  <c r="G2" i="11"/>
  <c r="D2" i="11" s="1"/>
  <c r="S2" i="11"/>
  <c r="R2" i="11"/>
  <c r="Q2" i="11"/>
  <c r="P2" i="11"/>
  <c r="J3" i="11"/>
  <c r="I3" i="11"/>
  <c r="H3" i="11"/>
  <c r="G3" i="11"/>
  <c r="D3" i="11" s="1"/>
  <c r="J4" i="11"/>
  <c r="I4" i="11"/>
  <c r="H4" i="11"/>
  <c r="G4" i="11"/>
  <c r="D4" i="11" s="1"/>
  <c r="J5" i="11"/>
  <c r="I5" i="11"/>
  <c r="H5" i="11"/>
  <c r="G5" i="11"/>
  <c r="D5" i="11" s="1"/>
  <c r="J6" i="11"/>
  <c r="I6" i="11"/>
  <c r="H6" i="11"/>
  <c r="G6" i="11"/>
  <c r="D6" i="11" s="1"/>
  <c r="J7" i="11"/>
  <c r="I7" i="11"/>
  <c r="H7" i="11"/>
  <c r="G7" i="11"/>
  <c r="D7" i="11" s="1"/>
  <c r="J8" i="11"/>
  <c r="I8" i="11"/>
  <c r="H8" i="11"/>
  <c r="G8" i="11"/>
  <c r="D8" i="11" s="1"/>
  <c r="J9" i="11"/>
  <c r="I9" i="11"/>
  <c r="H9" i="11"/>
  <c r="G9" i="11"/>
  <c r="D9" i="11" s="1"/>
  <c r="J10" i="11"/>
  <c r="I10" i="11"/>
  <c r="H10" i="11"/>
  <c r="G10" i="11"/>
  <c r="D10" i="11" s="1"/>
  <c r="J11" i="11"/>
  <c r="I11" i="11"/>
  <c r="H11" i="11"/>
  <c r="G11" i="11"/>
  <c r="D11" i="11" s="1"/>
  <c r="J2" i="10"/>
  <c r="I2" i="10"/>
  <c r="H2" i="10"/>
  <c r="G2" i="10"/>
  <c r="D2" i="10" s="1"/>
  <c r="S2" i="10"/>
  <c r="R2" i="10"/>
  <c r="Q2" i="10"/>
  <c r="P2" i="10"/>
  <c r="J3" i="10"/>
  <c r="I3" i="10"/>
  <c r="H3" i="10"/>
  <c r="G3" i="10"/>
  <c r="D3" i="10" s="1"/>
  <c r="J4" i="10"/>
  <c r="I4" i="10"/>
  <c r="H4" i="10"/>
  <c r="G4" i="10"/>
  <c r="D4" i="10" s="1"/>
  <c r="J5" i="10"/>
  <c r="I5" i="10"/>
  <c r="H5" i="10"/>
  <c r="G5" i="10"/>
  <c r="D5" i="10" s="1"/>
  <c r="J6" i="10"/>
  <c r="I6" i="10"/>
  <c r="H6" i="10"/>
  <c r="G6" i="10"/>
  <c r="D6" i="10" s="1"/>
  <c r="J7" i="10"/>
  <c r="I7" i="10"/>
  <c r="H7" i="10"/>
  <c r="G7" i="10"/>
  <c r="D7" i="10" s="1"/>
  <c r="J8" i="10"/>
  <c r="I8" i="10"/>
  <c r="H8" i="10"/>
  <c r="G8" i="10"/>
  <c r="D8" i="10" s="1"/>
  <c r="J9" i="10"/>
  <c r="I9" i="10"/>
  <c r="H9" i="10"/>
  <c r="G9" i="10"/>
  <c r="D9" i="10" s="1"/>
  <c r="J10" i="10"/>
  <c r="I10" i="10"/>
  <c r="H10" i="10"/>
  <c r="G10" i="10"/>
  <c r="D10" i="10" s="1"/>
  <c r="J11" i="10"/>
  <c r="I11" i="10"/>
  <c r="H11" i="10"/>
  <c r="G11" i="10"/>
  <c r="D11" i="10" s="1"/>
  <c r="I11" i="9"/>
  <c r="J11" i="9"/>
  <c r="I10" i="9"/>
  <c r="J10" i="9"/>
  <c r="I9" i="9"/>
  <c r="J9" i="9"/>
  <c r="I8" i="9"/>
  <c r="J8" i="9"/>
  <c r="I7" i="9"/>
  <c r="J7" i="9"/>
  <c r="I6" i="9"/>
  <c r="J6" i="9"/>
  <c r="I5" i="9"/>
  <c r="J5" i="9"/>
  <c r="I4" i="9"/>
  <c r="J4" i="9"/>
  <c r="I3" i="9"/>
  <c r="J3" i="9"/>
  <c r="I2" i="9"/>
  <c r="J2" i="9"/>
  <c r="G11" i="9"/>
  <c r="H11" i="9"/>
  <c r="G10" i="9"/>
  <c r="H10" i="9"/>
  <c r="G9" i="9"/>
  <c r="H9" i="9"/>
  <c r="G8" i="9"/>
  <c r="H8" i="9"/>
  <c r="G7" i="9"/>
  <c r="H7" i="9"/>
  <c r="G6" i="9"/>
  <c r="H6" i="9"/>
  <c r="G5" i="9"/>
  <c r="H5" i="9"/>
  <c r="G4" i="9"/>
  <c r="H4" i="9"/>
  <c r="G3" i="9"/>
  <c r="H3" i="9"/>
  <c r="G2" i="9"/>
  <c r="H2" i="9"/>
  <c r="S2" i="9"/>
  <c r="R2" i="9"/>
  <c r="Q2" i="9"/>
  <c r="P2" i="9"/>
  <c r="R2" i="2"/>
  <c r="Q2" i="2"/>
  <c r="P2" i="2"/>
  <c r="O2" i="2"/>
  <c r="D3" i="9" l="1"/>
  <c r="D4" i="9"/>
  <c r="D5" i="9"/>
  <c r="D6" i="9"/>
  <c r="D7" i="9"/>
  <c r="D8" i="9"/>
  <c r="D9" i="9"/>
  <c r="D10" i="9"/>
  <c r="D11" i="9"/>
  <c r="D2" i="9"/>
</calcChain>
</file>

<file path=xl/sharedStrings.xml><?xml version="1.0" encoding="utf-8"?>
<sst xmlns="http://schemas.openxmlformats.org/spreadsheetml/2006/main" count="302" uniqueCount="24">
  <si>
    <t>Date</t>
  </si>
  <si>
    <t>Column Back Pressure</t>
  </si>
  <si>
    <t>Peak Width</t>
  </si>
  <si>
    <t>Retention Time</t>
  </si>
  <si>
    <t>Peak Area</t>
  </si>
  <si>
    <t>Proceed to Sample Extraction</t>
  </si>
  <si>
    <t>Comments</t>
  </si>
  <si>
    <t>Conducted by</t>
  </si>
  <si>
    <t>Verified By</t>
  </si>
  <si>
    <t>Pass</t>
  </si>
  <si>
    <t>YC</t>
  </si>
  <si>
    <t>Fail</t>
  </si>
  <si>
    <t>Average Peak Area</t>
  </si>
  <si>
    <t>CV</t>
  </si>
  <si>
    <t>Established Average</t>
  </si>
  <si>
    <t>Upper 2SD</t>
  </si>
  <si>
    <t>Lower 2SD</t>
  </si>
  <si>
    <t>Upper 3SD</t>
  </si>
  <si>
    <t>Lower 3SD</t>
  </si>
  <si>
    <t>Area</t>
  </si>
  <si>
    <t>Average</t>
  </si>
  <si>
    <t>Standard Deviation</t>
  </si>
  <si>
    <t>CV%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</si>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</sst>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11-deoxycorticosterone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'11-deoxycorticosterone'!$A$2:$A$11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'11-deoxycorticosterone'!$B$2:$B$10</c:f>
              <c:numCache>
                <c:formatCode>General</c:formatCode>
                <c:ptCount val="9"/>
                <c:pt idx="0">
                  <c:v>2261823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7-4F9D-80AA-FA7E33928752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'11-deoxycorticosterone'!$A$2:$A$11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'11-deoxycorticosterone'!$F$2:$F$11</c:f>
              <c:numCache>
                <c:formatCode>0</c:formatCode>
                <c:ptCount val="10"/>
                <c:pt idx="0">
                  <c:v>4814972</c:v>
                </c:pt>
                <c:pt idx="1">
                  <c:v>4814972</c:v>
                </c:pt>
                <c:pt idx="2">
                  <c:v>4814972</c:v>
                </c:pt>
                <c:pt idx="3">
                  <c:v>4814972</c:v>
                </c:pt>
                <c:pt idx="4">
                  <c:v>4814972</c:v>
                </c:pt>
                <c:pt idx="5">
                  <c:v>4814972</c:v>
                </c:pt>
                <c:pt idx="6">
                  <c:v>4814972</c:v>
                </c:pt>
                <c:pt idx="7">
                  <c:v>4814972</c:v>
                </c:pt>
                <c:pt idx="8">
                  <c:v>4814972</c:v>
                </c:pt>
                <c:pt idx="9">
                  <c:v>4814972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27-4F9D-80AA-FA7E33928752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'11-deoxycorticosterone'!$A$2:$A$11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'11-deoxycorticosterone'!$G$2:$G$11</c:f>
              <c:numCache>
                <c:formatCode>0</c:formatCode>
                <c:ptCount val="10"/>
                <c:pt idx="0">
                  <c:v>2958664</c:v>
                </c:pt>
                <c:pt idx="1">
                  <c:v>2958664</c:v>
                </c:pt>
                <c:pt idx="2">
                  <c:v>2958664</c:v>
                </c:pt>
                <c:pt idx="3">
                  <c:v>2958664</c:v>
                </c:pt>
                <c:pt idx="4">
                  <c:v>2958664</c:v>
                </c:pt>
                <c:pt idx="5">
                  <c:v>2958664</c:v>
                </c:pt>
                <c:pt idx="6">
                  <c:v>2958664</c:v>
                </c:pt>
                <c:pt idx="7">
                  <c:v>2958664</c:v>
                </c:pt>
                <c:pt idx="8">
                  <c:v>2958664</c:v>
                </c:pt>
                <c:pt idx="9">
                  <c:v>2958664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27-4F9D-80AA-FA7E33928752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'11-deoxycorticosterone'!$A$2:$A$11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'11-deoxycorticosterone'!$E$2:$E$11</c:f>
              <c:numCache>
                <c:formatCode>0</c:formatCode>
                <c:ptCount val="10"/>
                <c:pt idx="0">
                  <c:v>3886818.2972972975</c:v>
                </c:pt>
                <c:pt idx="1">
                  <c:v>3886818.2972972998</c:v>
                </c:pt>
                <c:pt idx="2">
                  <c:v>3886818.2972972975</c:v>
                </c:pt>
                <c:pt idx="3">
                  <c:v>3886818.2972972975</c:v>
                </c:pt>
                <c:pt idx="4">
                  <c:v>3886818.2972972975</c:v>
                </c:pt>
                <c:pt idx="5">
                  <c:v>3886818.2972972975</c:v>
                </c:pt>
                <c:pt idx="6">
                  <c:v>3886818.2972972975</c:v>
                </c:pt>
                <c:pt idx="7">
                  <c:v>3886818.2972972975</c:v>
                </c:pt>
                <c:pt idx="8">
                  <c:v>3886818.2972972975</c:v>
                </c:pt>
                <c:pt idx="9">
                  <c:v>3886818.2972972975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7-4189-AD63-DE8DAF57B767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'11-deoxycorticosterone'!$A$2:$A$11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'11-deoxycorticosterone'!$H$2:$H$11</c:f>
              <c:numCache>
                <c:formatCode>0</c:formatCode>
                <c:ptCount val="10"/>
                <c:pt idx="0">
                  <c:v>5279049</c:v>
                </c:pt>
                <c:pt idx="1">
                  <c:v>5279049</c:v>
                </c:pt>
                <c:pt idx="2">
                  <c:v>5279049</c:v>
                </c:pt>
                <c:pt idx="3">
                  <c:v>5279049</c:v>
                </c:pt>
                <c:pt idx="4">
                  <c:v>5279049</c:v>
                </c:pt>
                <c:pt idx="5">
                  <c:v>5279049</c:v>
                </c:pt>
                <c:pt idx="6">
                  <c:v>5279049</c:v>
                </c:pt>
                <c:pt idx="7">
                  <c:v>5279049</c:v>
                </c:pt>
                <c:pt idx="8">
                  <c:v>5279049</c:v>
                </c:pt>
                <c:pt idx="9">
                  <c:v>5279049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BC-4A34-9C52-443C2FBB4863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'11-deoxycorticosterone'!$A$2:$A$11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'11-deoxycorticosterone'!$I$2:$I$11</c:f>
              <c:numCache>
                <c:formatCode>0</c:formatCode>
                <c:ptCount val="10"/>
                <c:pt idx="0">
                  <c:v>2494587.439683361</c:v>
                </c:pt>
                <c:pt idx="1">
                  <c:v>2494587.439683361</c:v>
                </c:pt>
                <c:pt idx="2">
                  <c:v>2494587.439683361</c:v>
                </c:pt>
                <c:pt idx="3">
                  <c:v>2494587.439683361</c:v>
                </c:pt>
                <c:pt idx="4">
                  <c:v>2494587.439683361</c:v>
                </c:pt>
                <c:pt idx="5">
                  <c:v>2494587.439683361</c:v>
                </c:pt>
                <c:pt idx="6">
                  <c:v>2494587.439683361</c:v>
                </c:pt>
                <c:pt idx="7">
                  <c:v>2494587.439683361</c:v>
                </c:pt>
                <c:pt idx="8">
                  <c:v>2494587.439683361</c:v>
                </c:pt>
                <c:pt idx="9">
                  <c:v>2494587.439683361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BC-4A34-9C52-443C2FBB4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in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11-deoxycortisol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'11-deoxycortisol'!$B$2:$B$10</c:f>
              <c:numCache>
                <c:formatCode>General</c:formatCode>
                <c:ptCount val="9"/>
                <c:pt idx="0">
                  <c:v>1596791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A-4F35-9983-6A07822F9217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'11-deoxycortisol'!$A$2:$A$11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'11-deoxycortisol'!$G$2:$G$11</c:f>
              <c:numCache>
                <c:formatCode>0</c:formatCode>
                <c:ptCount val="10"/>
                <c:pt idx="0">
                  <c:v>3397931.7859186875</c:v>
                </c:pt>
                <c:pt idx="1">
                  <c:v>3397931.7859186875</c:v>
                </c:pt>
                <c:pt idx="2">
                  <c:v>3397931.7859186875</c:v>
                </c:pt>
                <c:pt idx="3">
                  <c:v>3397931.7859186875</c:v>
                </c:pt>
                <c:pt idx="4">
                  <c:v>3397931.7859186875</c:v>
                </c:pt>
                <c:pt idx="5">
                  <c:v>3397931.7859186875</c:v>
                </c:pt>
                <c:pt idx="6">
                  <c:v>3397931.7859186875</c:v>
                </c:pt>
                <c:pt idx="7">
                  <c:v>3397931.7859186875</c:v>
                </c:pt>
                <c:pt idx="8">
                  <c:v>3397931.7859186875</c:v>
                </c:pt>
                <c:pt idx="9">
                  <c:v>3397931.7859186875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A-4F35-9983-6A07822F9217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'11-deoxycortisol'!$A$2:$A$11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'11-deoxycortisol'!$H$2:$H$11</c:f>
              <c:numCache>
                <c:formatCode>0</c:formatCode>
                <c:ptCount val="10"/>
                <c:pt idx="0">
                  <c:v>1605590.2140813125</c:v>
                </c:pt>
                <c:pt idx="1">
                  <c:v>1605590.2140813125</c:v>
                </c:pt>
                <c:pt idx="2">
                  <c:v>1605590.2140813125</c:v>
                </c:pt>
                <c:pt idx="3">
                  <c:v>1605590.2140813125</c:v>
                </c:pt>
                <c:pt idx="4">
                  <c:v>1605590.2140813125</c:v>
                </c:pt>
                <c:pt idx="5">
                  <c:v>1605590.2140813125</c:v>
                </c:pt>
                <c:pt idx="6">
                  <c:v>1605590.2140813125</c:v>
                </c:pt>
                <c:pt idx="7">
                  <c:v>1605590.2140813125</c:v>
                </c:pt>
                <c:pt idx="8">
                  <c:v>1605590.2140813125</c:v>
                </c:pt>
                <c:pt idx="9">
                  <c:v>1605590.2140813125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5A-4F35-9983-6A07822F9217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'11-deoxycortisol'!$E$2:$E$11</c:f>
              <c:numCache>
                <c:formatCode>0</c:formatCode>
                <c:ptCount val="10"/>
                <c:pt idx="0">
                  <c:v>2501761</c:v>
                </c:pt>
                <c:pt idx="1">
                  <c:v>2501761</c:v>
                </c:pt>
                <c:pt idx="2">
                  <c:v>2501761</c:v>
                </c:pt>
                <c:pt idx="3">
                  <c:v>2501761</c:v>
                </c:pt>
                <c:pt idx="4">
                  <c:v>2501761</c:v>
                </c:pt>
                <c:pt idx="5">
                  <c:v>2501761</c:v>
                </c:pt>
                <c:pt idx="6">
                  <c:v>2501761</c:v>
                </c:pt>
                <c:pt idx="7">
                  <c:v>2501761</c:v>
                </c:pt>
                <c:pt idx="8">
                  <c:v>2501761</c:v>
                </c:pt>
                <c:pt idx="9">
                  <c:v>2501761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5A-4F35-9983-6A07822F9217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'11-deoxycortisol'!$I$2:$I$11</c:f>
              <c:numCache>
                <c:formatCode>0</c:formatCode>
                <c:ptCount val="10"/>
                <c:pt idx="0">
                  <c:v>3846017.1788780307</c:v>
                </c:pt>
                <c:pt idx="1">
                  <c:v>3846017.1788780307</c:v>
                </c:pt>
                <c:pt idx="2">
                  <c:v>3846017.1788780307</c:v>
                </c:pt>
                <c:pt idx="3">
                  <c:v>3846017.1788780307</c:v>
                </c:pt>
                <c:pt idx="4">
                  <c:v>3846017.1788780307</c:v>
                </c:pt>
                <c:pt idx="5">
                  <c:v>3846017.1788780307</c:v>
                </c:pt>
                <c:pt idx="6">
                  <c:v>3846017.1788780307</c:v>
                </c:pt>
                <c:pt idx="7">
                  <c:v>3846017.1788780307</c:v>
                </c:pt>
                <c:pt idx="8">
                  <c:v>3846017.1788780307</c:v>
                </c:pt>
                <c:pt idx="9">
                  <c:v>3846017.1788780307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5A-4F35-9983-6A07822F9217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'11-deoxycortisol'!$J$2:$J$11</c:f>
              <c:numCache>
                <c:formatCode>0</c:formatCode>
                <c:ptCount val="10"/>
                <c:pt idx="0">
                  <c:v>1157504.821121969</c:v>
                </c:pt>
                <c:pt idx="1">
                  <c:v>1157504.821121969</c:v>
                </c:pt>
                <c:pt idx="2">
                  <c:v>1157504.821121969</c:v>
                </c:pt>
                <c:pt idx="3">
                  <c:v>1157504.821121969</c:v>
                </c:pt>
                <c:pt idx="4">
                  <c:v>1157504.821121969</c:v>
                </c:pt>
                <c:pt idx="5">
                  <c:v>1157504.821121969</c:v>
                </c:pt>
                <c:pt idx="6">
                  <c:v>1157504.821121969</c:v>
                </c:pt>
                <c:pt idx="7">
                  <c:v>1157504.821121969</c:v>
                </c:pt>
                <c:pt idx="8">
                  <c:v>1157504.821121969</c:v>
                </c:pt>
                <c:pt idx="9">
                  <c:v>1157504.821121969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5A-4F35-9983-6A07822F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17-hydroxyprogesterone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'17-OHP'!$A$2:$A$11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'17-OHP'!$B$2:$B$10</c:f>
              <c:numCache>
                <c:formatCode>General</c:formatCode>
                <c:ptCount val="9"/>
                <c:pt idx="0">
                  <c:v>1861130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5-4BFB-AF1A-D5F7C10E34AD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'17-OHP'!$A$2:$A$11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'17-OHP'!$G$2:$G$11</c:f>
              <c:numCache>
                <c:formatCode>0</c:formatCode>
                <c:ptCount val="10"/>
                <c:pt idx="0">
                  <c:v>3729520.4127160162</c:v>
                </c:pt>
                <c:pt idx="1">
                  <c:v>3729520.4127160162</c:v>
                </c:pt>
                <c:pt idx="2">
                  <c:v>3729520.4127160162</c:v>
                </c:pt>
                <c:pt idx="3">
                  <c:v>3729520.4127160162</c:v>
                </c:pt>
                <c:pt idx="4">
                  <c:v>3729520.4127160162</c:v>
                </c:pt>
                <c:pt idx="5">
                  <c:v>3729520.4127160162</c:v>
                </c:pt>
                <c:pt idx="6">
                  <c:v>3729520.4127160162</c:v>
                </c:pt>
                <c:pt idx="7">
                  <c:v>3729520.4127160162</c:v>
                </c:pt>
                <c:pt idx="8">
                  <c:v>3729520.4127160162</c:v>
                </c:pt>
                <c:pt idx="9">
                  <c:v>3729520.4127160162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35-4BFB-AF1A-D5F7C10E34AD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'17-OHP'!$A$2:$A$11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'17-OHP'!$H$2:$H$11</c:f>
              <c:numCache>
                <c:formatCode>0</c:formatCode>
                <c:ptCount val="10"/>
                <c:pt idx="0">
                  <c:v>2487586.5872839838</c:v>
                </c:pt>
                <c:pt idx="1">
                  <c:v>2487586.5872839838</c:v>
                </c:pt>
                <c:pt idx="2">
                  <c:v>2487586.5872839838</c:v>
                </c:pt>
                <c:pt idx="3">
                  <c:v>2487586.5872839838</c:v>
                </c:pt>
                <c:pt idx="4">
                  <c:v>2487586.5872839838</c:v>
                </c:pt>
                <c:pt idx="5">
                  <c:v>2487586.5872839838</c:v>
                </c:pt>
                <c:pt idx="6">
                  <c:v>2487586.5872839838</c:v>
                </c:pt>
                <c:pt idx="7">
                  <c:v>2487586.5872839838</c:v>
                </c:pt>
                <c:pt idx="8">
                  <c:v>2487586.5872839838</c:v>
                </c:pt>
                <c:pt idx="9">
                  <c:v>2487586.5872839838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35-4BFB-AF1A-D5F7C10E34AD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'17-OHP'!$A$2:$A$11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'17-OHP'!$E$2:$E$11</c:f>
              <c:numCache>
                <c:formatCode>0</c:formatCode>
                <c:ptCount val="10"/>
                <c:pt idx="0">
                  <c:v>3108553.5</c:v>
                </c:pt>
                <c:pt idx="1">
                  <c:v>3108553.5</c:v>
                </c:pt>
                <c:pt idx="2">
                  <c:v>3108553.5</c:v>
                </c:pt>
                <c:pt idx="3">
                  <c:v>3108553.5</c:v>
                </c:pt>
                <c:pt idx="4">
                  <c:v>3108553.5</c:v>
                </c:pt>
                <c:pt idx="5">
                  <c:v>3108553.5</c:v>
                </c:pt>
                <c:pt idx="6">
                  <c:v>3108553.5</c:v>
                </c:pt>
                <c:pt idx="7">
                  <c:v>3108553.5</c:v>
                </c:pt>
                <c:pt idx="8">
                  <c:v>3108553.5</c:v>
                </c:pt>
                <c:pt idx="9">
                  <c:v>3108553.5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35-4BFB-AF1A-D5F7C10E34AD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'17-OHP'!$A$2:$A$11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'17-OHP'!$I$2:$I$11</c:f>
              <c:numCache>
                <c:formatCode>0</c:formatCode>
                <c:ptCount val="10"/>
                <c:pt idx="0">
                  <c:v>4040003.8690740243</c:v>
                </c:pt>
                <c:pt idx="1">
                  <c:v>4040003.8690740243</c:v>
                </c:pt>
                <c:pt idx="2">
                  <c:v>4040003.8690740243</c:v>
                </c:pt>
                <c:pt idx="3">
                  <c:v>4040003.8690740243</c:v>
                </c:pt>
                <c:pt idx="4">
                  <c:v>4040003.8690740243</c:v>
                </c:pt>
                <c:pt idx="5">
                  <c:v>4040003.8690740243</c:v>
                </c:pt>
                <c:pt idx="6">
                  <c:v>4040003.8690740243</c:v>
                </c:pt>
                <c:pt idx="7">
                  <c:v>4040003.8690740243</c:v>
                </c:pt>
                <c:pt idx="8">
                  <c:v>4040003.8690740243</c:v>
                </c:pt>
                <c:pt idx="9">
                  <c:v>4040003.8690740243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35-4BFB-AF1A-D5F7C10E34AD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'17-OHP'!$A$2:$A$11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  <c:pt idx="8">
                  <c:v>45730</c:v>
                </c:pt>
                <c:pt idx="9">
                  <c:v>45731</c:v>
                </c:pt>
              </c:numCache>
            </c:numRef>
          </c:cat>
          <c:val>
            <c:numRef>
              <c:f>'17-OHP'!$J$2:$J$11</c:f>
              <c:numCache>
                <c:formatCode>0</c:formatCode>
                <c:ptCount val="10"/>
                <c:pt idx="0">
                  <c:v>2177103.1309259757</c:v>
                </c:pt>
                <c:pt idx="1">
                  <c:v>2177103.1309259757</c:v>
                </c:pt>
                <c:pt idx="2">
                  <c:v>2177103.1309259757</c:v>
                </c:pt>
                <c:pt idx="3">
                  <c:v>2177103.1309259757</c:v>
                </c:pt>
                <c:pt idx="4">
                  <c:v>2177103.1309259757</c:v>
                </c:pt>
                <c:pt idx="5">
                  <c:v>2177103.1309259757</c:v>
                </c:pt>
                <c:pt idx="6">
                  <c:v>2177103.1309259757</c:v>
                </c:pt>
                <c:pt idx="7">
                  <c:v>2177103.1309259757</c:v>
                </c:pt>
                <c:pt idx="8">
                  <c:v>2177103.1309259757</c:v>
                </c:pt>
                <c:pt idx="9">
                  <c:v>2177103.1309259757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35-4BFB-AF1A-D5F7C10E3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21-deoxycortisol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'21-deoxycortisol'!$B$2:$B$10</c:f>
              <c:numCache>
                <c:formatCode>General</c:formatCode>
                <c:ptCount val="9"/>
                <c:pt idx="0">
                  <c:v>1081247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3-4DAF-9AD7-2422E038332A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'21-deoxycortisol'!$A$2:$A$11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'21-deoxycortisol'!$G$2:$G$11</c:f>
              <c:numCache>
                <c:formatCode>0</c:formatCode>
                <c:ptCount val="10"/>
                <c:pt idx="0">
                  <c:v>854322.74634964508</c:v>
                </c:pt>
                <c:pt idx="1">
                  <c:v>854322.74634964508</c:v>
                </c:pt>
                <c:pt idx="2">
                  <c:v>854322.74634964508</c:v>
                </c:pt>
                <c:pt idx="3">
                  <c:v>854322.74634964508</c:v>
                </c:pt>
                <c:pt idx="4">
                  <c:v>854322.74634964508</c:v>
                </c:pt>
                <c:pt idx="5">
                  <c:v>854322.74634964508</c:v>
                </c:pt>
                <c:pt idx="6">
                  <c:v>854322.74634964508</c:v>
                </c:pt>
                <c:pt idx="7">
                  <c:v>854322.74634964508</c:v>
                </c:pt>
                <c:pt idx="8">
                  <c:v>854322.74634964508</c:v>
                </c:pt>
                <c:pt idx="9">
                  <c:v>854322.74634964508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3-4DAF-9AD7-2422E038332A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'21-deoxycortisol'!$A$2:$A$11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'21-deoxycortisol'!$H$2:$H$11</c:f>
              <c:numCache>
                <c:formatCode>0</c:formatCode>
                <c:ptCount val="10"/>
                <c:pt idx="0">
                  <c:v>387007.43012094306</c:v>
                </c:pt>
                <c:pt idx="1">
                  <c:v>387007.43012094306</c:v>
                </c:pt>
                <c:pt idx="2">
                  <c:v>387007.43012094306</c:v>
                </c:pt>
                <c:pt idx="3">
                  <c:v>387007.43012094306</c:v>
                </c:pt>
                <c:pt idx="4">
                  <c:v>387007.43012094306</c:v>
                </c:pt>
                <c:pt idx="5">
                  <c:v>387007.43012094306</c:v>
                </c:pt>
                <c:pt idx="6">
                  <c:v>387007.43012094306</c:v>
                </c:pt>
                <c:pt idx="7">
                  <c:v>387007.43012094306</c:v>
                </c:pt>
                <c:pt idx="8">
                  <c:v>387007.43012094306</c:v>
                </c:pt>
                <c:pt idx="9">
                  <c:v>387007.43012094306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3-4DAF-9AD7-2422E038332A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'21-deoxycortisol'!$E$2:$E$11</c:f>
              <c:numCache>
                <c:formatCode>0</c:formatCode>
                <c:ptCount val="10"/>
                <c:pt idx="0">
                  <c:v>620665.0882352941</c:v>
                </c:pt>
                <c:pt idx="1">
                  <c:v>620665.0882352941</c:v>
                </c:pt>
                <c:pt idx="2">
                  <c:v>620665.0882352941</c:v>
                </c:pt>
                <c:pt idx="3">
                  <c:v>620665.0882352941</c:v>
                </c:pt>
                <c:pt idx="4">
                  <c:v>620665.0882352941</c:v>
                </c:pt>
                <c:pt idx="5">
                  <c:v>620665.0882352941</c:v>
                </c:pt>
                <c:pt idx="6">
                  <c:v>620665.0882352941</c:v>
                </c:pt>
                <c:pt idx="7">
                  <c:v>620665.0882352941</c:v>
                </c:pt>
                <c:pt idx="8">
                  <c:v>620665.0882352941</c:v>
                </c:pt>
                <c:pt idx="9">
                  <c:v>620665.0882352941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33-4DAF-9AD7-2422E038332A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'21-deoxycortisol'!$I$2:$I$11</c:f>
              <c:numCache>
                <c:formatCode>0</c:formatCode>
                <c:ptCount val="10"/>
                <c:pt idx="0">
                  <c:v>971151.57540682063</c:v>
                </c:pt>
                <c:pt idx="1">
                  <c:v>971151.57540682063</c:v>
                </c:pt>
                <c:pt idx="2">
                  <c:v>971151.57540682063</c:v>
                </c:pt>
                <c:pt idx="3">
                  <c:v>971151.57540682063</c:v>
                </c:pt>
                <c:pt idx="4">
                  <c:v>971151.57540682063</c:v>
                </c:pt>
                <c:pt idx="5">
                  <c:v>971151.57540682063</c:v>
                </c:pt>
                <c:pt idx="6">
                  <c:v>971151.57540682063</c:v>
                </c:pt>
                <c:pt idx="7">
                  <c:v>971151.57540682063</c:v>
                </c:pt>
                <c:pt idx="8">
                  <c:v>971151.57540682063</c:v>
                </c:pt>
                <c:pt idx="9">
                  <c:v>971151.57540682063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33-4DAF-9AD7-2422E038332A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'21-deoxycortisol'!$A$2:$A$11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'21-deoxycortisol'!$J$2:$J$11</c:f>
              <c:numCache>
                <c:formatCode>0</c:formatCode>
                <c:ptCount val="10"/>
                <c:pt idx="0">
                  <c:v>270178.60106376756</c:v>
                </c:pt>
                <c:pt idx="1">
                  <c:v>270178.60106376756</c:v>
                </c:pt>
                <c:pt idx="2">
                  <c:v>270178.60106376756</c:v>
                </c:pt>
                <c:pt idx="3">
                  <c:v>270178.60106376756</c:v>
                </c:pt>
                <c:pt idx="4">
                  <c:v>270178.60106376756</c:v>
                </c:pt>
                <c:pt idx="5">
                  <c:v>270178.60106376756</c:v>
                </c:pt>
                <c:pt idx="6">
                  <c:v>270178.60106376756</c:v>
                </c:pt>
                <c:pt idx="7">
                  <c:v>270178.60106376756</c:v>
                </c:pt>
                <c:pt idx="8">
                  <c:v>270178.60106376756</c:v>
                </c:pt>
                <c:pt idx="9">
                  <c:v>270178.60106376756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33-4DAF-9AD7-2422E0383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Aldosterone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Aldosterone!$A$2:$A$11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Aldosterone!$B$2:$B$10</c:f>
              <c:numCache>
                <c:formatCode>General</c:formatCode>
                <c:ptCount val="9"/>
                <c:pt idx="0" formatCode="0">
                  <c:v>464998.7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A-443E-8F5A-D5F3BCE28461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Aldosterone!$A$2:$A$11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Aldosterone!$G$2:$G$11</c:f>
              <c:numCache>
                <c:formatCode>0</c:formatCode>
                <c:ptCount val="10"/>
                <c:pt idx="0">
                  <c:v>350159.33804317249</c:v>
                </c:pt>
                <c:pt idx="1">
                  <c:v>350159.33804317249</c:v>
                </c:pt>
                <c:pt idx="2">
                  <c:v>350159.33804317249</c:v>
                </c:pt>
                <c:pt idx="3">
                  <c:v>350159.33804317249</c:v>
                </c:pt>
                <c:pt idx="4">
                  <c:v>350159.33804317249</c:v>
                </c:pt>
                <c:pt idx="5">
                  <c:v>350159.33804317249</c:v>
                </c:pt>
                <c:pt idx="6">
                  <c:v>350159.33804317249</c:v>
                </c:pt>
                <c:pt idx="7">
                  <c:v>350159.33804317249</c:v>
                </c:pt>
                <c:pt idx="8">
                  <c:v>350159.33804317249</c:v>
                </c:pt>
                <c:pt idx="9">
                  <c:v>350159.33804317249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A-443E-8F5A-D5F3BCE28461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Aldosterone!$A$2:$A$11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Aldosterone!$H$2:$H$11</c:f>
              <c:numCache>
                <c:formatCode>0</c:formatCode>
                <c:ptCount val="10"/>
                <c:pt idx="0">
                  <c:v>221563.42666270991</c:v>
                </c:pt>
                <c:pt idx="1">
                  <c:v>221563.42666270991</c:v>
                </c:pt>
                <c:pt idx="2">
                  <c:v>221563.42666270991</c:v>
                </c:pt>
                <c:pt idx="3">
                  <c:v>221563.42666270991</c:v>
                </c:pt>
                <c:pt idx="4">
                  <c:v>221563.42666270991</c:v>
                </c:pt>
                <c:pt idx="5">
                  <c:v>221563.42666270991</c:v>
                </c:pt>
                <c:pt idx="6">
                  <c:v>221563.42666270991</c:v>
                </c:pt>
                <c:pt idx="7">
                  <c:v>221563.42666270991</c:v>
                </c:pt>
                <c:pt idx="8">
                  <c:v>221563.42666270991</c:v>
                </c:pt>
                <c:pt idx="9">
                  <c:v>221563.42666270991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A-443E-8F5A-D5F3BCE28461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Aldosterone!$A$2:$A$11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Aldosterone!$E$2:$E$11</c:f>
              <c:numCache>
                <c:formatCode>0</c:formatCode>
                <c:ptCount val="10"/>
                <c:pt idx="0">
                  <c:v>285861.3823529412</c:v>
                </c:pt>
                <c:pt idx="1">
                  <c:v>285861.3823529412</c:v>
                </c:pt>
                <c:pt idx="2">
                  <c:v>285861.3823529412</c:v>
                </c:pt>
                <c:pt idx="3">
                  <c:v>285861.3823529412</c:v>
                </c:pt>
                <c:pt idx="4">
                  <c:v>285861.3823529412</c:v>
                </c:pt>
                <c:pt idx="5">
                  <c:v>285861.3823529412</c:v>
                </c:pt>
                <c:pt idx="6">
                  <c:v>285861.3823529412</c:v>
                </c:pt>
                <c:pt idx="7">
                  <c:v>285861.3823529412</c:v>
                </c:pt>
                <c:pt idx="8">
                  <c:v>285861.3823529412</c:v>
                </c:pt>
                <c:pt idx="9">
                  <c:v>285861.3823529412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6A-443E-8F5A-D5F3BCE28461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Aldosterone!$A$2:$A$11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Aldosterone!$I$2:$I$11</c:f>
              <c:numCache>
                <c:formatCode>0</c:formatCode>
                <c:ptCount val="10"/>
                <c:pt idx="0">
                  <c:v>382308.31588828808</c:v>
                </c:pt>
                <c:pt idx="1">
                  <c:v>382308.31588828808</c:v>
                </c:pt>
                <c:pt idx="2">
                  <c:v>382308.31588828808</c:v>
                </c:pt>
                <c:pt idx="3">
                  <c:v>382308.31588828808</c:v>
                </c:pt>
                <c:pt idx="4">
                  <c:v>382308.31588828808</c:v>
                </c:pt>
                <c:pt idx="5">
                  <c:v>382308.31588828808</c:v>
                </c:pt>
                <c:pt idx="6">
                  <c:v>382308.31588828808</c:v>
                </c:pt>
                <c:pt idx="7">
                  <c:v>382308.31588828808</c:v>
                </c:pt>
                <c:pt idx="8">
                  <c:v>382308.31588828808</c:v>
                </c:pt>
                <c:pt idx="9">
                  <c:v>382308.31588828808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6A-443E-8F5A-D5F3BCE28461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Aldosterone!$A$2:$A$11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Aldosterone!$J$2:$J$11</c:f>
              <c:numCache>
                <c:formatCode>0</c:formatCode>
                <c:ptCount val="10"/>
                <c:pt idx="0">
                  <c:v>189414.4488175943</c:v>
                </c:pt>
                <c:pt idx="1">
                  <c:v>189414.4488175943</c:v>
                </c:pt>
                <c:pt idx="2">
                  <c:v>189414.4488175943</c:v>
                </c:pt>
                <c:pt idx="3">
                  <c:v>189414.4488175943</c:v>
                </c:pt>
                <c:pt idx="4">
                  <c:v>189414.4488175943</c:v>
                </c:pt>
                <c:pt idx="5">
                  <c:v>189414.4488175943</c:v>
                </c:pt>
                <c:pt idx="6">
                  <c:v>189414.4488175943</c:v>
                </c:pt>
                <c:pt idx="7">
                  <c:v>189414.4488175943</c:v>
                </c:pt>
                <c:pt idx="8">
                  <c:v>189414.4488175943</c:v>
                </c:pt>
                <c:pt idx="9">
                  <c:v>189414.4488175943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6A-443E-8F5A-D5F3BCE2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Androstenedione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Androstenedione!$A$2:$A$11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Androstenedione!$B$2:$B$10</c:f>
              <c:numCache>
                <c:formatCode>General</c:formatCode>
                <c:ptCount val="9"/>
                <c:pt idx="0">
                  <c:v>5110988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3-477A-B902-B1FB6134F99F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Androstenedione!$A$2:$A$11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Androstenedione!$G$2:$G$11</c:f>
              <c:numCache>
                <c:formatCode>0</c:formatCode>
                <c:ptCount val="10"/>
                <c:pt idx="0">
                  <c:v>12182869.848729964</c:v>
                </c:pt>
                <c:pt idx="1">
                  <c:v>12182869.848729964</c:v>
                </c:pt>
                <c:pt idx="2">
                  <c:v>12182869.848729964</c:v>
                </c:pt>
                <c:pt idx="3">
                  <c:v>12182869.848729964</c:v>
                </c:pt>
                <c:pt idx="4">
                  <c:v>12182869.848729964</c:v>
                </c:pt>
                <c:pt idx="5">
                  <c:v>12182869.848729964</c:v>
                </c:pt>
                <c:pt idx="6">
                  <c:v>12182869.848729964</c:v>
                </c:pt>
                <c:pt idx="7">
                  <c:v>12182869.848729964</c:v>
                </c:pt>
                <c:pt idx="8">
                  <c:v>12182869.848729964</c:v>
                </c:pt>
                <c:pt idx="9">
                  <c:v>12182869.848729964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3-477A-B902-B1FB6134F99F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Androstenedione!$A$2:$A$11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Androstenedione!$H$2:$H$11</c:f>
              <c:numCache>
                <c:formatCode>0</c:formatCode>
                <c:ptCount val="10"/>
                <c:pt idx="0">
                  <c:v>7429081.092446506</c:v>
                </c:pt>
                <c:pt idx="1">
                  <c:v>7429081.092446506</c:v>
                </c:pt>
                <c:pt idx="2">
                  <c:v>7429081.092446506</c:v>
                </c:pt>
                <c:pt idx="3">
                  <c:v>7429081.092446506</c:v>
                </c:pt>
                <c:pt idx="4">
                  <c:v>7429081.092446506</c:v>
                </c:pt>
                <c:pt idx="5">
                  <c:v>7429081.092446506</c:v>
                </c:pt>
                <c:pt idx="6">
                  <c:v>7429081.092446506</c:v>
                </c:pt>
                <c:pt idx="7">
                  <c:v>7429081.092446506</c:v>
                </c:pt>
                <c:pt idx="8">
                  <c:v>7429081.092446506</c:v>
                </c:pt>
                <c:pt idx="9">
                  <c:v>7429081.092446506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C3-477A-B902-B1FB6134F99F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Androstenedione!$A$2:$A$11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Androstenedione!$E$2:$E$11</c:f>
              <c:numCache>
                <c:formatCode>0</c:formatCode>
                <c:ptCount val="10"/>
                <c:pt idx="0">
                  <c:v>9805975.4705882352</c:v>
                </c:pt>
                <c:pt idx="1">
                  <c:v>9805975.4705882352</c:v>
                </c:pt>
                <c:pt idx="2">
                  <c:v>9805975.4705882352</c:v>
                </c:pt>
                <c:pt idx="3">
                  <c:v>9805975.4705882352</c:v>
                </c:pt>
                <c:pt idx="4">
                  <c:v>9805975.4705882352</c:v>
                </c:pt>
                <c:pt idx="5">
                  <c:v>9805975.4705882352</c:v>
                </c:pt>
                <c:pt idx="6">
                  <c:v>9805975.4705882352</c:v>
                </c:pt>
                <c:pt idx="7">
                  <c:v>9805975.4705882352</c:v>
                </c:pt>
                <c:pt idx="8">
                  <c:v>9805975.4705882352</c:v>
                </c:pt>
                <c:pt idx="9">
                  <c:v>9805975.4705882352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C3-477A-B902-B1FB6134F99F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Androstenedione!$A$2:$A$11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Androstenedione!$I$2:$I$11</c:f>
              <c:numCache>
                <c:formatCode>0</c:formatCode>
                <c:ptCount val="10"/>
                <c:pt idx="0">
                  <c:v>13371317.03780083</c:v>
                </c:pt>
                <c:pt idx="1">
                  <c:v>13371317.03780083</c:v>
                </c:pt>
                <c:pt idx="2">
                  <c:v>13371317.03780083</c:v>
                </c:pt>
                <c:pt idx="3">
                  <c:v>13371317.03780083</c:v>
                </c:pt>
                <c:pt idx="4">
                  <c:v>13371317.03780083</c:v>
                </c:pt>
                <c:pt idx="5">
                  <c:v>13371317.03780083</c:v>
                </c:pt>
                <c:pt idx="6">
                  <c:v>13371317.03780083</c:v>
                </c:pt>
                <c:pt idx="7">
                  <c:v>13371317.03780083</c:v>
                </c:pt>
                <c:pt idx="8">
                  <c:v>13371317.03780083</c:v>
                </c:pt>
                <c:pt idx="9">
                  <c:v>13371317.03780083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C3-477A-B902-B1FB6134F99F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Androstenedione!$A$2:$A$11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Androstenedione!$J$2:$J$11</c:f>
              <c:numCache>
                <c:formatCode>0</c:formatCode>
                <c:ptCount val="10"/>
                <c:pt idx="0">
                  <c:v>6240633.9033756414</c:v>
                </c:pt>
                <c:pt idx="1">
                  <c:v>6240633.9033756414</c:v>
                </c:pt>
                <c:pt idx="2">
                  <c:v>6240633.9033756414</c:v>
                </c:pt>
                <c:pt idx="3">
                  <c:v>6240633.9033756414</c:v>
                </c:pt>
                <c:pt idx="4">
                  <c:v>6240633.9033756414</c:v>
                </c:pt>
                <c:pt idx="5">
                  <c:v>6240633.9033756414</c:v>
                </c:pt>
                <c:pt idx="6">
                  <c:v>6240633.9033756414</c:v>
                </c:pt>
                <c:pt idx="7">
                  <c:v>6240633.9033756414</c:v>
                </c:pt>
                <c:pt idx="8">
                  <c:v>6240633.9033756414</c:v>
                </c:pt>
                <c:pt idx="9">
                  <c:v>6240633.9033756414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C3-477A-B902-B1FB6134F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Corticosterone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Corticosterone!$A$2:$A$11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Corticosterone!$B$2:$B$10</c:f>
              <c:numCache>
                <c:formatCode>General</c:formatCode>
                <c:ptCount val="9"/>
                <c:pt idx="0">
                  <c:v>803014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8-4032-ADCE-E951C80B559D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Corticosterone!$A$2:$A$11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Corticosterone!$G$2:$G$11</c:f>
              <c:numCache>
                <c:formatCode>0</c:formatCode>
                <c:ptCount val="10"/>
                <c:pt idx="0">
                  <c:v>1914299.779586663</c:v>
                </c:pt>
                <c:pt idx="1">
                  <c:v>1914299.779586663</c:v>
                </c:pt>
                <c:pt idx="2">
                  <c:v>1914299.779586663</c:v>
                </c:pt>
                <c:pt idx="3">
                  <c:v>1914299.779586663</c:v>
                </c:pt>
                <c:pt idx="4">
                  <c:v>1914299.779586663</c:v>
                </c:pt>
                <c:pt idx="5">
                  <c:v>1914299.779586663</c:v>
                </c:pt>
                <c:pt idx="6">
                  <c:v>1914299.779586663</c:v>
                </c:pt>
                <c:pt idx="7">
                  <c:v>1914299.779586663</c:v>
                </c:pt>
                <c:pt idx="8">
                  <c:v>1914299.779586663</c:v>
                </c:pt>
                <c:pt idx="9">
                  <c:v>1914299.779586663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8-4032-ADCE-E951C80B559D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Corticosterone!$A$2:$A$11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Corticosterone!$H$2:$H$11</c:f>
              <c:numCache>
                <c:formatCode>0</c:formatCode>
                <c:ptCount val="10"/>
                <c:pt idx="0">
                  <c:v>647149.72041333711</c:v>
                </c:pt>
                <c:pt idx="1">
                  <c:v>647149.72041333711</c:v>
                </c:pt>
                <c:pt idx="2">
                  <c:v>647149.72041333711</c:v>
                </c:pt>
                <c:pt idx="3">
                  <c:v>647149.72041333711</c:v>
                </c:pt>
                <c:pt idx="4">
                  <c:v>647149.72041333711</c:v>
                </c:pt>
                <c:pt idx="5">
                  <c:v>647149.72041333711</c:v>
                </c:pt>
                <c:pt idx="6">
                  <c:v>647149.72041333711</c:v>
                </c:pt>
                <c:pt idx="7">
                  <c:v>647149.72041333711</c:v>
                </c:pt>
                <c:pt idx="8">
                  <c:v>647149.72041333711</c:v>
                </c:pt>
                <c:pt idx="9">
                  <c:v>647149.72041333711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18-4032-ADCE-E951C80B559D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Corticosterone!$A$2:$A$11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Corticosterone!$E$2:$E$11</c:f>
              <c:numCache>
                <c:formatCode>0</c:formatCode>
                <c:ptCount val="10"/>
                <c:pt idx="0">
                  <c:v>1280724.75</c:v>
                </c:pt>
                <c:pt idx="1">
                  <c:v>1280724.75</c:v>
                </c:pt>
                <c:pt idx="2">
                  <c:v>1280724.75</c:v>
                </c:pt>
                <c:pt idx="3">
                  <c:v>1280724.75</c:v>
                </c:pt>
                <c:pt idx="4">
                  <c:v>1280724.75</c:v>
                </c:pt>
                <c:pt idx="5">
                  <c:v>1280724.75</c:v>
                </c:pt>
                <c:pt idx="6">
                  <c:v>1280724.75</c:v>
                </c:pt>
                <c:pt idx="7">
                  <c:v>1280724.75</c:v>
                </c:pt>
                <c:pt idx="8">
                  <c:v>1280724.75</c:v>
                </c:pt>
                <c:pt idx="9">
                  <c:v>1280724.75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18-4032-ADCE-E951C80B559D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Corticosterone!$A$2:$A$11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Corticosterone!$I$2:$I$11</c:f>
              <c:numCache>
                <c:formatCode>0</c:formatCode>
                <c:ptCount val="10"/>
                <c:pt idx="0">
                  <c:v>2231087.2943799943</c:v>
                </c:pt>
                <c:pt idx="1">
                  <c:v>2231087.2943799943</c:v>
                </c:pt>
                <c:pt idx="2">
                  <c:v>2231087.2943799943</c:v>
                </c:pt>
                <c:pt idx="3">
                  <c:v>2231087.2943799943</c:v>
                </c:pt>
                <c:pt idx="4">
                  <c:v>2231087.2943799943</c:v>
                </c:pt>
                <c:pt idx="5">
                  <c:v>2231087.2943799943</c:v>
                </c:pt>
                <c:pt idx="6">
                  <c:v>2231087.2943799943</c:v>
                </c:pt>
                <c:pt idx="7">
                  <c:v>2231087.2943799943</c:v>
                </c:pt>
                <c:pt idx="8">
                  <c:v>2231087.2943799943</c:v>
                </c:pt>
                <c:pt idx="9">
                  <c:v>2231087.2943799943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18-4032-ADCE-E951C80B559D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Corticosterone!$A$2:$A$11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Corticosterone!$J$2:$J$11</c:f>
              <c:numCache>
                <c:formatCode>0</c:formatCode>
                <c:ptCount val="10"/>
                <c:pt idx="0">
                  <c:v>330362.20562000573</c:v>
                </c:pt>
                <c:pt idx="1">
                  <c:v>330362.20562000573</c:v>
                </c:pt>
                <c:pt idx="2">
                  <c:v>330362.20562000573</c:v>
                </c:pt>
                <c:pt idx="3">
                  <c:v>330362.20562000573</c:v>
                </c:pt>
                <c:pt idx="4">
                  <c:v>330362.20562000573</c:v>
                </c:pt>
                <c:pt idx="5">
                  <c:v>330362.20562000573</c:v>
                </c:pt>
                <c:pt idx="6">
                  <c:v>330362.20562000573</c:v>
                </c:pt>
                <c:pt idx="7">
                  <c:v>330362.20562000573</c:v>
                </c:pt>
                <c:pt idx="8">
                  <c:v>330362.20562000573</c:v>
                </c:pt>
                <c:pt idx="9">
                  <c:v>330362.20562000573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18-4032-ADCE-E951C80B5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ax val="2500000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Cortisol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Cortisol!$A$2:$A$11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Cortisol!$B$2:$B$10</c:f>
              <c:numCache>
                <c:formatCode>General</c:formatCode>
                <c:ptCount val="9"/>
                <c:pt idx="0">
                  <c:v>532129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F-4DD3-B105-755C2C216920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Cortisol!$A$2:$A$11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Cortisol!$G$2:$G$11</c:f>
              <c:numCache>
                <c:formatCode>0</c:formatCode>
                <c:ptCount val="10"/>
                <c:pt idx="0">
                  <c:v>1035322.645942775</c:v>
                </c:pt>
                <c:pt idx="1">
                  <c:v>1035322.645942775</c:v>
                </c:pt>
                <c:pt idx="2">
                  <c:v>1035322.645942775</c:v>
                </c:pt>
                <c:pt idx="3">
                  <c:v>1035322.645942775</c:v>
                </c:pt>
                <c:pt idx="4">
                  <c:v>1035322.645942775</c:v>
                </c:pt>
                <c:pt idx="5">
                  <c:v>1035322.645942775</c:v>
                </c:pt>
                <c:pt idx="6">
                  <c:v>1035322.645942775</c:v>
                </c:pt>
                <c:pt idx="7">
                  <c:v>1035322.645942775</c:v>
                </c:pt>
                <c:pt idx="8">
                  <c:v>1035322.645942775</c:v>
                </c:pt>
                <c:pt idx="9">
                  <c:v>1035322.645942775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DF-4DD3-B105-755C2C216920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Cortisol!$A$2:$A$11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Cortisol!$H$2:$H$11</c:f>
              <c:numCache>
                <c:formatCode>0</c:formatCode>
                <c:ptCount val="10"/>
                <c:pt idx="0">
                  <c:v>669826.47170428385</c:v>
                </c:pt>
                <c:pt idx="1">
                  <c:v>669826.47170428385</c:v>
                </c:pt>
                <c:pt idx="2">
                  <c:v>669826.47170428385</c:v>
                </c:pt>
                <c:pt idx="3">
                  <c:v>669826.47170428385</c:v>
                </c:pt>
                <c:pt idx="4">
                  <c:v>669826.47170428385</c:v>
                </c:pt>
                <c:pt idx="5">
                  <c:v>669826.47170428385</c:v>
                </c:pt>
                <c:pt idx="6">
                  <c:v>669826.47170428385</c:v>
                </c:pt>
                <c:pt idx="7">
                  <c:v>669826.47170428385</c:v>
                </c:pt>
                <c:pt idx="8">
                  <c:v>669826.47170428385</c:v>
                </c:pt>
                <c:pt idx="9">
                  <c:v>669826.47170428385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DF-4DD3-B105-755C2C216920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Cortisol!$A$2:$A$11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Cortisol!$E$2:$E$11</c:f>
              <c:numCache>
                <c:formatCode>0</c:formatCode>
                <c:ptCount val="10"/>
                <c:pt idx="0">
                  <c:v>852574.5588235294</c:v>
                </c:pt>
                <c:pt idx="1">
                  <c:v>852574.5588235294</c:v>
                </c:pt>
                <c:pt idx="2">
                  <c:v>852574.5588235294</c:v>
                </c:pt>
                <c:pt idx="3">
                  <c:v>852574.5588235294</c:v>
                </c:pt>
                <c:pt idx="4">
                  <c:v>852574.5588235294</c:v>
                </c:pt>
                <c:pt idx="5">
                  <c:v>852574.5588235294</c:v>
                </c:pt>
                <c:pt idx="6">
                  <c:v>852574.5588235294</c:v>
                </c:pt>
                <c:pt idx="7">
                  <c:v>852574.5588235294</c:v>
                </c:pt>
                <c:pt idx="8">
                  <c:v>852574.5588235294</c:v>
                </c:pt>
                <c:pt idx="9">
                  <c:v>852574.5588235294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DF-4DD3-B105-755C2C216920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Cortisol!$A$2:$A$11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Cortisol!$I$2:$I$11</c:f>
              <c:numCache>
                <c:formatCode>0</c:formatCode>
                <c:ptCount val="10"/>
                <c:pt idx="0">
                  <c:v>1126696.6895023978</c:v>
                </c:pt>
                <c:pt idx="1">
                  <c:v>1126696.6895023978</c:v>
                </c:pt>
                <c:pt idx="2">
                  <c:v>1126696.6895023978</c:v>
                </c:pt>
                <c:pt idx="3">
                  <c:v>1126696.6895023978</c:v>
                </c:pt>
                <c:pt idx="4">
                  <c:v>1126696.6895023978</c:v>
                </c:pt>
                <c:pt idx="5">
                  <c:v>1126696.6895023978</c:v>
                </c:pt>
                <c:pt idx="6">
                  <c:v>1126696.6895023978</c:v>
                </c:pt>
                <c:pt idx="7">
                  <c:v>1126696.6895023978</c:v>
                </c:pt>
                <c:pt idx="8">
                  <c:v>1126696.6895023978</c:v>
                </c:pt>
                <c:pt idx="9">
                  <c:v>1126696.6895023978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DF-4DD3-B105-755C2C216920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Cortisol!$A$2:$A$11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Cortisol!$J$2:$J$11</c:f>
              <c:numCache>
                <c:formatCode>0</c:formatCode>
                <c:ptCount val="10"/>
                <c:pt idx="0">
                  <c:v>578452.42814466101</c:v>
                </c:pt>
                <c:pt idx="1">
                  <c:v>578452.42814466101</c:v>
                </c:pt>
                <c:pt idx="2">
                  <c:v>578452.42814466101</c:v>
                </c:pt>
                <c:pt idx="3">
                  <c:v>578452.42814466101</c:v>
                </c:pt>
                <c:pt idx="4">
                  <c:v>578452.42814466101</c:v>
                </c:pt>
                <c:pt idx="5">
                  <c:v>578452.42814466101</c:v>
                </c:pt>
                <c:pt idx="6">
                  <c:v>578452.42814466101</c:v>
                </c:pt>
                <c:pt idx="7">
                  <c:v>578452.42814466101</c:v>
                </c:pt>
                <c:pt idx="8">
                  <c:v>578452.42814466101</c:v>
                </c:pt>
                <c:pt idx="9">
                  <c:v>578452.42814466101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DF-4DD3-B105-755C2C216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ax val="1200000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Cortisone Control Chart</a:t>
            </a:r>
          </a:p>
        </c:rich>
      </c:tx>
      <c:layout>
        <c:manualLayout>
          <c:xMode val="edge"/>
          <c:yMode val="edge"/>
          <c:x val="0.28738019789224123"/>
          <c:y val="3.51475306919642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Cortisone!$A$2:$A$11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Cortisone!$B$2:$B$10</c:f>
              <c:numCache>
                <c:formatCode>General</c:formatCode>
                <c:ptCount val="9"/>
                <c:pt idx="0" formatCode="0">
                  <c:v>961169.2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1-40F1-ADF9-68E60E95D8F6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Cortisone!$A$2:$A$11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Cortisone!$G$2:$G$11</c:f>
              <c:numCache>
                <c:formatCode>0</c:formatCode>
                <c:ptCount val="10"/>
                <c:pt idx="0">
                  <c:v>1377326.8284916061</c:v>
                </c:pt>
                <c:pt idx="1">
                  <c:v>1377326.8284916061</c:v>
                </c:pt>
                <c:pt idx="2">
                  <c:v>1377326.8284916061</c:v>
                </c:pt>
                <c:pt idx="3">
                  <c:v>1377326.8284916061</c:v>
                </c:pt>
                <c:pt idx="4">
                  <c:v>1377326.8284916061</c:v>
                </c:pt>
                <c:pt idx="5">
                  <c:v>1377326.8284916061</c:v>
                </c:pt>
                <c:pt idx="6">
                  <c:v>1377326.8284916061</c:v>
                </c:pt>
                <c:pt idx="7">
                  <c:v>1377326.8284916061</c:v>
                </c:pt>
                <c:pt idx="8">
                  <c:v>1377326.8284916061</c:v>
                </c:pt>
                <c:pt idx="9">
                  <c:v>1377326.8284916061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11-40F1-ADF9-68E60E95D8F6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Cortisone!$A$2:$A$11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Cortisone!$H$2:$H$11</c:f>
              <c:numCache>
                <c:formatCode>0</c:formatCode>
                <c:ptCount val="10"/>
                <c:pt idx="0">
                  <c:v>664162.34797898214</c:v>
                </c:pt>
                <c:pt idx="1">
                  <c:v>664162.34797898214</c:v>
                </c:pt>
                <c:pt idx="2">
                  <c:v>664162.34797898214</c:v>
                </c:pt>
                <c:pt idx="3">
                  <c:v>664162.34797898214</c:v>
                </c:pt>
                <c:pt idx="4">
                  <c:v>664162.34797898214</c:v>
                </c:pt>
                <c:pt idx="5">
                  <c:v>664162.34797898214</c:v>
                </c:pt>
                <c:pt idx="6">
                  <c:v>664162.34797898214</c:v>
                </c:pt>
                <c:pt idx="7">
                  <c:v>664162.34797898214</c:v>
                </c:pt>
                <c:pt idx="8">
                  <c:v>664162.34797898214</c:v>
                </c:pt>
                <c:pt idx="9">
                  <c:v>664162.34797898214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1-40F1-ADF9-68E60E95D8F6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Cortisone!$E$2:$E$11</c:f>
              <c:numCache>
                <c:formatCode>0</c:formatCode>
                <c:ptCount val="10"/>
                <c:pt idx="0">
                  <c:v>1020744.5882352941</c:v>
                </c:pt>
                <c:pt idx="1">
                  <c:v>1020744.5882352941</c:v>
                </c:pt>
                <c:pt idx="2">
                  <c:v>1020744.5882352941</c:v>
                </c:pt>
                <c:pt idx="3">
                  <c:v>1020744.5882352941</c:v>
                </c:pt>
                <c:pt idx="4">
                  <c:v>1020744.5882352941</c:v>
                </c:pt>
                <c:pt idx="5">
                  <c:v>1020744.5882352941</c:v>
                </c:pt>
                <c:pt idx="6">
                  <c:v>1020744.5882352941</c:v>
                </c:pt>
                <c:pt idx="7">
                  <c:v>1020744.5882352941</c:v>
                </c:pt>
                <c:pt idx="8">
                  <c:v>1020744.5882352941</c:v>
                </c:pt>
                <c:pt idx="9">
                  <c:v>1020744.5882352941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11-40F1-ADF9-68E60E95D8F6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Cortisone!$I$2:$I$11</c:f>
              <c:numCache>
                <c:formatCode>0</c:formatCode>
                <c:ptCount val="10"/>
                <c:pt idx="0">
                  <c:v>1555617.948619762</c:v>
                </c:pt>
                <c:pt idx="1">
                  <c:v>1555617.948619762</c:v>
                </c:pt>
                <c:pt idx="2">
                  <c:v>1555617.948619762</c:v>
                </c:pt>
                <c:pt idx="3">
                  <c:v>1555617.948619762</c:v>
                </c:pt>
                <c:pt idx="4">
                  <c:v>1555617.948619762</c:v>
                </c:pt>
                <c:pt idx="5">
                  <c:v>1555617.948619762</c:v>
                </c:pt>
                <c:pt idx="6">
                  <c:v>1555617.948619762</c:v>
                </c:pt>
                <c:pt idx="7">
                  <c:v>1555617.948619762</c:v>
                </c:pt>
                <c:pt idx="8">
                  <c:v>1555617.948619762</c:v>
                </c:pt>
                <c:pt idx="9">
                  <c:v>1555617.948619762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11-40F1-ADF9-68E60E95D8F6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Cortisone!$A$2:$A$11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Cortisone!$J$2:$J$11</c:f>
              <c:numCache>
                <c:formatCode>0</c:formatCode>
                <c:ptCount val="10"/>
                <c:pt idx="0">
                  <c:v>485871.22785082611</c:v>
                </c:pt>
                <c:pt idx="1">
                  <c:v>485871.22785082611</c:v>
                </c:pt>
                <c:pt idx="2">
                  <c:v>485871.22785082611</c:v>
                </c:pt>
                <c:pt idx="3">
                  <c:v>485871.22785082611</c:v>
                </c:pt>
                <c:pt idx="4">
                  <c:v>485871.22785082611</c:v>
                </c:pt>
                <c:pt idx="5">
                  <c:v>485871.22785082611</c:v>
                </c:pt>
                <c:pt idx="6">
                  <c:v>485871.22785082611</c:v>
                </c:pt>
                <c:pt idx="7">
                  <c:v>485871.22785082611</c:v>
                </c:pt>
                <c:pt idx="8">
                  <c:v>485871.22785082611</c:v>
                </c:pt>
                <c:pt idx="9">
                  <c:v>485871.22785082611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11-40F1-ADF9-68E60E95D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in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Dexamethasone Control Chart</a:t>
            </a:r>
          </a:p>
        </c:rich>
      </c:tx>
      <c:layout>
        <c:manualLayout>
          <c:xMode val="edge"/>
          <c:yMode val="edge"/>
          <c:x val="0.29294346551604555"/>
          <c:y val="3.9682678084254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Dexamethasone!$A$2:$A$11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Dexamethasone!$B$2:$B$10</c:f>
              <c:numCache>
                <c:formatCode>General</c:formatCode>
                <c:ptCount val="9"/>
                <c:pt idx="0" formatCode="0">
                  <c:v>428841.3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B-4FE7-8F2B-B9516F46C377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Dexamethasone!$A$2:$A$11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Dexamethasone!$G$2:$G$11</c:f>
              <c:numCache>
                <c:formatCode>0</c:formatCode>
                <c:ptCount val="10"/>
                <c:pt idx="0">
                  <c:v>170888.93912074142</c:v>
                </c:pt>
                <c:pt idx="1">
                  <c:v>170888.93912074142</c:v>
                </c:pt>
                <c:pt idx="2">
                  <c:v>170888.93912074142</c:v>
                </c:pt>
                <c:pt idx="3">
                  <c:v>170888.93912074142</c:v>
                </c:pt>
                <c:pt idx="4">
                  <c:v>170888.93912074142</c:v>
                </c:pt>
                <c:pt idx="5">
                  <c:v>170888.93912074142</c:v>
                </c:pt>
                <c:pt idx="6">
                  <c:v>170888.93912074142</c:v>
                </c:pt>
                <c:pt idx="7">
                  <c:v>170888.93912074142</c:v>
                </c:pt>
                <c:pt idx="8">
                  <c:v>170888.93912074142</c:v>
                </c:pt>
                <c:pt idx="9">
                  <c:v>170888.93912074142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B-4FE7-8F2B-B9516F46C377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Dexamethasone!$A$2:$A$11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Dexamethasone!$H$2:$H$11</c:f>
              <c:numCache>
                <c:formatCode>0</c:formatCode>
                <c:ptCount val="10"/>
                <c:pt idx="0">
                  <c:v>105531.43124962899</c:v>
                </c:pt>
                <c:pt idx="1">
                  <c:v>105531.43124962899</c:v>
                </c:pt>
                <c:pt idx="2">
                  <c:v>105531.43124962899</c:v>
                </c:pt>
                <c:pt idx="3">
                  <c:v>105531.43124962899</c:v>
                </c:pt>
                <c:pt idx="4">
                  <c:v>105531.43124962899</c:v>
                </c:pt>
                <c:pt idx="5">
                  <c:v>105531.43124962899</c:v>
                </c:pt>
                <c:pt idx="6">
                  <c:v>105531.43124962899</c:v>
                </c:pt>
                <c:pt idx="7">
                  <c:v>105531.43124962899</c:v>
                </c:pt>
                <c:pt idx="8">
                  <c:v>105531.43124962899</c:v>
                </c:pt>
                <c:pt idx="9">
                  <c:v>105531.43124962899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B-4FE7-8F2B-B9516F46C377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Dexamethasone!$A$2:$A$11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Dexamethasone!$E$2:$E$11</c:f>
              <c:numCache>
                <c:formatCode>0</c:formatCode>
                <c:ptCount val="10"/>
                <c:pt idx="0">
                  <c:v>138210.1851851852</c:v>
                </c:pt>
                <c:pt idx="1">
                  <c:v>138210.1851851852</c:v>
                </c:pt>
                <c:pt idx="2">
                  <c:v>138210.1851851852</c:v>
                </c:pt>
                <c:pt idx="3">
                  <c:v>138210.1851851852</c:v>
                </c:pt>
                <c:pt idx="4">
                  <c:v>138210.1851851852</c:v>
                </c:pt>
                <c:pt idx="5">
                  <c:v>138210.1851851852</c:v>
                </c:pt>
                <c:pt idx="6">
                  <c:v>138210.1851851852</c:v>
                </c:pt>
                <c:pt idx="7">
                  <c:v>138210.1851851852</c:v>
                </c:pt>
                <c:pt idx="8">
                  <c:v>138210.1851851852</c:v>
                </c:pt>
                <c:pt idx="9">
                  <c:v>138210.1851851852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1B-4FE7-8F2B-B9516F46C377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Dexamethasone!$A$2:$A$11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Dexamethasone!$I$2:$I$11</c:f>
              <c:numCache>
                <c:formatCode>0</c:formatCode>
                <c:ptCount val="10"/>
                <c:pt idx="0">
                  <c:v>187228.31608851952</c:v>
                </c:pt>
                <c:pt idx="1">
                  <c:v>187228.31608851952</c:v>
                </c:pt>
                <c:pt idx="2">
                  <c:v>187228.31608851952</c:v>
                </c:pt>
                <c:pt idx="3">
                  <c:v>187228.31608851952</c:v>
                </c:pt>
                <c:pt idx="4">
                  <c:v>187228.31608851952</c:v>
                </c:pt>
                <c:pt idx="5">
                  <c:v>187228.31608851952</c:v>
                </c:pt>
                <c:pt idx="6">
                  <c:v>187228.31608851952</c:v>
                </c:pt>
                <c:pt idx="7">
                  <c:v>187228.31608851952</c:v>
                </c:pt>
                <c:pt idx="8">
                  <c:v>187228.31608851952</c:v>
                </c:pt>
                <c:pt idx="9">
                  <c:v>187228.31608851952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1B-4FE7-8F2B-B9516F46C377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Dexamethasone!$A$2:$A$11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Dexamethasone!$J$2:$J$11</c:f>
              <c:numCache>
                <c:formatCode>0</c:formatCode>
                <c:ptCount val="10"/>
                <c:pt idx="0">
                  <c:v>89192.054281850884</c:v>
                </c:pt>
                <c:pt idx="1">
                  <c:v>89192.054281850884</c:v>
                </c:pt>
                <c:pt idx="2">
                  <c:v>89192.054281850884</c:v>
                </c:pt>
                <c:pt idx="3">
                  <c:v>89192.054281850884</c:v>
                </c:pt>
                <c:pt idx="4">
                  <c:v>89192.054281850884</c:v>
                </c:pt>
                <c:pt idx="5">
                  <c:v>89192.054281850884</c:v>
                </c:pt>
                <c:pt idx="6">
                  <c:v>89192.054281850884</c:v>
                </c:pt>
                <c:pt idx="7">
                  <c:v>89192.054281850884</c:v>
                </c:pt>
                <c:pt idx="8">
                  <c:v>89192.054281850884</c:v>
                </c:pt>
                <c:pt idx="9">
                  <c:v>89192.054281850884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1B-4FE7-8F2B-B9516F46C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DHEA Control Chart</a:t>
            </a:r>
          </a:p>
        </c:rich>
      </c:tx>
      <c:layout>
        <c:manualLayout>
          <c:xMode val="edge"/>
          <c:yMode val="edge"/>
          <c:x val="0.29294346551604555"/>
          <c:y val="3.9682678084254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DHEA!$A$2:$A$11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DHEA!$B$2:$B$10</c:f>
              <c:numCache>
                <c:formatCode>General</c:formatCode>
                <c:ptCount val="9"/>
                <c:pt idx="0" formatCode="0">
                  <c:v>29740.67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7-4FFD-976E-17ED39EB614D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DHEA!$A$2:$A$11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DHEA!$G$2:$G$11</c:f>
              <c:numCache>
                <c:formatCode>0</c:formatCode>
                <c:ptCount val="10"/>
                <c:pt idx="0">
                  <c:v>52341.991412024581</c:v>
                </c:pt>
                <c:pt idx="1">
                  <c:v>52341.991412024581</c:v>
                </c:pt>
                <c:pt idx="2">
                  <c:v>52341.991412024581</c:v>
                </c:pt>
                <c:pt idx="3">
                  <c:v>52341.991412024581</c:v>
                </c:pt>
                <c:pt idx="4">
                  <c:v>52341.991412024581</c:v>
                </c:pt>
                <c:pt idx="5">
                  <c:v>52341.991412024581</c:v>
                </c:pt>
                <c:pt idx="6">
                  <c:v>52341.991412024581</c:v>
                </c:pt>
                <c:pt idx="7">
                  <c:v>52341.991412024581</c:v>
                </c:pt>
                <c:pt idx="8">
                  <c:v>52341.991412024581</c:v>
                </c:pt>
                <c:pt idx="9">
                  <c:v>52341.991412024581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7-4FFD-976E-17ED39EB614D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DHEA!$A$2:$A$11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DHEA!$H$2:$H$11</c:f>
              <c:numCache>
                <c:formatCode>0</c:formatCode>
                <c:ptCount val="10"/>
                <c:pt idx="0">
                  <c:v>28109.949764446006</c:v>
                </c:pt>
                <c:pt idx="1">
                  <c:v>28109.949764446006</c:v>
                </c:pt>
                <c:pt idx="2">
                  <c:v>28109.949764446006</c:v>
                </c:pt>
                <c:pt idx="3">
                  <c:v>28109.949764446006</c:v>
                </c:pt>
                <c:pt idx="4">
                  <c:v>28109.949764446006</c:v>
                </c:pt>
                <c:pt idx="5">
                  <c:v>28109.949764446006</c:v>
                </c:pt>
                <c:pt idx="6">
                  <c:v>28109.949764446006</c:v>
                </c:pt>
                <c:pt idx="7">
                  <c:v>28109.949764446006</c:v>
                </c:pt>
                <c:pt idx="8">
                  <c:v>28109.949764446006</c:v>
                </c:pt>
                <c:pt idx="9">
                  <c:v>28109.949764446006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7-4FFD-976E-17ED39EB614D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DHEA!$A$2:$A$11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DHEA!$E$2:$E$11</c:f>
              <c:numCache>
                <c:formatCode>0</c:formatCode>
                <c:ptCount val="10"/>
                <c:pt idx="0">
                  <c:v>40225.970588235294</c:v>
                </c:pt>
                <c:pt idx="1">
                  <c:v>40225.970588235294</c:v>
                </c:pt>
                <c:pt idx="2">
                  <c:v>40225.970588235294</c:v>
                </c:pt>
                <c:pt idx="3">
                  <c:v>40225.970588235294</c:v>
                </c:pt>
                <c:pt idx="4">
                  <c:v>40225.970588235294</c:v>
                </c:pt>
                <c:pt idx="5">
                  <c:v>40225.970588235294</c:v>
                </c:pt>
                <c:pt idx="6">
                  <c:v>40225.970588235294</c:v>
                </c:pt>
                <c:pt idx="7">
                  <c:v>40225.970588235294</c:v>
                </c:pt>
                <c:pt idx="8">
                  <c:v>40225.970588235294</c:v>
                </c:pt>
                <c:pt idx="9">
                  <c:v>40225.970588235294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7-4FFD-976E-17ED39EB614D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DHEA!$A$2:$A$11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DHEA!$I$2:$I$11</c:f>
              <c:numCache>
                <c:formatCode>0</c:formatCode>
                <c:ptCount val="10"/>
                <c:pt idx="0">
                  <c:v>58400.001823919221</c:v>
                </c:pt>
                <c:pt idx="1">
                  <c:v>58400.001823919221</c:v>
                </c:pt>
                <c:pt idx="2">
                  <c:v>58400.001823919221</c:v>
                </c:pt>
                <c:pt idx="3">
                  <c:v>58400.001823919221</c:v>
                </c:pt>
                <c:pt idx="4">
                  <c:v>58400.001823919221</c:v>
                </c:pt>
                <c:pt idx="5">
                  <c:v>58400.001823919221</c:v>
                </c:pt>
                <c:pt idx="6">
                  <c:v>58400.001823919221</c:v>
                </c:pt>
                <c:pt idx="7">
                  <c:v>58400.001823919221</c:v>
                </c:pt>
                <c:pt idx="8">
                  <c:v>58400.001823919221</c:v>
                </c:pt>
                <c:pt idx="9">
                  <c:v>58400.001823919221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7-4FFD-976E-17ED39EB614D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DHEA!$A$2:$A$11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DHEA!$J$2:$J$11</c:f>
              <c:numCache>
                <c:formatCode>0</c:formatCode>
                <c:ptCount val="10"/>
                <c:pt idx="0">
                  <c:v>22051.939352551366</c:v>
                </c:pt>
                <c:pt idx="1">
                  <c:v>22051.939352551366</c:v>
                </c:pt>
                <c:pt idx="2">
                  <c:v>22051.939352551366</c:v>
                </c:pt>
                <c:pt idx="3">
                  <c:v>22051.939352551366</c:v>
                </c:pt>
                <c:pt idx="4">
                  <c:v>22051.939352551366</c:v>
                </c:pt>
                <c:pt idx="5">
                  <c:v>22051.939352551366</c:v>
                </c:pt>
                <c:pt idx="6">
                  <c:v>22051.939352551366</c:v>
                </c:pt>
                <c:pt idx="7">
                  <c:v>22051.939352551366</c:v>
                </c:pt>
                <c:pt idx="8">
                  <c:v>22051.939352551366</c:v>
                </c:pt>
                <c:pt idx="9">
                  <c:v>22051.939352551366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37-4FFD-976E-17ED39EB6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ax val="60000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DHEA-S Control Chart</a:t>
            </a:r>
          </a:p>
        </c:rich>
      </c:tx>
      <c:layout>
        <c:manualLayout>
          <c:xMode val="edge"/>
          <c:yMode val="edge"/>
          <c:x val="0.29294346551604555"/>
          <c:y val="3.96826780842545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'DHEA-S'!$A$2:$A$11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'DHEA-S'!$B$2:$B$10</c:f>
              <c:numCache>
                <c:formatCode>General</c:formatCode>
                <c:ptCount val="9"/>
                <c:pt idx="0" formatCode="0">
                  <c:v>60541.83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8-4C3A-BA43-599D82082F2B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'DHEA-S'!$A$2:$A$11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'DHEA-S'!$G$2:$G$11</c:f>
              <c:numCache>
                <c:formatCode>0</c:formatCode>
                <c:ptCount val="10"/>
                <c:pt idx="0">
                  <c:v>42904.946284737467</c:v>
                </c:pt>
                <c:pt idx="1">
                  <c:v>42904.946284737467</c:v>
                </c:pt>
                <c:pt idx="2">
                  <c:v>42904.946284737467</c:v>
                </c:pt>
                <c:pt idx="3">
                  <c:v>42904.946284737467</c:v>
                </c:pt>
                <c:pt idx="4">
                  <c:v>42904.946284737467</c:v>
                </c:pt>
                <c:pt idx="5">
                  <c:v>42904.946284737467</c:v>
                </c:pt>
                <c:pt idx="6">
                  <c:v>42904.946284737467</c:v>
                </c:pt>
                <c:pt idx="7">
                  <c:v>42904.946284737467</c:v>
                </c:pt>
                <c:pt idx="8">
                  <c:v>42904.946284737467</c:v>
                </c:pt>
                <c:pt idx="9">
                  <c:v>42904.946284737467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B8-4C3A-BA43-599D82082F2B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'DHEA-S'!$A$2:$A$11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'DHEA-S'!$H$2:$H$11</c:f>
              <c:numCache>
                <c:formatCode>0</c:formatCode>
                <c:ptCount val="10"/>
                <c:pt idx="0">
                  <c:v>23398.230185850774</c:v>
                </c:pt>
                <c:pt idx="1">
                  <c:v>23398.230185850774</c:v>
                </c:pt>
                <c:pt idx="2">
                  <c:v>23398.230185850774</c:v>
                </c:pt>
                <c:pt idx="3">
                  <c:v>23398.230185850774</c:v>
                </c:pt>
                <c:pt idx="4">
                  <c:v>23398.230185850774</c:v>
                </c:pt>
                <c:pt idx="5">
                  <c:v>23398.230185850774</c:v>
                </c:pt>
                <c:pt idx="6">
                  <c:v>23398.230185850774</c:v>
                </c:pt>
                <c:pt idx="7">
                  <c:v>23398.230185850774</c:v>
                </c:pt>
                <c:pt idx="8">
                  <c:v>23398.230185850774</c:v>
                </c:pt>
                <c:pt idx="9">
                  <c:v>23398.230185850774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8-4C3A-BA43-599D82082F2B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'DHEA-S'!$A$2:$A$11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'DHEA-S'!$E$2:$E$11</c:f>
              <c:numCache>
                <c:formatCode>0</c:formatCode>
                <c:ptCount val="10"/>
                <c:pt idx="0">
                  <c:v>33151.588235294119</c:v>
                </c:pt>
                <c:pt idx="1">
                  <c:v>33151.588235294119</c:v>
                </c:pt>
                <c:pt idx="2">
                  <c:v>33151.588235294119</c:v>
                </c:pt>
                <c:pt idx="3">
                  <c:v>33151.588235294119</c:v>
                </c:pt>
                <c:pt idx="4">
                  <c:v>33151.588235294119</c:v>
                </c:pt>
                <c:pt idx="5">
                  <c:v>33151.588235294119</c:v>
                </c:pt>
                <c:pt idx="6">
                  <c:v>33151.588235294119</c:v>
                </c:pt>
                <c:pt idx="7">
                  <c:v>33151.588235294119</c:v>
                </c:pt>
                <c:pt idx="8">
                  <c:v>33151.588235294119</c:v>
                </c:pt>
                <c:pt idx="9">
                  <c:v>33151.588235294119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8-4C3A-BA43-599D82082F2B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'DHEA-S'!$A$2:$A$11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'DHEA-S'!$I$2:$I$11</c:f>
              <c:numCache>
                <c:formatCode>0</c:formatCode>
                <c:ptCount val="10"/>
                <c:pt idx="0">
                  <c:v>47781.625309459137</c:v>
                </c:pt>
                <c:pt idx="1">
                  <c:v>47781.625309459137</c:v>
                </c:pt>
                <c:pt idx="2">
                  <c:v>47781.625309459137</c:v>
                </c:pt>
                <c:pt idx="3">
                  <c:v>47781.625309459137</c:v>
                </c:pt>
                <c:pt idx="4">
                  <c:v>47781.625309459137</c:v>
                </c:pt>
                <c:pt idx="5">
                  <c:v>47781.625309459137</c:v>
                </c:pt>
                <c:pt idx="6">
                  <c:v>47781.625309459137</c:v>
                </c:pt>
                <c:pt idx="7">
                  <c:v>47781.625309459137</c:v>
                </c:pt>
                <c:pt idx="8">
                  <c:v>47781.625309459137</c:v>
                </c:pt>
                <c:pt idx="9">
                  <c:v>47781.625309459137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B8-4C3A-BA43-599D82082F2B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'DHEA-S'!$A$2:$A$11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'DHEA-S'!$J$2:$J$11</c:f>
              <c:numCache>
                <c:formatCode>0</c:formatCode>
                <c:ptCount val="10"/>
                <c:pt idx="0">
                  <c:v>18521.5511611291</c:v>
                </c:pt>
                <c:pt idx="1">
                  <c:v>18521.5511611291</c:v>
                </c:pt>
                <c:pt idx="2">
                  <c:v>18521.5511611291</c:v>
                </c:pt>
                <c:pt idx="3">
                  <c:v>18521.5511611291</c:v>
                </c:pt>
                <c:pt idx="4">
                  <c:v>18521.5511611291</c:v>
                </c:pt>
                <c:pt idx="5">
                  <c:v>18521.5511611291</c:v>
                </c:pt>
                <c:pt idx="6">
                  <c:v>18521.5511611291</c:v>
                </c:pt>
                <c:pt idx="7">
                  <c:v>18521.5511611291</c:v>
                </c:pt>
                <c:pt idx="8">
                  <c:v>18521.5511611291</c:v>
                </c:pt>
                <c:pt idx="9">
                  <c:v>18521.5511611291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B8-4C3A-BA43-599D8208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ax val="70000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DHT Control Chart</a:t>
            </a:r>
          </a:p>
        </c:rich>
      </c:tx>
      <c:layout>
        <c:manualLayout>
          <c:xMode val="edge"/>
          <c:yMode val="edge"/>
          <c:x val="0.29155264493190092"/>
          <c:y val="4.1950182579542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DHT!$A$2:$A$11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DHT!$B$2:$B$10</c:f>
              <c:numCache>
                <c:formatCode>General</c:formatCode>
                <c:ptCount val="9"/>
                <c:pt idx="0" formatCode="0">
                  <c:v>147950.6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4-4A90-B6D5-8F9F1068598C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DHT!$A$2:$A$11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DHT!$G$2:$G$11</c:f>
              <c:numCache>
                <c:formatCode>0</c:formatCode>
                <c:ptCount val="10"/>
                <c:pt idx="0">
                  <c:v>356755.2737220393</c:v>
                </c:pt>
                <c:pt idx="1">
                  <c:v>356755.2737220393</c:v>
                </c:pt>
                <c:pt idx="2">
                  <c:v>356755.2737220393</c:v>
                </c:pt>
                <c:pt idx="3">
                  <c:v>356755.2737220393</c:v>
                </c:pt>
                <c:pt idx="4">
                  <c:v>356755.2737220393</c:v>
                </c:pt>
                <c:pt idx="5">
                  <c:v>356755.2737220393</c:v>
                </c:pt>
                <c:pt idx="6">
                  <c:v>356755.2737220393</c:v>
                </c:pt>
                <c:pt idx="7">
                  <c:v>356755.2737220393</c:v>
                </c:pt>
                <c:pt idx="8">
                  <c:v>356755.2737220393</c:v>
                </c:pt>
                <c:pt idx="9">
                  <c:v>356755.2737220393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4-4A90-B6D5-8F9F1068598C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DHT!$A$2:$A$11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DHT!$H$2:$H$11</c:f>
              <c:numCache>
                <c:formatCode>0</c:formatCode>
                <c:ptCount val="10"/>
                <c:pt idx="0">
                  <c:v>171846.5498073725</c:v>
                </c:pt>
                <c:pt idx="1">
                  <c:v>171846.5498073725</c:v>
                </c:pt>
                <c:pt idx="2">
                  <c:v>171846.5498073725</c:v>
                </c:pt>
                <c:pt idx="3">
                  <c:v>171846.5498073725</c:v>
                </c:pt>
                <c:pt idx="4">
                  <c:v>171846.5498073725</c:v>
                </c:pt>
                <c:pt idx="5">
                  <c:v>171846.5498073725</c:v>
                </c:pt>
                <c:pt idx="6">
                  <c:v>171846.5498073725</c:v>
                </c:pt>
                <c:pt idx="7">
                  <c:v>171846.5498073725</c:v>
                </c:pt>
                <c:pt idx="8">
                  <c:v>171846.5498073725</c:v>
                </c:pt>
                <c:pt idx="9">
                  <c:v>171846.5498073725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4-4A90-B6D5-8F9F1068598C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DHT!$A$2:$A$11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DHT!$E$2:$E$11</c:f>
              <c:numCache>
                <c:formatCode>0</c:formatCode>
                <c:ptCount val="10"/>
                <c:pt idx="0">
                  <c:v>264300.9117647059</c:v>
                </c:pt>
                <c:pt idx="1">
                  <c:v>264300.9117647059</c:v>
                </c:pt>
                <c:pt idx="2">
                  <c:v>264300.9117647059</c:v>
                </c:pt>
                <c:pt idx="3">
                  <c:v>264300.9117647059</c:v>
                </c:pt>
                <c:pt idx="4">
                  <c:v>264300.9117647059</c:v>
                </c:pt>
                <c:pt idx="5">
                  <c:v>264300.9117647059</c:v>
                </c:pt>
                <c:pt idx="6">
                  <c:v>264300.9117647059</c:v>
                </c:pt>
                <c:pt idx="7">
                  <c:v>264300.9117647059</c:v>
                </c:pt>
                <c:pt idx="8">
                  <c:v>264300.9117647059</c:v>
                </c:pt>
                <c:pt idx="9">
                  <c:v>264300.9117647059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E4-4A90-B6D5-8F9F1068598C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DHT!$A$2:$A$11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DHT!$I$2:$I$11</c:f>
              <c:numCache>
                <c:formatCode>0</c:formatCode>
                <c:ptCount val="10"/>
                <c:pt idx="0">
                  <c:v>402982.454700706</c:v>
                </c:pt>
                <c:pt idx="1">
                  <c:v>402982.454700706</c:v>
                </c:pt>
                <c:pt idx="2">
                  <c:v>402982.454700706</c:v>
                </c:pt>
                <c:pt idx="3">
                  <c:v>402982.454700706</c:v>
                </c:pt>
                <c:pt idx="4">
                  <c:v>402982.454700706</c:v>
                </c:pt>
                <c:pt idx="5">
                  <c:v>402982.454700706</c:v>
                </c:pt>
                <c:pt idx="6">
                  <c:v>402982.454700706</c:v>
                </c:pt>
                <c:pt idx="7">
                  <c:v>402982.454700706</c:v>
                </c:pt>
                <c:pt idx="8">
                  <c:v>402982.454700706</c:v>
                </c:pt>
                <c:pt idx="9">
                  <c:v>402982.454700706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E4-4A90-B6D5-8F9F1068598C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DHT!$A$2:$A$11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DHT!$J$2:$J$11</c:f>
              <c:numCache>
                <c:formatCode>0</c:formatCode>
                <c:ptCount val="10"/>
                <c:pt idx="0">
                  <c:v>125619.3688287058</c:v>
                </c:pt>
                <c:pt idx="1">
                  <c:v>125619.3688287058</c:v>
                </c:pt>
                <c:pt idx="2">
                  <c:v>125619.3688287058</c:v>
                </c:pt>
                <c:pt idx="3">
                  <c:v>125619.3688287058</c:v>
                </c:pt>
                <c:pt idx="4">
                  <c:v>125619.3688287058</c:v>
                </c:pt>
                <c:pt idx="5">
                  <c:v>125619.3688287058</c:v>
                </c:pt>
                <c:pt idx="6">
                  <c:v>125619.3688287058</c:v>
                </c:pt>
                <c:pt idx="7">
                  <c:v>125619.3688287058</c:v>
                </c:pt>
                <c:pt idx="8">
                  <c:v>125619.3688287058</c:v>
                </c:pt>
                <c:pt idx="9">
                  <c:v>125619.3688287058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E4-4A90-B6D5-8F9F10685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Progesterone Control Chart</a:t>
            </a:r>
          </a:p>
        </c:rich>
      </c:tx>
      <c:layout>
        <c:manualLayout>
          <c:xMode val="edge"/>
          <c:yMode val="edge"/>
          <c:x val="0.29155264493190092"/>
          <c:y val="4.1950182579542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Progesterone!$A$2:$A$11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Progesterone!$B$2:$B$10</c:f>
              <c:numCache>
                <c:formatCode>General</c:formatCode>
                <c:ptCount val="9"/>
                <c:pt idx="0">
                  <c:v>1801570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B-4738-906C-E9444BB5B52A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Progesterone!$A$2:$A$11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Progesterone!$G$2:$G$11</c:f>
              <c:numCache>
                <c:formatCode>0</c:formatCode>
                <c:ptCount val="10"/>
                <c:pt idx="0">
                  <c:v>4430986.9822776187</c:v>
                </c:pt>
                <c:pt idx="1">
                  <c:v>4430986.9822776187</c:v>
                </c:pt>
                <c:pt idx="2">
                  <c:v>4430986.9822776187</c:v>
                </c:pt>
                <c:pt idx="3">
                  <c:v>4430986.9822776187</c:v>
                </c:pt>
                <c:pt idx="4">
                  <c:v>4430986.9822776187</c:v>
                </c:pt>
                <c:pt idx="5">
                  <c:v>4430986.9822776187</c:v>
                </c:pt>
                <c:pt idx="6">
                  <c:v>4430986.9822776187</c:v>
                </c:pt>
                <c:pt idx="7">
                  <c:v>4430986.9822776187</c:v>
                </c:pt>
                <c:pt idx="8">
                  <c:v>4430986.9822776187</c:v>
                </c:pt>
                <c:pt idx="9">
                  <c:v>4430986.9822776187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B-4738-906C-E9444BB5B52A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Progesterone!$A$2:$A$11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Progesterone!$H$2:$H$11</c:f>
              <c:numCache>
                <c:formatCode>0</c:formatCode>
                <c:ptCount val="10"/>
                <c:pt idx="0">
                  <c:v>2233950.5471341461</c:v>
                </c:pt>
                <c:pt idx="1">
                  <c:v>2233950.5471341461</c:v>
                </c:pt>
                <c:pt idx="2">
                  <c:v>2233950.5471341461</c:v>
                </c:pt>
                <c:pt idx="3">
                  <c:v>2233950.5471341461</c:v>
                </c:pt>
                <c:pt idx="4">
                  <c:v>2233950.5471341461</c:v>
                </c:pt>
                <c:pt idx="5">
                  <c:v>2233950.5471341461</c:v>
                </c:pt>
                <c:pt idx="6">
                  <c:v>2233950.5471341461</c:v>
                </c:pt>
                <c:pt idx="7">
                  <c:v>2233950.5471341461</c:v>
                </c:pt>
                <c:pt idx="8">
                  <c:v>2233950.5471341461</c:v>
                </c:pt>
                <c:pt idx="9">
                  <c:v>2233950.5471341461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9B-4738-906C-E9444BB5B52A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Progesterone!$A$2:$A$11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Progesterone!$E$2:$E$11</c:f>
              <c:numCache>
                <c:formatCode>0</c:formatCode>
                <c:ptCount val="10"/>
                <c:pt idx="0">
                  <c:v>3332468.7647058824</c:v>
                </c:pt>
                <c:pt idx="1">
                  <c:v>3332468.7647058824</c:v>
                </c:pt>
                <c:pt idx="2">
                  <c:v>3332468.7647058824</c:v>
                </c:pt>
                <c:pt idx="3">
                  <c:v>3332468.7647058824</c:v>
                </c:pt>
                <c:pt idx="4">
                  <c:v>3332468.7647058824</c:v>
                </c:pt>
                <c:pt idx="5">
                  <c:v>3332468.7647058824</c:v>
                </c:pt>
                <c:pt idx="6">
                  <c:v>3332468.7647058824</c:v>
                </c:pt>
                <c:pt idx="7">
                  <c:v>3332468.7647058824</c:v>
                </c:pt>
                <c:pt idx="8">
                  <c:v>3332468.7647058824</c:v>
                </c:pt>
                <c:pt idx="9">
                  <c:v>3332468.7647058824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9B-4738-906C-E9444BB5B52A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Progesterone!$A$2:$A$11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Progesterone!$I$2:$I$11</c:f>
              <c:numCache>
                <c:formatCode>0</c:formatCode>
                <c:ptCount val="10"/>
                <c:pt idx="0">
                  <c:v>4980246.0910634873</c:v>
                </c:pt>
                <c:pt idx="1">
                  <c:v>4980246.0910634873</c:v>
                </c:pt>
                <c:pt idx="2">
                  <c:v>4980246.0910634873</c:v>
                </c:pt>
                <c:pt idx="3">
                  <c:v>4980246.0910634873</c:v>
                </c:pt>
                <c:pt idx="4">
                  <c:v>4980246.0910634873</c:v>
                </c:pt>
                <c:pt idx="5">
                  <c:v>4980246.0910634873</c:v>
                </c:pt>
                <c:pt idx="6">
                  <c:v>4980246.0910634873</c:v>
                </c:pt>
                <c:pt idx="7">
                  <c:v>4980246.0910634873</c:v>
                </c:pt>
                <c:pt idx="8">
                  <c:v>4980246.0910634873</c:v>
                </c:pt>
                <c:pt idx="9">
                  <c:v>4980246.0910634873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9B-4738-906C-E9444BB5B52A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Progesterone!$A$2:$A$11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Progesterone!$J$2:$J$11</c:f>
              <c:numCache>
                <c:formatCode>0</c:formatCode>
                <c:ptCount val="10"/>
                <c:pt idx="0">
                  <c:v>1684691.4383482775</c:v>
                </c:pt>
                <c:pt idx="1">
                  <c:v>1684691.4383482775</c:v>
                </c:pt>
                <c:pt idx="2">
                  <c:v>1684691.4383482775</c:v>
                </c:pt>
                <c:pt idx="3">
                  <c:v>1684691.4383482775</c:v>
                </c:pt>
                <c:pt idx="4">
                  <c:v>1684691.4383482775</c:v>
                </c:pt>
                <c:pt idx="5">
                  <c:v>1684691.4383482775</c:v>
                </c:pt>
                <c:pt idx="6">
                  <c:v>1684691.4383482775</c:v>
                </c:pt>
                <c:pt idx="7">
                  <c:v>1684691.4383482775</c:v>
                </c:pt>
                <c:pt idx="8">
                  <c:v>1684691.4383482775</c:v>
                </c:pt>
                <c:pt idx="9">
                  <c:v>1684691.4383482775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9B-4738-906C-E9444BB5B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in val="1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Progesterone Control Chart</a:t>
            </a:r>
          </a:p>
        </c:rich>
      </c:tx>
      <c:layout>
        <c:manualLayout>
          <c:xMode val="edge"/>
          <c:yMode val="edge"/>
          <c:x val="0.29155264493190092"/>
          <c:y val="4.1950182579542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{"Data"}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Testosterone!$A$2:$A$11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Testosterone!$B$2:$B$10</c:f>
              <c:numCache>
                <c:formatCode>General</c:formatCode>
                <c:ptCount val="9"/>
                <c:pt idx="0">
                  <c:v>4623370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F-4044-823B-5BE03E8ADF09}"/>
            </c:ext>
          </c:extLst>
        </c:ser>
        <c:ser>
          <c:idx val="1"/>
          <c:order val="1"/>
          <c:tx>
            <c:v>Upper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Testosterone!$A$2:$A$11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Testosterone!$G$2:$G$11</c:f>
              <c:numCache>
                <c:formatCode>0</c:formatCode>
                <c:ptCount val="10"/>
                <c:pt idx="0">
                  <c:v>10771007.885298342</c:v>
                </c:pt>
                <c:pt idx="1">
                  <c:v>10771007.885298342</c:v>
                </c:pt>
                <c:pt idx="2">
                  <c:v>10771007.885298342</c:v>
                </c:pt>
                <c:pt idx="3">
                  <c:v>10771007.885298342</c:v>
                </c:pt>
                <c:pt idx="4">
                  <c:v>10771007.885298342</c:v>
                </c:pt>
                <c:pt idx="5">
                  <c:v>10771007.885298342</c:v>
                </c:pt>
                <c:pt idx="6">
                  <c:v>10771007.885298342</c:v>
                </c:pt>
                <c:pt idx="7">
                  <c:v>10771007.885298342</c:v>
                </c:pt>
                <c:pt idx="8">
                  <c:v>10771007.885298342</c:v>
                </c:pt>
                <c:pt idx="9">
                  <c:v>10771007.885298342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1F-4044-823B-5BE03E8ADF09}"/>
            </c:ext>
          </c:extLst>
        </c:ser>
        <c:ser>
          <c:idx val="2"/>
          <c:order val="2"/>
          <c:tx>
            <c:v>Lower Limit</c:v>
          </c:tx>
          <c:spPr>
            <a:ln w="28575" cap="flat" cmpd="sng" algn="ctr">
              <a:solidFill>
                <a:srgbClr val="ED7D31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cat>
            <c:numRef>
              <c:f>Testosterone!$A$2:$A$11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Testosterone!$H$2:$H$11</c:f>
              <c:numCache>
                <c:formatCode>0</c:formatCode>
                <c:ptCount val="10"/>
                <c:pt idx="0">
                  <c:v>6754170.4676428372</c:v>
                </c:pt>
                <c:pt idx="1">
                  <c:v>6754170.4676428372</c:v>
                </c:pt>
                <c:pt idx="2">
                  <c:v>6754170.4676428372</c:v>
                </c:pt>
                <c:pt idx="3">
                  <c:v>6754170.4676428372</c:v>
                </c:pt>
                <c:pt idx="4">
                  <c:v>6754170.4676428372</c:v>
                </c:pt>
                <c:pt idx="5">
                  <c:v>6754170.4676428372</c:v>
                </c:pt>
                <c:pt idx="6">
                  <c:v>6754170.4676428372</c:v>
                </c:pt>
                <c:pt idx="7">
                  <c:v>6754170.4676428372</c:v>
                </c:pt>
                <c:pt idx="8">
                  <c:v>6754170.4676428372</c:v>
                </c:pt>
                <c:pt idx="9">
                  <c:v>6754170.4676428372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1F-4044-823B-5BE03E8ADF09}"/>
            </c:ext>
          </c:extLst>
        </c:ser>
        <c:ser>
          <c:idx val="3"/>
          <c:order val="3"/>
          <c:tx>
            <c:strRef>
              <c:f>{"Mean"}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Testosterone!$A$2:$A$11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Testosterone!$E$2:$E$11</c:f>
              <c:numCache>
                <c:formatCode>0</c:formatCode>
                <c:ptCount val="10"/>
                <c:pt idx="0">
                  <c:v>8762589.1764705889</c:v>
                </c:pt>
                <c:pt idx="1">
                  <c:v>8762589.1764705889</c:v>
                </c:pt>
                <c:pt idx="2">
                  <c:v>8762589.1764705889</c:v>
                </c:pt>
                <c:pt idx="3">
                  <c:v>8762589.1764705889</c:v>
                </c:pt>
                <c:pt idx="4">
                  <c:v>8762589.1764705889</c:v>
                </c:pt>
                <c:pt idx="5">
                  <c:v>8762589.1764705889</c:v>
                </c:pt>
                <c:pt idx="6">
                  <c:v>8762589.1764705889</c:v>
                </c:pt>
                <c:pt idx="7">
                  <c:v>8762589.1764705889</c:v>
                </c:pt>
                <c:pt idx="8">
                  <c:v>8762589.1764705889</c:v>
                </c:pt>
                <c:pt idx="9">
                  <c:v>8762589.1764705889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1F-4044-823B-5BE03E8ADF09}"/>
            </c:ext>
          </c:extLst>
        </c:ser>
        <c:ser>
          <c:idx val="4"/>
          <c:order val="4"/>
          <c:tx>
            <c:strRef>
              <c:f>{"Upper control limit"}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Testosterone!$A$2:$A$11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Testosterone!$I$2:$I$11</c:f>
              <c:numCache>
                <c:formatCode>0</c:formatCode>
                <c:ptCount val="10"/>
                <c:pt idx="0">
                  <c:v>11775217.239712216</c:v>
                </c:pt>
                <c:pt idx="1">
                  <c:v>11775217.239712216</c:v>
                </c:pt>
                <c:pt idx="2">
                  <c:v>11775217.239712216</c:v>
                </c:pt>
                <c:pt idx="3">
                  <c:v>11775217.239712216</c:v>
                </c:pt>
                <c:pt idx="4">
                  <c:v>11775217.239712216</c:v>
                </c:pt>
                <c:pt idx="5">
                  <c:v>11775217.239712216</c:v>
                </c:pt>
                <c:pt idx="6">
                  <c:v>11775217.239712216</c:v>
                </c:pt>
                <c:pt idx="7">
                  <c:v>11775217.239712216</c:v>
                </c:pt>
                <c:pt idx="8">
                  <c:v>11775217.239712216</c:v>
                </c:pt>
                <c:pt idx="9">
                  <c:v>11775217.239712216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1F-4044-823B-5BE03E8ADF09}"/>
            </c:ext>
          </c:extLst>
        </c:ser>
        <c:ser>
          <c:idx val="5"/>
          <c:order val="5"/>
          <c:tx>
            <c:strRef>
              <c:f>{"Lower control limit"}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Testosterone!$A$2:$A$11</c:f>
              <c:numCache>
                <c:formatCode>m/d/yy</c:formatCode>
                <c:ptCount val="10"/>
                <c:pt idx="0">
                  <c:v>45722</c:v>
                </c:pt>
                <c:pt idx="1">
                  <c:v>45723</c:v>
                </c:pt>
                <c:pt idx="2">
                  <c:v>45724</c:v>
                </c:pt>
                <c:pt idx="3">
                  <c:v>45725</c:v>
                </c:pt>
                <c:pt idx="4">
                  <c:v>45726</c:v>
                </c:pt>
                <c:pt idx="5">
                  <c:v>45727</c:v>
                </c:pt>
                <c:pt idx="6">
                  <c:v>45728</c:v>
                </c:pt>
                <c:pt idx="7">
                  <c:v>45729</c:v>
                </c:pt>
              </c:numCache>
            </c:numRef>
          </c:cat>
          <c:val>
            <c:numRef>
              <c:f>Testosterone!$J$2:$J$11</c:f>
              <c:numCache>
                <c:formatCode>0</c:formatCode>
                <c:ptCount val="10"/>
                <c:pt idx="0">
                  <c:v>5749961.1132289618</c:v>
                </c:pt>
                <c:pt idx="1">
                  <c:v>5749961.1132289618</c:v>
                </c:pt>
                <c:pt idx="2">
                  <c:v>5749961.1132289618</c:v>
                </c:pt>
                <c:pt idx="3">
                  <c:v>5749961.1132289618</c:v>
                </c:pt>
                <c:pt idx="4">
                  <c:v>5749961.1132289618</c:v>
                </c:pt>
                <c:pt idx="5">
                  <c:v>5749961.1132289618</c:v>
                </c:pt>
                <c:pt idx="6">
                  <c:v>5749961.1132289618</c:v>
                </c:pt>
                <c:pt idx="7">
                  <c:v>5749961.1132289618</c:v>
                </c:pt>
                <c:pt idx="8">
                  <c:v>5749961.1132289618</c:v>
                </c:pt>
                <c:pt idx="9">
                  <c:v>5749961.1132289618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1F-4044-823B-5BE03E8A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067504"/>
        <c:axId val="1457513712"/>
      </c:lineChart>
      <c:dateAx>
        <c:axId val="12700675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513712"/>
        <c:crosses val="autoZero"/>
        <c:auto val="1"/>
        <c:lblOffset val="100"/>
        <c:baseTimeUnit val="days"/>
      </c:dateAx>
      <c:valAx>
        <c:axId val="1457513712"/>
        <c:scaling>
          <c:orientation val="minMax"/>
          <c:min val="4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6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14</xdr:row>
      <xdr:rowOff>69850</xdr:rowOff>
    </xdr:from>
    <xdr:to>
      <xdr:col>9</xdr:col>
      <xdr:colOff>485775</xdr:colOff>
      <xdr:row>29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11D3C6-DF46-4202-96E1-2134EEF18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127000</xdr:rowOff>
    </xdr:from>
    <xdr:to>
      <xdr:col>7</xdr:col>
      <xdr:colOff>447675</xdr:colOff>
      <xdr:row>33</xdr:row>
      <xdr:rowOff>69850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751EB2DF-157F-400C-8BC7-912243ECD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11</xdr:row>
      <xdr:rowOff>107950</xdr:rowOff>
    </xdr:from>
    <xdr:to>
      <xdr:col>8</xdr:col>
      <xdr:colOff>523875</xdr:colOff>
      <xdr:row>26</xdr:row>
      <xdr:rowOff>50800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8D6AF1B-D26E-4122-82A5-4CA9757C7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11</xdr:row>
      <xdr:rowOff>107950</xdr:rowOff>
    </xdr:from>
    <xdr:to>
      <xdr:col>8</xdr:col>
      <xdr:colOff>523875</xdr:colOff>
      <xdr:row>26</xdr:row>
      <xdr:rowOff>50800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6B9748-8628-4B82-A6B9-52BB40478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65DCCA02-2B96-44AA-843B-3CD690046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88855432-7F3C-4354-B8E5-3CD1F1F6D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50736127-3BBF-422E-8B01-EA5B39B53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FC884CEC-8A09-4B03-9F4B-EA62CA59E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D46C23B1-2228-43DF-A084-DE356CD98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2F7EB546-DF47-4305-AB23-B11C0525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762F9837-058A-4851-9F91-8252B2184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4E6E1BE0-C75A-4EC5-AB00-AA2BFD200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E1345982-A178-4FE2-BC96-9722B535D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12</xdr:row>
      <xdr:rowOff>60325</xdr:rowOff>
    </xdr:from>
    <xdr:to>
      <xdr:col>8</xdr:col>
      <xdr:colOff>752475</xdr:colOff>
      <xdr:row>27</xdr:row>
      <xdr:rowOff>3175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D30D4E09-D4CD-4646-9B67-60CBAC5EC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-762000</xdr:colOff>
      <xdr:row>0</xdr:row>
      <xdr:rowOff>66675</xdr:rowOff>
    </xdr:from>
    <xdr:to>
      <xdr:col>0</xdr:col>
      <xdr:colOff>-762000</xdr:colOff>
      <xdr:row>0</xdr:row>
      <xdr:rowOff>66675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A17826BD-FD4F-441D-BCCC-433DD120C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09FCA-7B99-4065-9DF6-83E7405E9553}" name="Table1" displayName="Table1" ref="A1:I11" totalsRowShown="0" headerRowDxfId="165">
  <autoFilter ref="A1:I11" xr:uid="{12309FCA-7B99-4065-9DF6-83E7405E9553}"/>
  <tableColumns count="9">
    <tableColumn id="1" xr3:uid="{58BA6170-452F-44F3-B741-662612CA3E44}" name="Date" dataDxfId="164"/>
    <tableColumn id="2" xr3:uid="{A7A017B4-A8E6-450A-B208-1E75A993FB38}" name="Average Peak Area"/>
    <tableColumn id="3" xr3:uid="{471E8D6C-4BE7-42CF-ABA1-C4C6879D7EB6}" name="CV" dataDxfId="163"/>
    <tableColumn id="9" xr3:uid="{EFAC911B-CE2E-4A73-A568-E666794EDDBE}" name="Pass" dataDxfId="162">
      <calculatedColumnFormula>AND(B2&lt;F2, B2&gt;G2, Table1[[#This Row],[CV]]&lt;15)</calculatedColumnFormula>
    </tableColumn>
    <tableColumn id="4" xr3:uid="{757F1C0D-9E3E-4977-8719-8F83C5387B1F}" name="Established Average" dataDxfId="161"/>
    <tableColumn id="6" xr3:uid="{2A3317A8-0AFC-4999-960D-52F52DDAB3A3}" name="Upper 2SD" dataDxfId="160"/>
    <tableColumn id="7" xr3:uid="{097882A7-E48F-4CF3-BE08-4412E1687DAD}" name="Lower 2SD" dataDxfId="159"/>
    <tableColumn id="8" xr3:uid="{6F871EE4-FA4F-438B-A987-A29F79A1BE95}" name="Upper 3SD" dataDxfId="158">
      <calculatedColumnFormula>D2+3*E2</calculatedColumnFormula>
    </tableColumn>
    <tableColumn id="10" xr3:uid="{D07C383A-F33F-4B46-9E70-B2CC7F39D293}" name="Lower 3SD" dataDxfId="1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365538-790D-45A9-860D-4BB287BBF165}" name="Table13" displayName="Table13" ref="A1:J11" totalsRowShown="0" headerRowDxfId="156">
  <autoFilter ref="A1:J11" xr:uid="{12309FCA-7B99-4065-9DF6-83E7405E9553}"/>
  <tableColumns count="10">
    <tableColumn id="1" xr3:uid="{0ACB5CB7-52CD-4B54-ADD9-A4942D7FF4A0}" name="Date" dataDxfId="155"/>
    <tableColumn id="2" xr3:uid="{530BD28C-0961-42CD-A718-EBF74CAD2835}" name="Average Peak Area"/>
    <tableColumn id="3" xr3:uid="{FDBFB9EF-4474-4AA7-9A93-F358C3A48447}" name="CV" dataDxfId="154"/>
    <tableColumn id="9" xr3:uid="{115734DC-7E3B-4739-B1EE-AE48747481F8}" name="Pass" dataDxfId="153">
      <calculatedColumnFormula>AND(B2&lt;G2, B2&gt;H2, Table13[[#This Row],[CV]]&lt;15)</calculatedColumnFormula>
    </tableColumn>
    <tableColumn id="4" xr3:uid="{B12EF8BB-1C20-487E-B898-8AB3F76CC9B3}" name="Established Average" dataDxfId="152">
      <calculatedColumnFormula>AVERAGE(M:M)</calculatedColumnFormula>
    </tableColumn>
    <tableColumn id="11" xr3:uid="{EC9779C8-7FCD-4BD7-89CC-E0453EC16B28}" name="SD" dataDxfId="151">
      <calculatedColumnFormula>_xlfn.STDEV.S(M:M)</calculatedColumnFormula>
    </tableColumn>
    <tableColumn id="6" xr3:uid="{E73B3D30-A354-4E59-B99F-C4B44A42D84D}" name="Upper 2SD" dataDxfId="150">
      <calculatedColumnFormula>Table13[[#This Row],[Established Average]]+2*Table13[[#This Row],[SD]]</calculatedColumnFormula>
    </tableColumn>
    <tableColumn id="7" xr3:uid="{4B170B00-4F91-4F68-B319-9CD27CFED91A}" name="Lower 2SD" dataDxfId="149">
      <calculatedColumnFormula>Table13[[#This Row],[Established Average]]-2*Table13[[#This Row],[SD]]</calculatedColumnFormula>
    </tableColumn>
    <tableColumn id="8" xr3:uid="{0319A056-7738-43E3-9FDC-083512605D20}" name="Upper 3SD" dataDxfId="148">
      <calculatedColumnFormula>Table13[[#This Row],[Established Average]]+3*Table13[[#This Row],[SD]]</calculatedColumnFormula>
    </tableColumn>
    <tableColumn id="10" xr3:uid="{F84518F8-51FC-440B-A483-9724D7290F14}" name="Lower 3SD" dataDxfId="147">
      <calculatedColumnFormula>Table13[[#This Row],[Established Average]]-3*Table13[[#This Row],[SD]]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450F7F-DE6F-4BC2-8927-9F9415E59011}" name="Table134" displayName="Table134" ref="A1:J11" totalsRowShown="0" headerRowDxfId="146">
  <autoFilter ref="A1:J11" xr:uid="{12309FCA-7B99-4065-9DF6-83E7405E9553}"/>
  <tableColumns count="10">
    <tableColumn id="1" xr3:uid="{B39C9025-A4CD-4AB6-8250-C01802F24392}" name="Date" dataDxfId="145"/>
    <tableColumn id="2" xr3:uid="{62DE6BA6-EADE-4BE9-9CA6-08BFBCD29B82}" name="Average Peak Area"/>
    <tableColumn id="3" xr3:uid="{730FBF2D-9ED9-4DAD-A7B5-2B4E5A268858}" name="CV" dataDxfId="144"/>
    <tableColumn id="9" xr3:uid="{9D53A6D8-C511-4FA3-9C40-DA9318F41A32}" name="Pass" dataDxfId="143">
      <calculatedColumnFormula>AND(B2&lt;G2, B2&gt;H2, Table134[[#This Row],[CV]]&lt;15)</calculatedColumnFormula>
    </tableColumn>
    <tableColumn id="4" xr3:uid="{63D612B7-FCF5-4305-9AE5-E0F863956E7E}" name="Established Average" dataDxfId="142">
      <calculatedColumnFormula>AVERAGE(M:M)</calculatedColumnFormula>
    </tableColumn>
    <tableColumn id="11" xr3:uid="{4A71E2C2-B317-40C0-AD05-A0855918BC36}" name="SD" dataDxfId="141">
      <calculatedColumnFormula>_xlfn.STDEV.S(M:M)</calculatedColumnFormula>
    </tableColumn>
    <tableColumn id="6" xr3:uid="{D78A955A-970B-41C3-9655-804F9B6BA749}" name="Upper 2SD" dataDxfId="140">
      <calculatedColumnFormula>Table134[[#This Row],[Established Average]]+2*Table134[[#This Row],[SD]]</calculatedColumnFormula>
    </tableColumn>
    <tableColumn id="7" xr3:uid="{A7492112-E257-4BDE-B057-4ABC38808DCA}" name="Lower 2SD" dataDxfId="139">
      <calculatedColumnFormula>Table134[[#This Row],[Established Average]]-2*Table134[[#This Row],[SD]]</calculatedColumnFormula>
    </tableColumn>
    <tableColumn id="8" xr3:uid="{C2009253-6138-4793-8D2D-A6198AC1262B}" name="Upper 3SD" dataDxfId="138">
      <calculatedColumnFormula>Table134[[#This Row],[Established Average]]+3*Table134[[#This Row],[SD]]</calculatedColumnFormula>
    </tableColumn>
    <tableColumn id="10" xr3:uid="{CC6FE462-6938-40FA-919C-71B835F5DDB5}" name="Lower 3SD" dataDxfId="137">
      <calculatedColumnFormula>Table134[[#This Row],[Established Average]]-3*Table134[[#This Row],[SD]]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5F1995-F844-47A3-A707-8B4D9C4A237C}" name="Table1345" displayName="Table1345" ref="A1:J11" totalsRowShown="0" headerRowDxfId="136">
  <autoFilter ref="A1:J11" xr:uid="{12309FCA-7B99-4065-9DF6-83E7405E9553}"/>
  <tableColumns count="10">
    <tableColumn id="1" xr3:uid="{9E9955F5-C1D7-4B30-A207-BCF68E3E3568}" name="Date" dataDxfId="135"/>
    <tableColumn id="2" xr3:uid="{6472BB70-7457-49D4-AF7C-679A87A218BC}" name="Average Peak Area"/>
    <tableColumn id="3" xr3:uid="{83609399-A691-4EA7-85D2-128B68C83ACF}" name="CV" dataDxfId="134"/>
    <tableColumn id="9" xr3:uid="{6E66E1E0-8D96-4D6B-9A66-8038FCA54EC1}" name="Pass" dataDxfId="133">
      <calculatedColumnFormula>AND(B2&lt;G2, B2&gt;H2, Table1345[[#This Row],[CV]]&lt;15)</calculatedColumnFormula>
    </tableColumn>
    <tableColumn id="4" xr3:uid="{CFD69CBF-F9BF-416E-82C9-5BE754050945}" name="Established Average" dataDxfId="132">
      <calculatedColumnFormula>AVERAGE(M:M)</calculatedColumnFormula>
    </tableColumn>
    <tableColumn id="11" xr3:uid="{6CF14366-D618-49A1-AEDF-D33D2A8D9103}" name="SD" dataDxfId="131">
      <calculatedColumnFormula>_xlfn.STDEV.S(M:M)</calculatedColumnFormula>
    </tableColumn>
    <tableColumn id="6" xr3:uid="{D79F3E80-7E47-4AA9-8A5A-AA569B795FF8}" name="Upper 2SD" dataDxfId="130">
      <calculatedColumnFormula>Table1345[[#This Row],[Established Average]]+2*Table1345[[#This Row],[SD]]</calculatedColumnFormula>
    </tableColumn>
    <tableColumn id="7" xr3:uid="{50776861-8831-4CDB-A04E-7A154A037F75}" name="Lower 2SD" dataDxfId="129">
      <calculatedColumnFormula>Table1345[[#This Row],[Established Average]]-2*Table1345[[#This Row],[SD]]</calculatedColumnFormula>
    </tableColumn>
    <tableColumn id="8" xr3:uid="{D2221DC8-6B72-4DF9-89DB-429F85E04FB3}" name="Upper 3SD" dataDxfId="128">
      <calculatedColumnFormula>Table1345[[#This Row],[Established Average]]+3*Table1345[[#This Row],[SD]]</calculatedColumnFormula>
    </tableColumn>
    <tableColumn id="10" xr3:uid="{5986EECE-E810-4CD2-BD8C-533D5B7FAC29}" name="Lower 3SD" dataDxfId="127">
      <calculatedColumnFormula>Table1345[[#This Row],[Established Average]]-3*Table1345[[#This Row],[SD]]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C69BB5-A321-4F13-8FBC-3EFA961BA5A0}" name="Table13456" displayName="Table13456" ref="A1:J11" totalsRowShown="0" headerRowDxfId="126">
  <autoFilter ref="A1:J11" xr:uid="{12309FCA-7B99-4065-9DF6-83E7405E9553}"/>
  <tableColumns count="10">
    <tableColumn id="1" xr3:uid="{7DC130C5-8737-4CA2-BB9E-90FDC2D8A6C8}" name="Date" dataDxfId="125"/>
    <tableColumn id="2" xr3:uid="{12893744-CE06-411F-AD64-AA0CE486A9CD}" name="Average Peak Area"/>
    <tableColumn id="3" xr3:uid="{7750DDE7-0C2E-4FC8-BBAF-473B5892B8FC}" name="CV" dataDxfId="124"/>
    <tableColumn id="9" xr3:uid="{D8D556C7-1994-4431-983B-C9FA95E4C02E}" name="Pass" dataDxfId="123">
      <calculatedColumnFormula>AND(B2&lt;G2, B2&gt;H2, Table13456[[#This Row],[CV]]&lt;15)</calculatedColumnFormula>
    </tableColumn>
    <tableColumn id="4" xr3:uid="{8995EBBD-CF2D-4689-A9A7-EB94D23778EA}" name="Established Average" dataDxfId="122">
      <calculatedColumnFormula>AVERAGE(M:M)</calculatedColumnFormula>
    </tableColumn>
    <tableColumn id="11" xr3:uid="{CA84E307-BD64-4104-8DB7-787264ECEAE4}" name="SD" dataDxfId="121">
      <calculatedColumnFormula>_xlfn.STDEV.S(M:M)</calculatedColumnFormula>
    </tableColumn>
    <tableColumn id="6" xr3:uid="{B8227EEA-BE9F-4B1C-BD2D-5D420ACE28C1}" name="Upper 2SD" dataDxfId="120">
      <calculatedColumnFormula>Table13456[[#This Row],[Established Average]]+2*Table13456[[#This Row],[SD]]</calculatedColumnFormula>
    </tableColumn>
    <tableColumn id="7" xr3:uid="{20EA4C1A-472C-4B31-95D6-FF11668A34E6}" name="Lower 2SD" dataDxfId="119">
      <calculatedColumnFormula>Table13456[[#This Row],[Established Average]]-2*Table13456[[#This Row],[SD]]</calculatedColumnFormula>
    </tableColumn>
    <tableColumn id="8" xr3:uid="{B841609F-3A5D-47CF-BEEF-28EA18CB8813}" name="Upper 3SD" dataDxfId="118">
      <calculatedColumnFormula>Table13456[[#This Row],[Established Average]]+3*Table13456[[#This Row],[SD]]</calculatedColumnFormula>
    </tableColumn>
    <tableColumn id="10" xr3:uid="{22E7175E-77BA-4FAA-A726-F247F9AD95B7}" name="Lower 3SD" dataDxfId="117">
      <calculatedColumnFormula>Table13456[[#This Row],[Established Average]]-3*Table13456[[#This Row],[SD]]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23831A-31D6-492B-8259-CD90FE309AE3}" name="Table134567" displayName="Table134567" ref="A1:J11" totalsRowShown="0" headerRowDxfId="116">
  <autoFilter ref="A1:J11" xr:uid="{12309FCA-7B99-4065-9DF6-83E7405E9553}"/>
  <tableColumns count="10">
    <tableColumn id="1" xr3:uid="{16A49C7B-4B83-4FDA-BDDD-16CBBDEDB14A}" name="Date" dataDxfId="115"/>
    <tableColumn id="2" xr3:uid="{C542DB6B-8C04-4E71-A880-8C0C4F73DCAF}" name="Average Peak Area"/>
    <tableColumn id="3" xr3:uid="{8C4F1084-40DA-49A2-9D2F-0CFA739068D7}" name="CV" dataDxfId="114"/>
    <tableColumn id="9" xr3:uid="{756A0FF9-2334-45E7-8B43-BC950E87C650}" name="Pass" dataDxfId="113">
      <calculatedColumnFormula>AND(B2&lt;G2, B2&gt;H2, Table134567[[#This Row],[CV]]&lt;15)</calculatedColumnFormula>
    </tableColumn>
    <tableColumn id="4" xr3:uid="{877618A9-320A-42BB-B15D-EC04C2B660DD}" name="Established Average" dataDxfId="112">
      <calculatedColumnFormula>AVERAGE(M:M)</calculatedColumnFormula>
    </tableColumn>
    <tableColumn id="11" xr3:uid="{1B77AFC7-672A-4E65-B77D-7F912E98E5B4}" name="SD" dataDxfId="111">
      <calculatedColumnFormula>_xlfn.STDEV.S(M:M)</calculatedColumnFormula>
    </tableColumn>
    <tableColumn id="6" xr3:uid="{5F559464-D7A1-492F-B8E8-8579BC5B4A83}" name="Upper 2SD" dataDxfId="110">
      <calculatedColumnFormula>Table134567[[#This Row],[Established Average]]+2*Table134567[[#This Row],[SD]]</calculatedColumnFormula>
    </tableColumn>
    <tableColumn id="7" xr3:uid="{D81928CC-C0D0-41ED-B2D7-EE370990AE14}" name="Lower 2SD" dataDxfId="109">
      <calculatedColumnFormula>Table134567[[#This Row],[Established Average]]-2*Table134567[[#This Row],[SD]]</calculatedColumnFormula>
    </tableColumn>
    <tableColumn id="8" xr3:uid="{7B86583C-DBA7-4F8B-8D4C-43050D8066C1}" name="Upper 3SD" dataDxfId="108">
      <calculatedColumnFormula>Table134567[[#This Row],[Established Average]]+3*Table134567[[#This Row],[SD]]</calculatedColumnFormula>
    </tableColumn>
    <tableColumn id="10" xr3:uid="{CE7B68CB-72CD-4F82-8487-17F85243BC0A}" name="Lower 3SD" dataDxfId="107">
      <calculatedColumnFormula>Table134567[[#This Row],[Established Average]]-3*Table134567[[#This Row],[SD]]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C741AB-E5C3-483D-9E96-7B86D46CFF89}" name="Table1345678" displayName="Table1345678" ref="A1:J11" totalsRowShown="0" headerRowDxfId="106">
  <autoFilter ref="A1:J11" xr:uid="{12309FCA-7B99-4065-9DF6-83E7405E9553}"/>
  <tableColumns count="10">
    <tableColumn id="1" xr3:uid="{BB8A9641-D89B-40D7-A271-B2653108919E}" name="Date" dataDxfId="105"/>
    <tableColumn id="2" xr3:uid="{30B72C45-A2B1-4559-A921-E2B7EC0F0562}" name="Average Peak Area"/>
    <tableColumn id="3" xr3:uid="{64CC812D-81D9-44C1-8225-5258B232F4BD}" name="CV" dataDxfId="104"/>
    <tableColumn id="9" xr3:uid="{B5E8C5D6-838B-49DA-BA0E-8D68AB0DB0EA}" name="Pass" dataDxfId="103">
      <calculatedColumnFormula>AND(B2&lt;G2, B2&gt;H2, Table1345678[[#This Row],[CV]]&lt;15)</calculatedColumnFormula>
    </tableColumn>
    <tableColumn id="4" xr3:uid="{635E4ED0-7DCB-441B-BB98-51869B6BC318}" name="Established Average" dataDxfId="102">
      <calculatedColumnFormula>AVERAGE(M:M)</calculatedColumnFormula>
    </tableColumn>
    <tableColumn id="11" xr3:uid="{231C3534-2E5B-41D2-A532-3F26950583EA}" name="SD" dataDxfId="101">
      <calculatedColumnFormula>_xlfn.STDEV.S(M:M)</calculatedColumnFormula>
    </tableColumn>
    <tableColumn id="6" xr3:uid="{9FF2B036-4539-4AED-8230-73008EEF6524}" name="Upper 2SD" dataDxfId="100">
      <calculatedColumnFormula>Table1345678[[#This Row],[Established Average]]+2*Table1345678[[#This Row],[SD]]</calculatedColumnFormula>
    </tableColumn>
    <tableColumn id="7" xr3:uid="{4B14D50A-3CBE-45F9-8C19-0C999D9009C3}" name="Lower 2SD" dataDxfId="99">
      <calculatedColumnFormula>Table1345678[[#This Row],[Established Average]]-2*Table1345678[[#This Row],[SD]]</calculatedColumnFormula>
    </tableColumn>
    <tableColumn id="8" xr3:uid="{84182043-5A9B-456E-957B-6778D4BD6A4B}" name="Upper 3SD" dataDxfId="98">
      <calculatedColumnFormula>Table1345678[[#This Row],[Established Average]]+3*Table1345678[[#This Row],[SD]]</calculatedColumnFormula>
    </tableColumn>
    <tableColumn id="10" xr3:uid="{858C6006-B40C-4158-B798-1AAA1040B74B}" name="Lower 3SD" dataDxfId="97">
      <calculatedColumnFormula>Table1345678[[#This Row],[Established Average]]-3*Table1345678[[#This Row],[SD]]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2DBE69-4019-4E13-BDF4-27696721DF05}" name="Table13456789" displayName="Table13456789" ref="A1:J11" totalsRowShown="0" headerRowDxfId="96">
  <autoFilter ref="A1:J11" xr:uid="{12309FCA-7B99-4065-9DF6-83E7405E9553}"/>
  <tableColumns count="10">
    <tableColumn id="1" xr3:uid="{7CC065FC-2CDA-435E-AE3F-E09FF986D753}" name="Date" dataDxfId="95"/>
    <tableColumn id="2" xr3:uid="{66F17BF0-277C-4014-8C0F-383BCDD30461}" name="Average Peak Area"/>
    <tableColumn id="3" xr3:uid="{37810492-4E27-4991-9762-992C6696707D}" name="CV" dataDxfId="94"/>
    <tableColumn id="9" xr3:uid="{012CA42E-1E2C-493B-A373-EA9DAA08ADF2}" name="Pass" dataDxfId="93">
      <calculatedColumnFormula>AND(B2&lt;G2, B2&gt;H2, Table13456789[[#This Row],[CV]]&lt;15)</calculatedColumnFormula>
    </tableColumn>
    <tableColumn id="4" xr3:uid="{826D80C9-41D8-4B13-977A-02D94BF696D3}" name="Established Average" dataDxfId="92">
      <calculatedColumnFormula>AVERAGE(M:M)</calculatedColumnFormula>
    </tableColumn>
    <tableColumn id="11" xr3:uid="{A55A0DF6-2C84-438D-82C5-B331091850EB}" name="SD" dataDxfId="91">
      <calculatedColumnFormula>_xlfn.STDEV.S(M:M)</calculatedColumnFormula>
    </tableColumn>
    <tableColumn id="6" xr3:uid="{814EC4A9-8CE6-4DD1-BADF-843A63540999}" name="Upper 2SD" dataDxfId="90">
      <calculatedColumnFormula>Table13456789[[#This Row],[Established Average]]+2*Table13456789[[#This Row],[SD]]</calculatedColumnFormula>
    </tableColumn>
    <tableColumn id="7" xr3:uid="{CA71F441-BBB6-43C5-AA45-73C8A4C05FD5}" name="Lower 2SD" dataDxfId="89">
      <calculatedColumnFormula>Table13456789[[#This Row],[Established Average]]-2*Table13456789[[#This Row],[SD]]</calculatedColumnFormula>
    </tableColumn>
    <tableColumn id="8" xr3:uid="{0A70BE01-983D-4B64-903E-466E1C50DB41}" name="Upper 3SD" dataDxfId="88">
      <calculatedColumnFormula>Table13456789[[#This Row],[Established Average]]+3*Table13456789[[#This Row],[SD]]</calculatedColumnFormula>
    </tableColumn>
    <tableColumn id="10" xr3:uid="{AF24D803-8D70-4099-BDB9-583440C1289B}" name="Lower 3SD" dataDxfId="87">
      <calculatedColumnFormula>Table13456789[[#This Row],[Established Average]]-3*Table13456789[[#This Row],[SD]]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5C7D1F-23E7-4457-9804-E61C878747A2}" name="Table1345678910" displayName="Table1345678910" ref="A1:J11" totalsRowShown="0" headerRowDxfId="86">
  <autoFilter ref="A1:J11" xr:uid="{12309FCA-7B99-4065-9DF6-83E7405E9553}"/>
  <tableColumns count="10">
    <tableColumn id="1" xr3:uid="{E2051994-48D7-4831-ACC6-2EB8403B8AD0}" name="Date" dataDxfId="85"/>
    <tableColumn id="2" xr3:uid="{93F62E99-4667-41FF-AA5A-536B10DFBDDE}" name="Average Peak Area"/>
    <tableColumn id="3" xr3:uid="{F07565D4-BE0D-44E9-8600-1B4132CA63D5}" name="CV" dataDxfId="84"/>
    <tableColumn id="9" xr3:uid="{90A650C4-D1C2-4127-976E-12368F20235F}" name="Pass" dataDxfId="83">
      <calculatedColumnFormula>AND(B2&lt;G2, B2&gt;H2, Table1345678910[[#This Row],[CV]]&lt;15)</calculatedColumnFormula>
    </tableColumn>
    <tableColumn id="4" xr3:uid="{8CCEE302-778D-4759-8F7A-75BADA312108}" name="Established Average" dataDxfId="82">
      <calculatedColumnFormula>AVERAGE(L:L)</calculatedColumnFormula>
    </tableColumn>
    <tableColumn id="11" xr3:uid="{6EAC8B37-D6C5-45C0-A701-3B6EBC7FC53F}" name="SD" dataDxfId="81">
      <calculatedColumnFormula>_xlfn.STDEV.S(L:L)</calculatedColumnFormula>
    </tableColumn>
    <tableColumn id="6" xr3:uid="{9B51D435-5FD4-4698-B9EA-EE833742BC1F}" name="Upper 2SD" dataDxfId="80">
      <calculatedColumnFormula>Table1345678910[[#This Row],[Established Average]]+2*Table1345678910[[#This Row],[SD]]</calculatedColumnFormula>
    </tableColumn>
    <tableColumn id="7" xr3:uid="{900BBF50-7A5F-4482-94BE-254BF97B239B}" name="Lower 2SD" dataDxfId="79">
      <calculatedColumnFormula>Table1345678910[[#This Row],[Established Average]]-2*Table1345678910[[#This Row],[SD]]</calculatedColumnFormula>
    </tableColumn>
    <tableColumn id="8" xr3:uid="{908319D3-394A-4E64-8EE9-C646BD9C3584}" name="Upper 3SD" dataDxfId="78">
      <calculatedColumnFormula>Table1345678910[[#This Row],[Established Average]]+3*Table1345678910[[#This Row],[SD]]</calculatedColumnFormula>
    </tableColumn>
    <tableColumn id="10" xr3:uid="{63A34444-4843-445E-8739-1C350691CBD8}" name="Lower 3SD" dataDxfId="77">
      <calculatedColumnFormula>Table1345678910[[#This Row],[Established Average]]-3*Table1345678910[[#This Row],[SD]]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6493B7-CEC0-4212-9D52-ECAAB538FA48}" name="Table134567891011" displayName="Table134567891011" ref="A1:J11" totalsRowShown="0" headerRowDxfId="76">
  <autoFilter ref="A1:J11" xr:uid="{12309FCA-7B99-4065-9DF6-83E7405E9553}"/>
  <tableColumns count="10">
    <tableColumn id="1" xr3:uid="{C29F03EB-6B8F-4438-A012-650366FB6C3B}" name="Date" dataDxfId="75"/>
    <tableColumn id="2" xr3:uid="{0FDD7F0D-0E50-4484-98E6-B2B4E0FC164F}" name="Average Peak Area"/>
    <tableColumn id="3" xr3:uid="{5EDB95B1-440B-4311-A394-6F04F3B27C48}" name="CV" dataDxfId="74"/>
    <tableColumn id="9" xr3:uid="{11335739-220C-4FB7-A17A-07B2288C5ED8}" name="Pass" dataDxfId="73">
      <calculatedColumnFormula>AND(B2&lt;G2, B2&gt;H2, Table134567891011[[#This Row],[CV]]&lt;15)</calculatedColumnFormula>
    </tableColumn>
    <tableColumn id="4" xr3:uid="{F15B1868-6187-471C-BB19-2BB3E63E0483}" name="Established Average" dataDxfId="72">
      <calculatedColumnFormula>AVERAGE(L:L)</calculatedColumnFormula>
    </tableColumn>
    <tableColumn id="11" xr3:uid="{65EEA3D5-4353-4D0D-9711-3A92245E5828}" name="SD" dataDxfId="71">
      <calculatedColumnFormula>_xlfn.STDEV.S(L:L)</calculatedColumnFormula>
    </tableColumn>
    <tableColumn id="6" xr3:uid="{5ED75CC7-64E6-45AD-AB14-4638AE96D99F}" name="Upper 2SD" dataDxfId="70">
      <calculatedColumnFormula>Table134567891011[[#This Row],[Established Average]]+2*Table134567891011[[#This Row],[SD]]</calculatedColumnFormula>
    </tableColumn>
    <tableColumn id="7" xr3:uid="{94A101A9-1472-40F1-84FF-1B665C510087}" name="Lower 2SD" dataDxfId="69">
      <calculatedColumnFormula>Table134567891011[[#This Row],[Established Average]]-2*Table134567891011[[#This Row],[SD]]</calculatedColumnFormula>
    </tableColumn>
    <tableColumn id="8" xr3:uid="{23DEBAC6-57FD-4E2F-B2BE-6CA46F3429F3}" name="Upper 3SD" dataDxfId="68">
      <calculatedColumnFormula>Table134567891011[[#This Row],[Established Average]]+3*Table134567891011[[#This Row],[SD]]</calculatedColumnFormula>
    </tableColumn>
    <tableColumn id="10" xr3:uid="{922E8143-FA4C-4CBC-99B9-8362DB7C4F0A}" name="Lower 3SD" dataDxfId="67">
      <calculatedColumnFormula>Table134567891011[[#This Row],[Established Average]]-3*Table134567891011[[#This Row],[SD]]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DEA0C9-821B-4007-97F1-F8412B75F8DA}" name="Table13456789101112" displayName="Table13456789101112" ref="A1:J11" totalsRowShown="0" headerRowDxfId="66">
  <autoFilter ref="A1:J11" xr:uid="{12309FCA-7B99-4065-9DF6-83E7405E9553}"/>
  <tableColumns count="10">
    <tableColumn id="1" xr3:uid="{84A0515F-E192-4784-BEF9-806003F3F7BE}" name="Date" dataDxfId="65"/>
    <tableColumn id="2" xr3:uid="{6D3C4575-D2FC-492A-81AC-8A240F3A6B4A}" name="Average Peak Area"/>
    <tableColumn id="3" xr3:uid="{2353BD0D-A634-41D6-A3C1-1E2E0992E311}" name="CV" dataDxfId="64"/>
    <tableColumn id="9" xr3:uid="{834E1A9D-09C3-4654-AFD2-FA799B467579}" name="Pass" dataDxfId="63">
      <calculatedColumnFormula>AND(B2&lt;G2, B2&gt;H2, Table13456789101112[[#This Row],[CV]]&lt;15)</calculatedColumnFormula>
    </tableColumn>
    <tableColumn id="4" xr3:uid="{4E1789B6-8ECB-4EF0-84B6-2738EFC9548B}" name="Established Average" dataDxfId="62">
      <calculatedColumnFormula>AVERAGE(L:L)</calculatedColumnFormula>
    </tableColumn>
    <tableColumn id="11" xr3:uid="{D0084B22-9919-446F-9AB6-F7B0A8F300D7}" name="SD" dataDxfId="61">
      <calculatedColumnFormula>_xlfn.STDEV.S(L:L)</calculatedColumnFormula>
    </tableColumn>
    <tableColumn id="6" xr3:uid="{B367167E-2984-4AE3-9DD7-FF13B01934FA}" name="Upper 2SD" dataDxfId="60">
      <calculatedColumnFormula>Table13456789101112[[#This Row],[Established Average]]+2*Table13456789101112[[#This Row],[SD]]</calculatedColumnFormula>
    </tableColumn>
    <tableColumn id="7" xr3:uid="{DFC171DF-92CB-44DF-97D9-3EC57DDE5A63}" name="Lower 2SD" dataDxfId="59">
      <calculatedColumnFormula>Table13456789101112[[#This Row],[Established Average]]-2*Table13456789101112[[#This Row],[SD]]</calculatedColumnFormula>
    </tableColumn>
    <tableColumn id="8" xr3:uid="{BB3D371F-6FAC-465C-9BD8-AC1BA4F64282}" name="Upper 3SD" dataDxfId="58">
      <calculatedColumnFormula>Table13456789101112[[#This Row],[Established Average]]+3*Table13456789101112[[#This Row],[SD]]</calculatedColumnFormula>
    </tableColumn>
    <tableColumn id="10" xr3:uid="{1C606036-66EF-4DB4-B72C-6C236380B04D}" name="Lower 3SD" dataDxfId="57">
      <calculatedColumnFormula>Table13456789101112[[#This Row],[Established Average]]-3*Table13456789101112[[#This Row],[SD]]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B48DAA-C8DD-4128-B281-217567DC9C9F}" name="Table1345678910111213" displayName="Table1345678910111213" ref="A1:J11" totalsRowShown="0" headerRowDxfId="56">
  <autoFilter ref="A1:J11" xr:uid="{12309FCA-7B99-4065-9DF6-83E7405E9553}"/>
  <tableColumns count="10">
    <tableColumn id="1" xr3:uid="{749B68F9-F6CA-41B9-AEDF-B3BAA6FC9E7E}" name="Date" dataDxfId="55"/>
    <tableColumn id="2" xr3:uid="{E4461944-B804-4AC9-9DC0-EEE0C5CB0ED6}" name="Average Peak Area"/>
    <tableColumn id="3" xr3:uid="{B59AD1F0-528F-4F2D-87B4-615D8CF70BC3}" name="CV" dataDxfId="54"/>
    <tableColumn id="9" xr3:uid="{72DF0868-432A-4827-874A-242911EE9288}" name="Pass" dataDxfId="53">
      <calculatedColumnFormula>AND(B2&lt;G2, B2&gt;H2, Table1345678910111213[[#This Row],[CV]]&lt;15)</calculatedColumnFormula>
    </tableColumn>
    <tableColumn id="4" xr3:uid="{665F6335-6A1F-4FDE-B77B-4B7F957944CB}" name="Established Average" dataDxfId="52">
      <calculatedColumnFormula>AVERAGE(L:L)</calculatedColumnFormula>
    </tableColumn>
    <tableColumn id="11" xr3:uid="{E4F77FB0-12E9-4325-985F-E3EE70EB6009}" name="SD" dataDxfId="51">
      <calculatedColumnFormula>_xlfn.STDEV.S(L:L)</calculatedColumnFormula>
    </tableColumn>
    <tableColumn id="6" xr3:uid="{C4C2E9F9-C9BB-4AAA-88D9-9F4FF75EBF44}" name="Upper 2SD" dataDxfId="50">
      <calculatedColumnFormula>Table1345678910111213[[#This Row],[Established Average]]+2*Table1345678910111213[[#This Row],[SD]]</calculatedColumnFormula>
    </tableColumn>
    <tableColumn id="7" xr3:uid="{52F40C43-F282-4398-A5B2-2A55B08DD043}" name="Lower 2SD" dataDxfId="49">
      <calculatedColumnFormula>Table1345678910111213[[#This Row],[Established Average]]-2*Table1345678910111213[[#This Row],[SD]]</calculatedColumnFormula>
    </tableColumn>
    <tableColumn id="8" xr3:uid="{8EF8253B-4191-4666-BBAC-76722A52B536}" name="Upper 3SD" dataDxfId="48">
      <calculatedColumnFormula>Table1345678910111213[[#This Row],[Established Average]]+3*Table1345678910111213[[#This Row],[SD]]</calculatedColumnFormula>
    </tableColumn>
    <tableColumn id="10" xr3:uid="{6F1C9618-D8CC-4E5E-9A5C-633791843996}" name="Lower 3SD" dataDxfId="47">
      <calculatedColumnFormula>Table1345678910111213[[#This Row],[Established Average]]-3*Table1345678910111213[[#This Row],[SD]]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9C7E1D-17F4-40F9-8A31-B6010BA06159}" name="Table134567891011121314" displayName="Table134567891011121314" ref="A1:J11" totalsRowShown="0" headerRowDxfId="46">
  <autoFilter ref="A1:J11" xr:uid="{12309FCA-7B99-4065-9DF6-83E7405E9553}"/>
  <tableColumns count="10">
    <tableColumn id="1" xr3:uid="{AAAB3AB0-D1D2-4888-AC36-05C7C51DB334}" name="Date" dataDxfId="45"/>
    <tableColumn id="2" xr3:uid="{C8040396-12E9-46A3-9C23-33631037A944}" name="Average Peak Area"/>
    <tableColumn id="3" xr3:uid="{E8C74D71-99F5-41F8-B23A-917A524305D3}" name="CV" dataDxfId="44"/>
    <tableColumn id="9" xr3:uid="{6860655C-6D9B-49DA-84FA-D67660C9CBCF}" name="Pass" dataDxfId="43">
      <calculatedColumnFormula>AND(B2&lt;G2, B2&gt;H2, Table134567891011121314[[#This Row],[CV]]&lt;15)</calculatedColumnFormula>
    </tableColumn>
    <tableColumn id="4" xr3:uid="{3FF52DD8-81D6-4272-91E2-CE59757DCC76}" name="Established Average" dataDxfId="42">
      <calculatedColumnFormula>AVERAGE(L:L)</calculatedColumnFormula>
    </tableColumn>
    <tableColumn id="11" xr3:uid="{AA01F672-D732-4D2F-9B62-E8DA7C995443}" name="SD" dataDxfId="41">
      <calculatedColumnFormula>_xlfn.STDEV.S(L:L)</calculatedColumnFormula>
    </tableColumn>
    <tableColumn id="6" xr3:uid="{72EB5310-FBD0-41F4-8C34-9A6AE2E6C6FC}" name="Upper 2SD" dataDxfId="40">
      <calculatedColumnFormula>Table134567891011121314[[#This Row],[Established Average]]+2*Table134567891011121314[[#This Row],[SD]]</calculatedColumnFormula>
    </tableColumn>
    <tableColumn id="7" xr3:uid="{7481FF9D-B8EE-4E04-946B-D66285CB4C6D}" name="Lower 2SD" dataDxfId="39">
      <calculatedColumnFormula>Table134567891011121314[[#This Row],[Established Average]]-2*Table134567891011121314[[#This Row],[SD]]</calculatedColumnFormula>
    </tableColumn>
    <tableColumn id="8" xr3:uid="{CD122FB9-7C78-4A6F-8D97-A09EA2EA7A59}" name="Upper 3SD" dataDxfId="38">
      <calculatedColumnFormula>Table134567891011121314[[#This Row],[Established Average]]+3*Table134567891011121314[[#This Row],[SD]]</calculatedColumnFormula>
    </tableColumn>
    <tableColumn id="10" xr3:uid="{1D08032C-9B73-4C3C-95ED-9A5D9D0E5CCB}" name="Lower 3SD" dataDxfId="37">
      <calculatedColumnFormula>Table134567891011121314[[#This Row],[Established Average]]-3*Table134567891011121314[[#This Row],[SD]]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3287C6-2347-4BAA-8C80-FBA9CC1FFE2D}" name="Table13456789101112131415" displayName="Table13456789101112131415" ref="A1:J11" totalsRowShown="0" headerRowDxfId="36">
  <autoFilter ref="A1:J11" xr:uid="{12309FCA-7B99-4065-9DF6-83E7405E9553}"/>
  <tableColumns count="10">
    <tableColumn id="1" xr3:uid="{27CBA15C-8BBD-4AAA-A80A-230DF81D5925}" name="Date" dataDxfId="35"/>
    <tableColumn id="2" xr3:uid="{32B124E6-57AF-49D4-89FB-3CEA1EF34F34}" name="Average Peak Area"/>
    <tableColumn id="3" xr3:uid="{2CBBBBDE-D3DD-465A-84CB-7DEB1AF858E7}" name="CV" dataDxfId="34"/>
    <tableColumn id="9" xr3:uid="{14E127AF-CD2A-417D-BA29-8297FD634060}" name="Pass" dataDxfId="33">
      <calculatedColumnFormula>AND(B2&lt;G2, B2&gt;H2, Table13456789101112131415[[#This Row],[CV]]&lt;15)</calculatedColumnFormula>
    </tableColumn>
    <tableColumn id="4" xr3:uid="{26B1BC1E-6E17-49BB-9474-7E7566C6EC2C}" name="Established Average" dataDxfId="32">
      <calculatedColumnFormula>AVERAGE(L:L)</calculatedColumnFormula>
    </tableColumn>
    <tableColumn id="11" xr3:uid="{4A42052A-5703-4CA2-81DC-9BE9474F504A}" name="SD" dataDxfId="31">
      <calculatedColumnFormula>_xlfn.STDEV.S(L:L)</calculatedColumnFormula>
    </tableColumn>
    <tableColumn id="6" xr3:uid="{9A75D4D2-18DE-46DD-A81C-205D1257DA50}" name="Upper 2SD" dataDxfId="30">
      <calculatedColumnFormula>Table13456789101112131415[[#This Row],[Established Average]]+2*Table13456789101112131415[[#This Row],[SD]]</calculatedColumnFormula>
    </tableColumn>
    <tableColumn id="7" xr3:uid="{F28B337C-9130-48B7-9358-9720B0F3B876}" name="Lower 2SD" dataDxfId="29">
      <calculatedColumnFormula>Table13456789101112131415[[#This Row],[Established Average]]-2*Table13456789101112131415[[#This Row],[SD]]</calculatedColumnFormula>
    </tableColumn>
    <tableColumn id="8" xr3:uid="{6B306D2E-C89A-4C29-B3CB-30285AA0F03F}" name="Upper 3SD" dataDxfId="28">
      <calculatedColumnFormula>Table13456789101112131415[[#This Row],[Established Average]]+3*Table13456789101112131415[[#This Row],[SD]]</calculatedColumnFormula>
    </tableColumn>
    <tableColumn id="10" xr3:uid="{C1B54ECD-096A-4AEE-ABE5-8D554FAE40CD}" name="Lower 3SD" dataDxfId="27">
      <calculatedColumnFormula>Table13456789101112131415[[#This Row],[Established Average]]-3*Table13456789101112131415[[#This Row],[SD]]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9E58506-3996-478C-965C-BC7C3CAF78A3}" name="Table1345678910111213141516" displayName="Table1345678910111213141516" ref="A1:J11" totalsRowShown="0" headerRowDxfId="26">
  <autoFilter ref="A1:J11" xr:uid="{12309FCA-7B99-4065-9DF6-83E7405E9553}"/>
  <tableColumns count="10">
    <tableColumn id="1" xr3:uid="{C52959D2-188F-40C4-8EC7-8D1362BF91C9}" name="Date" dataDxfId="25"/>
    <tableColumn id="2" xr3:uid="{D1C61EA2-432C-4B8C-BBB0-6044390D8219}" name="Average Peak Area"/>
    <tableColumn id="3" xr3:uid="{1C87F4C2-8A06-42D8-8E18-A601EB1A746F}" name="CV" dataDxfId="24"/>
    <tableColumn id="9" xr3:uid="{15011F06-5FF4-4D3A-B0FB-675F0719E17B}" name="Pass" dataDxfId="23">
      <calculatedColumnFormula>AND(B2&lt;G2, B2&gt;H2, Table1345678910111213141516[[#This Row],[CV]]&lt;15)</calculatedColumnFormula>
    </tableColumn>
    <tableColumn id="4" xr3:uid="{FE8BABFA-0DA9-43BC-928E-3ADFE0AFD9EF}" name="Established Average" dataDxfId="22">
      <calculatedColumnFormula>AVERAGE(L:L)</calculatedColumnFormula>
    </tableColumn>
    <tableColumn id="11" xr3:uid="{BA8662B3-95B2-43AE-9234-F62BB25E9543}" name="SD" dataDxfId="21">
      <calculatedColumnFormula>_xlfn.STDEV.S(L:L)</calculatedColumnFormula>
    </tableColumn>
    <tableColumn id="6" xr3:uid="{8924D448-2151-4BF4-A5C6-22C619287705}" name="Upper 2SD" dataDxfId="20">
      <calculatedColumnFormula>Table1345678910111213141516[[#This Row],[Established Average]]+2*Table1345678910111213141516[[#This Row],[SD]]</calculatedColumnFormula>
    </tableColumn>
    <tableColumn id="7" xr3:uid="{07BC826E-A43C-4432-82CB-76F7BC336A64}" name="Lower 2SD" dataDxfId="19">
      <calculatedColumnFormula>Table1345678910111213141516[[#This Row],[Established Average]]-2*Table1345678910111213141516[[#This Row],[SD]]</calculatedColumnFormula>
    </tableColumn>
    <tableColumn id="8" xr3:uid="{6D971DD5-6828-43B1-BECE-FD895E112A06}" name="Upper 3SD" dataDxfId="18">
      <calculatedColumnFormula>Table1345678910111213141516[[#This Row],[Established Average]]+3*Table1345678910111213141516[[#This Row],[SD]]</calculatedColumnFormula>
    </tableColumn>
    <tableColumn id="10" xr3:uid="{6B351418-4FDD-4F66-9433-C5B3AEF37686}" name="Lower 3SD" dataDxfId="17">
      <calculatedColumnFormula>Table1345678910111213141516[[#This Row],[Established Average]]-3*Table1345678910111213141516[[#This Row],[SD]]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6870-5C99-4B20-8BBE-42E0B056F38D}">
  <dimension ref="A1:I12"/>
  <sheetViews>
    <sheetView zoomScale="130" zoomScaleNormal="130" workbookViewId="0">
      <selection activeCell="J2" sqref="J2"/>
    </sheetView>
  </sheetViews>
  <sheetFormatPr baseColWidth="10" defaultColWidth="8.83203125" defaultRowHeight="15" x14ac:dyDescent="0.2"/>
  <cols>
    <col min="1" max="1" width="11.1640625" customWidth="1"/>
    <col min="2" max="2" width="20.5" customWidth="1"/>
    <col min="3" max="3" width="12.5" customWidth="1"/>
    <col min="4" max="4" width="15.6640625" customWidth="1"/>
    <col min="5" max="5" width="11.83203125" customWidth="1"/>
    <col min="6" max="6" width="26.5" style="6" customWidth="1"/>
    <col min="7" max="7" width="22.33203125" bestFit="1" customWidth="1"/>
    <col min="8" max="8" width="14.83203125" customWidth="1"/>
    <col min="9" max="9" width="12.16406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45503</v>
      </c>
      <c r="B2" t="s">
        <v>9</v>
      </c>
      <c r="C2" t="s">
        <v>9</v>
      </c>
      <c r="D2" t="s">
        <v>9</v>
      </c>
      <c r="E2" t="s">
        <v>9</v>
      </c>
      <c r="F2" s="6" t="str">
        <f>IF(COUNTIF(B2:E2, "Fail")&gt;0, "No", "Yes")</f>
        <v>Yes</v>
      </c>
      <c r="G2" t="str">
        <f>IF(F2="No", "Further Actions Needed", "")</f>
        <v/>
      </c>
      <c r="H2" t="s">
        <v>10</v>
      </c>
      <c r="I2" t="s">
        <v>10</v>
      </c>
    </row>
    <row r="3" spans="1:9" x14ac:dyDescent="0.2">
      <c r="A3" s="3">
        <v>45504</v>
      </c>
      <c r="B3" t="s">
        <v>9</v>
      </c>
      <c r="C3" t="s">
        <v>9</v>
      </c>
      <c r="D3" t="s">
        <v>9</v>
      </c>
      <c r="E3" t="s">
        <v>11</v>
      </c>
      <c r="F3" s="6" t="str">
        <f t="shared" ref="F3:F5" si="0">IF(COUNTIF(B3:E3, "Fail")&gt;0, "No", "Yes")</f>
        <v>No</v>
      </c>
      <c r="G3" t="str">
        <f t="shared" ref="G3:G5" si="1">IF(F3="No", "Further Actions Needed", "")</f>
        <v>Further Actions Needed</v>
      </c>
      <c r="H3" t="s">
        <v>10</v>
      </c>
      <c r="I3" t="s">
        <v>10</v>
      </c>
    </row>
    <row r="4" spans="1:9" x14ac:dyDescent="0.2">
      <c r="A4" s="3">
        <v>45505</v>
      </c>
      <c r="B4" t="s">
        <v>9</v>
      </c>
      <c r="C4" t="s">
        <v>9</v>
      </c>
      <c r="D4" t="s">
        <v>11</v>
      </c>
      <c r="E4" t="s">
        <v>9</v>
      </c>
      <c r="F4" s="6" t="str">
        <f t="shared" si="0"/>
        <v>No</v>
      </c>
      <c r="G4" t="str">
        <f t="shared" si="1"/>
        <v>Further Actions Needed</v>
      </c>
      <c r="H4" t="s">
        <v>10</v>
      </c>
      <c r="I4" t="s">
        <v>10</v>
      </c>
    </row>
    <row r="5" spans="1:9" x14ac:dyDescent="0.2">
      <c r="A5" s="3">
        <v>45506</v>
      </c>
      <c r="B5" t="s">
        <v>9</v>
      </c>
      <c r="C5" t="s">
        <v>9</v>
      </c>
      <c r="D5" t="s">
        <v>9</v>
      </c>
      <c r="E5" t="s">
        <v>9</v>
      </c>
      <c r="F5" s="6" t="str">
        <f t="shared" si="0"/>
        <v>Yes</v>
      </c>
      <c r="G5" t="str">
        <f t="shared" si="1"/>
        <v/>
      </c>
      <c r="H5" t="s">
        <v>10</v>
      </c>
      <c r="I5" t="s">
        <v>10</v>
      </c>
    </row>
    <row r="6" spans="1:9" x14ac:dyDescent="0.2">
      <c r="G6" t="str">
        <f t="shared" ref="G6:G12" si="2">IF(F6="No", "Further Action Needed", "")</f>
        <v/>
      </c>
    </row>
    <row r="7" spans="1:9" x14ac:dyDescent="0.2">
      <c r="G7" t="str">
        <f t="shared" si="2"/>
        <v/>
      </c>
    </row>
    <row r="8" spans="1:9" x14ac:dyDescent="0.2">
      <c r="G8" t="str">
        <f t="shared" si="2"/>
        <v/>
      </c>
    </row>
    <row r="9" spans="1:9" x14ac:dyDescent="0.2">
      <c r="G9" t="str">
        <f t="shared" si="2"/>
        <v/>
      </c>
    </row>
    <row r="10" spans="1:9" x14ac:dyDescent="0.2">
      <c r="G10" t="str">
        <f t="shared" si="2"/>
        <v/>
      </c>
    </row>
    <row r="11" spans="1:9" x14ac:dyDescent="0.2">
      <c r="G11" t="str">
        <f t="shared" si="2"/>
        <v/>
      </c>
    </row>
    <row r="12" spans="1:9" x14ac:dyDescent="0.2">
      <c r="G12" t="str">
        <f t="shared" si="2"/>
        <v/>
      </c>
    </row>
  </sheetData>
  <conditionalFormatting sqref="B1:E1048576">
    <cfRule type="containsText" dxfId="16" priority="3" operator="containsText" text="Fail">
      <formula>NOT(ISERROR(SEARCH("Fail",B1)))</formula>
    </cfRule>
  </conditionalFormatting>
  <conditionalFormatting sqref="F1:F1048576">
    <cfRule type="containsText" dxfId="15" priority="1" operator="containsText" text="No">
      <formula>NOT(ISERROR(SEARCH("No",F1)))</formula>
    </cfRule>
  </conditionalFormatting>
  <dataValidations count="1">
    <dataValidation type="list" allowBlank="1" showInputMessage="1" showErrorMessage="1" sqref="B1:E1048576" xr:uid="{EC067C2A-0B87-46AD-9D9E-B9C40846942D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C812-C7E2-479D-B275-B2D90B748557}">
  <dimension ref="A1:R38"/>
  <sheetViews>
    <sheetView topLeftCell="H1" workbookViewId="0">
      <selection activeCell="N2" sqref="N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21.5" bestFit="1" customWidth="1"/>
    <col min="6" max="7" width="13.83203125" customWidth="1"/>
    <col min="8" max="8" width="12.1640625" customWidth="1"/>
    <col min="9" max="9" width="12.33203125" customWidth="1"/>
    <col min="13" max="13" width="8.66406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8">
        <v>2261823</v>
      </c>
      <c r="C2" s="8">
        <v>12.10599</v>
      </c>
      <c r="D2" t="b">
        <f>AND(B2&lt;F2, B2&gt;G2, Table1[[#This Row],[CV]]&lt;15)</f>
        <v>0</v>
      </c>
      <c r="E2" s="4">
        <f>AVERAGE(L2:L38)</f>
        <v>3886818.2972972975</v>
      </c>
      <c r="F2" s="4">
        <v>4814972</v>
      </c>
      <c r="G2" s="4">
        <v>2958664</v>
      </c>
      <c r="H2" s="4">
        <v>5279049</v>
      </c>
      <c r="I2" s="4">
        <v>2494587.439683361</v>
      </c>
      <c r="L2" s="8">
        <v>3393357</v>
      </c>
      <c r="M2" s="4">
        <f>AVERAGE(L2:L38)</f>
        <v>3886818.2972972975</v>
      </c>
      <c r="N2" s="4">
        <f>_xlfn.STDEV.S(L2:L38)</f>
        <v>464076.95253797888</v>
      </c>
      <c r="O2" s="4">
        <f>M2+2*N2</f>
        <v>4814972.202373255</v>
      </c>
      <c r="P2" s="4">
        <f>M2-2*N2</f>
        <v>2958664.39222134</v>
      </c>
      <c r="Q2" s="4">
        <f>M2+3*N2</f>
        <v>5279049.154911234</v>
      </c>
      <c r="R2">
        <f>M2-3*N2</f>
        <v>2494587.439683361</v>
      </c>
    </row>
    <row r="3" spans="1:18" x14ac:dyDescent="0.2">
      <c r="A3" s="2">
        <v>45723</v>
      </c>
      <c r="C3" s="7">
        <v>5</v>
      </c>
      <c r="D3" t="b">
        <f>AND(B3&lt;F3, B3&gt;G3, Table1[[#This Row],[CV]]&lt;15)</f>
        <v>0</v>
      </c>
      <c r="E3" s="4">
        <v>3886818.2972972998</v>
      </c>
      <c r="F3" s="4">
        <v>4814972</v>
      </c>
      <c r="G3" s="4">
        <v>2958664</v>
      </c>
      <c r="H3" s="4">
        <v>5279049</v>
      </c>
      <c r="I3" s="4">
        <v>2494587.439683361</v>
      </c>
      <c r="L3" s="8">
        <v>3388370</v>
      </c>
      <c r="N3" t="s">
        <v>22</v>
      </c>
    </row>
    <row r="4" spans="1:18" x14ac:dyDescent="0.2">
      <c r="A4" s="2">
        <v>45724</v>
      </c>
      <c r="C4" s="7">
        <v>5.277310741</v>
      </c>
      <c r="D4" t="b">
        <f>AND(B4&lt;F4, B4&gt;G4, Table1[[#This Row],[CV]]&lt;15)</f>
        <v>0</v>
      </c>
      <c r="E4" s="4">
        <v>3886818.2972972975</v>
      </c>
      <c r="F4" s="4">
        <v>4814972</v>
      </c>
      <c r="G4" s="4">
        <v>2958664</v>
      </c>
      <c r="H4" s="4">
        <v>5279049</v>
      </c>
      <c r="I4" s="4">
        <v>2494587.439683361</v>
      </c>
      <c r="L4" s="8">
        <v>3132241</v>
      </c>
      <c r="N4">
        <f>N2/M2*100</f>
        <v>11.939764533389049</v>
      </c>
    </row>
    <row r="5" spans="1:18" x14ac:dyDescent="0.2">
      <c r="A5" s="2">
        <v>45725</v>
      </c>
      <c r="C5" s="7">
        <v>7.5366784559999997</v>
      </c>
      <c r="D5" t="b">
        <f>AND(B5&lt;F5, B5&gt;G5, Table1[[#This Row],[CV]]&lt;15)</f>
        <v>0</v>
      </c>
      <c r="E5" s="4">
        <v>3886818.2972972975</v>
      </c>
      <c r="F5" s="4">
        <v>4814972</v>
      </c>
      <c r="G5" s="4">
        <v>2958664</v>
      </c>
      <c r="H5" s="4">
        <v>5279049</v>
      </c>
      <c r="I5" s="4">
        <v>2494587.439683361</v>
      </c>
      <c r="L5" s="8">
        <v>3533014</v>
      </c>
    </row>
    <row r="6" spans="1:18" x14ac:dyDescent="0.2">
      <c r="A6" s="2">
        <v>45726</v>
      </c>
      <c r="C6" s="7">
        <v>3.9778350800000002</v>
      </c>
      <c r="D6" t="b">
        <f>AND(B6&lt;F6, B6&gt;G6, Table1[[#This Row],[CV]]&lt;15)</f>
        <v>0</v>
      </c>
      <c r="E6" s="4">
        <v>3886818.2972972975</v>
      </c>
      <c r="F6" s="4">
        <v>4814972</v>
      </c>
      <c r="G6" s="4">
        <v>2958664</v>
      </c>
      <c r="H6" s="4">
        <v>5279049</v>
      </c>
      <c r="I6" s="4">
        <v>2494587.439683361</v>
      </c>
      <c r="L6" s="8">
        <v>3345094</v>
      </c>
    </row>
    <row r="7" spans="1:18" x14ac:dyDescent="0.2">
      <c r="A7" s="2">
        <v>45727</v>
      </c>
      <c r="C7" s="7">
        <v>4.4677323600000003</v>
      </c>
      <c r="D7" t="b">
        <f>AND(B7&lt;F7, B7&gt;G7, Table1[[#This Row],[CV]]&lt;15)</f>
        <v>0</v>
      </c>
      <c r="E7" s="4">
        <v>3886818.2972972975</v>
      </c>
      <c r="F7" s="4">
        <v>4814972</v>
      </c>
      <c r="G7" s="4">
        <v>2958664</v>
      </c>
      <c r="H7" s="4">
        <v>5279049</v>
      </c>
      <c r="I7" s="4">
        <v>2494587.439683361</v>
      </c>
      <c r="L7" s="8">
        <v>2925399</v>
      </c>
    </row>
    <row r="8" spans="1:18" x14ac:dyDescent="0.2">
      <c r="A8" s="2">
        <v>45728</v>
      </c>
      <c r="C8" s="7">
        <v>15</v>
      </c>
      <c r="D8" t="b">
        <f>AND(B8&lt;F8, B8&gt;G8, Table1[[#This Row],[CV]]&lt;15)</f>
        <v>0</v>
      </c>
      <c r="E8" s="4">
        <v>3886818.2972972975</v>
      </c>
      <c r="F8" s="4">
        <v>4814972</v>
      </c>
      <c r="G8" s="4">
        <v>2958664</v>
      </c>
      <c r="H8" s="4">
        <v>5279049</v>
      </c>
      <c r="I8" s="4">
        <v>2494587.439683361</v>
      </c>
      <c r="L8" s="8">
        <v>3176778</v>
      </c>
    </row>
    <row r="9" spans="1:18" x14ac:dyDescent="0.2">
      <c r="A9" s="2">
        <v>45729</v>
      </c>
      <c r="C9" s="7"/>
      <c r="D9" t="b">
        <f>AND(B9&lt;F9, B9&gt;G9, Table1[[#This Row],[CV]]&lt;15)</f>
        <v>0</v>
      </c>
      <c r="E9" s="4">
        <v>3886818.2972972975</v>
      </c>
      <c r="F9" s="4">
        <v>4814972</v>
      </c>
      <c r="G9" s="4">
        <v>2958664</v>
      </c>
      <c r="H9" s="4">
        <v>5279049</v>
      </c>
      <c r="I9" s="4">
        <v>2494587.439683361</v>
      </c>
      <c r="L9" s="8">
        <v>3480459</v>
      </c>
    </row>
    <row r="10" spans="1:18" x14ac:dyDescent="0.2">
      <c r="A10" s="2">
        <v>45730</v>
      </c>
      <c r="C10" s="7"/>
      <c r="D10" t="b">
        <f>AND(B10&lt;F10, B10&gt;G10, Table1[[#This Row],[CV]]&lt;15)</f>
        <v>0</v>
      </c>
      <c r="E10" s="4">
        <v>3886818.2972972975</v>
      </c>
      <c r="F10" s="4">
        <v>4814972</v>
      </c>
      <c r="G10" s="4">
        <v>2958664</v>
      </c>
      <c r="H10" s="4">
        <v>5279049</v>
      </c>
      <c r="I10" s="4">
        <v>2494587.439683361</v>
      </c>
      <c r="L10" s="8">
        <v>3352837</v>
      </c>
    </row>
    <row r="11" spans="1:18" x14ac:dyDescent="0.2">
      <c r="A11" s="2">
        <v>45731</v>
      </c>
      <c r="C11" s="7"/>
      <c r="D11" t="b">
        <f>AND(B11&lt;F11, B11&gt;G11, Table1[[#This Row],[CV]]&lt;15)</f>
        <v>0</v>
      </c>
      <c r="E11" s="4">
        <v>3886818.2972972975</v>
      </c>
      <c r="F11" s="4">
        <v>4814972</v>
      </c>
      <c r="G11" s="4">
        <v>2958664</v>
      </c>
      <c r="H11" s="4">
        <v>5279049</v>
      </c>
      <c r="I11" s="4">
        <v>2494587.439683361</v>
      </c>
      <c r="L11" s="8">
        <v>4038108</v>
      </c>
    </row>
    <row r="12" spans="1:18" x14ac:dyDescent="0.2">
      <c r="L12" s="8">
        <v>3961355</v>
      </c>
    </row>
    <row r="13" spans="1:18" x14ac:dyDescent="0.2">
      <c r="L13" s="8">
        <v>4080802</v>
      </c>
    </row>
    <row r="14" spans="1:18" x14ac:dyDescent="0.2">
      <c r="L14" s="8">
        <v>4012746</v>
      </c>
    </row>
    <row r="15" spans="1:18" x14ac:dyDescent="0.2">
      <c r="L15" s="8">
        <v>4725119</v>
      </c>
    </row>
    <row r="16" spans="1:18" x14ac:dyDescent="0.2">
      <c r="L16" s="8">
        <v>4597029</v>
      </c>
    </row>
    <row r="17" spans="12:12" x14ac:dyDescent="0.2">
      <c r="L17" s="8">
        <v>4538494</v>
      </c>
    </row>
    <row r="18" spans="12:12" x14ac:dyDescent="0.2">
      <c r="L18" s="8">
        <v>4834222</v>
      </c>
    </row>
    <row r="19" spans="12:12" x14ac:dyDescent="0.2">
      <c r="L19" s="8">
        <v>4417615</v>
      </c>
    </row>
    <row r="20" spans="12:12" x14ac:dyDescent="0.2">
      <c r="L20" s="8">
        <v>4183904</v>
      </c>
    </row>
    <row r="21" spans="12:12" x14ac:dyDescent="0.2">
      <c r="L21" s="8">
        <v>4644597</v>
      </c>
    </row>
    <row r="22" spans="12:12" x14ac:dyDescent="0.2">
      <c r="L22" s="8">
        <v>4091546</v>
      </c>
    </row>
    <row r="23" spans="12:12" x14ac:dyDescent="0.2">
      <c r="L23" s="8">
        <v>3939987</v>
      </c>
    </row>
    <row r="24" spans="12:12" x14ac:dyDescent="0.2">
      <c r="L24" s="8">
        <v>3922085</v>
      </c>
    </row>
    <row r="25" spans="12:12" x14ac:dyDescent="0.2">
      <c r="L25" s="8">
        <v>3511165</v>
      </c>
    </row>
    <row r="26" spans="12:12" x14ac:dyDescent="0.2">
      <c r="L26" s="8">
        <v>4102303</v>
      </c>
    </row>
    <row r="27" spans="12:12" x14ac:dyDescent="0.2">
      <c r="L27" s="8">
        <v>3925243</v>
      </c>
    </row>
    <row r="28" spans="12:12" x14ac:dyDescent="0.2">
      <c r="L28" s="8">
        <v>3839633</v>
      </c>
    </row>
    <row r="29" spans="12:12" x14ac:dyDescent="0.2">
      <c r="L29" s="8">
        <v>4418024</v>
      </c>
    </row>
    <row r="30" spans="12:12" x14ac:dyDescent="0.2">
      <c r="L30" s="8">
        <v>3771520</v>
      </c>
    </row>
    <row r="31" spans="12:12" x14ac:dyDescent="0.2">
      <c r="L31" s="8">
        <v>3808028</v>
      </c>
    </row>
    <row r="32" spans="12:12" x14ac:dyDescent="0.2">
      <c r="L32" s="8">
        <v>4205467</v>
      </c>
    </row>
    <row r="33" spans="12:12" x14ac:dyDescent="0.2">
      <c r="L33" s="8">
        <v>3632379</v>
      </c>
    </row>
    <row r="34" spans="12:12" x14ac:dyDescent="0.2">
      <c r="L34" s="8">
        <v>3752213</v>
      </c>
    </row>
    <row r="35" spans="12:12" x14ac:dyDescent="0.2">
      <c r="L35" s="8">
        <v>3597028</v>
      </c>
    </row>
    <row r="36" spans="12:12" x14ac:dyDescent="0.2">
      <c r="L36" s="8">
        <v>3976573</v>
      </c>
    </row>
    <row r="37" spans="12:12" x14ac:dyDescent="0.2">
      <c r="L37" s="8">
        <v>3767997</v>
      </c>
    </row>
    <row r="38" spans="12:12" x14ac:dyDescent="0.2">
      <c r="L38" s="8">
        <v>3789546</v>
      </c>
    </row>
  </sheetData>
  <conditionalFormatting sqref="D1:D11 H12:H1048576">
    <cfRule type="containsText" dxfId="14" priority="1" operator="containsText" text="False">
      <formula>NOT(ISERROR(SEARCH("False",D1)))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F3F9-8F34-4CC5-9365-DE8E5ADCB0C1}">
  <dimension ref="A1:S38"/>
  <sheetViews>
    <sheetView topLeftCell="M1" workbookViewId="0">
      <selection activeCell="O2" sqref="O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21.5" bestFit="1" customWidth="1"/>
    <col min="6" max="6" width="21.5" customWidth="1"/>
    <col min="7" max="8" width="13.83203125" customWidth="1"/>
    <col min="9" max="9" width="12.1640625" customWidth="1"/>
    <col min="10" max="10" width="12.33203125" customWidth="1"/>
    <col min="14" max="14" width="8.1640625" bestFit="1" customWidth="1"/>
    <col min="15" max="15" width="18.1640625" bestFit="1" customWidth="1"/>
    <col min="16" max="16" width="11.5" bestFit="1" customWidth="1"/>
    <col min="17" max="17" width="11.33203125" bestFit="1" customWidth="1"/>
    <col min="18" max="18" width="18.83203125" bestFit="1" customWidth="1"/>
  </cols>
  <sheetData>
    <row r="1" spans="1:19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M1" s="1" t="s">
        <v>19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>
        <v>45722</v>
      </c>
      <c r="B2" s="8">
        <v>1596791</v>
      </c>
      <c r="C2" s="8">
        <v>10.171530000000001</v>
      </c>
      <c r="D2" t="b">
        <f>AND(B2&lt;G2, B2&gt;H2, Table13[[#This Row],[CV]]&lt;15)</f>
        <v>0</v>
      </c>
      <c r="E2" s="4">
        <f>AVERAGE(M:M)</f>
        <v>2501761</v>
      </c>
      <c r="F2" s="4">
        <f t="shared" ref="F2:F11" si="0">_xlfn.STDEV.S(M:M)</f>
        <v>448085.39295934368</v>
      </c>
      <c r="G2" s="4">
        <f>Table13[[#This Row],[Established Average]]+2*Table13[[#This Row],[SD]]</f>
        <v>3397931.7859186875</v>
      </c>
      <c r="H2" s="4">
        <f>Table13[[#This Row],[Established Average]]-2*Table13[[#This Row],[SD]]</f>
        <v>1605590.2140813125</v>
      </c>
      <c r="I2" s="4">
        <f>Table13[[#This Row],[Established Average]]+3*Table13[[#This Row],[SD]]</f>
        <v>3846017.1788780307</v>
      </c>
      <c r="J2" s="4">
        <f>Table13[[#This Row],[Established Average]]-3*Table13[[#This Row],[SD]]</f>
        <v>1157504.821121969</v>
      </c>
      <c r="M2" s="8">
        <v>1782290</v>
      </c>
      <c r="N2" s="4">
        <f>AVERAGE(M2:M38)</f>
        <v>2501761</v>
      </c>
      <c r="O2" s="4">
        <f>_xlfn.STDEV.S(M:M)</f>
        <v>448085.39295934368</v>
      </c>
      <c r="P2" s="4">
        <f>N2+2*O2</f>
        <v>3397931.7859186875</v>
      </c>
      <c r="Q2" s="4">
        <f>N2-2*O2</f>
        <v>1605590.2140813125</v>
      </c>
      <c r="R2" s="4">
        <f>N2+3*O2</f>
        <v>3846017.1788780307</v>
      </c>
      <c r="S2">
        <f>N2-3*O2</f>
        <v>1157504.821121969</v>
      </c>
    </row>
    <row r="3" spans="1:19" x14ac:dyDescent="0.2">
      <c r="A3" s="2">
        <v>45723</v>
      </c>
      <c r="C3" s="7"/>
      <c r="D3" t="b">
        <f>AND(B3&lt;G3, B3&gt;H3, Table13[[#This Row],[CV]]&lt;15)</f>
        <v>0</v>
      </c>
      <c r="E3" s="4">
        <f t="shared" ref="E3:E11" si="1">AVERAGE(M:M)</f>
        <v>2501761</v>
      </c>
      <c r="F3" s="4">
        <f t="shared" si="0"/>
        <v>448085.39295934368</v>
      </c>
      <c r="G3" s="4">
        <f>Table13[[#This Row],[Established Average]]+2*Table13[[#This Row],[SD]]</f>
        <v>3397931.7859186875</v>
      </c>
      <c r="H3" s="4">
        <f>Table13[[#This Row],[Established Average]]-2*Table13[[#This Row],[SD]]</f>
        <v>1605590.2140813125</v>
      </c>
      <c r="I3" s="4">
        <f>Table13[[#This Row],[Established Average]]+3*Table13[[#This Row],[SD]]</f>
        <v>3846017.1788780307</v>
      </c>
      <c r="J3" s="4">
        <f>Table13[[#This Row],[Established Average]]-3*Table13[[#This Row],[SD]]</f>
        <v>1157504.821121969</v>
      </c>
      <c r="M3" s="8">
        <v>1928567</v>
      </c>
      <c r="O3" t="s">
        <v>22</v>
      </c>
    </row>
    <row r="4" spans="1:19" x14ac:dyDescent="0.2">
      <c r="A4" s="2">
        <v>45724</v>
      </c>
      <c r="C4" s="7"/>
      <c r="D4" t="b">
        <f>AND(B4&lt;G4, B4&gt;H4, Table13[[#This Row],[CV]]&lt;15)</f>
        <v>0</v>
      </c>
      <c r="E4" s="4">
        <f t="shared" si="1"/>
        <v>2501761</v>
      </c>
      <c r="F4" s="4">
        <f t="shared" si="0"/>
        <v>448085.39295934368</v>
      </c>
      <c r="G4" s="4">
        <f>Table13[[#This Row],[Established Average]]+2*Table13[[#This Row],[SD]]</f>
        <v>3397931.7859186875</v>
      </c>
      <c r="H4" s="4">
        <f>Table13[[#This Row],[Established Average]]-2*Table13[[#This Row],[SD]]</f>
        <v>1605590.2140813125</v>
      </c>
      <c r="I4" s="4">
        <f>Table13[[#This Row],[Established Average]]+3*Table13[[#This Row],[SD]]</f>
        <v>3846017.1788780307</v>
      </c>
      <c r="J4" s="4">
        <f>Table13[[#This Row],[Established Average]]-3*Table13[[#This Row],[SD]]</f>
        <v>1157504.821121969</v>
      </c>
      <c r="M4" s="8">
        <v>1575976</v>
      </c>
      <c r="O4">
        <f>O2/N2*100</f>
        <v>17.910799351310683</v>
      </c>
    </row>
    <row r="5" spans="1:19" x14ac:dyDescent="0.2">
      <c r="A5" s="2">
        <v>45725</v>
      </c>
      <c r="C5" s="7"/>
      <c r="D5" t="b">
        <f>AND(B5&lt;G5, B5&gt;H5, Table13[[#This Row],[CV]]&lt;15)</f>
        <v>0</v>
      </c>
      <c r="E5" s="4">
        <f t="shared" si="1"/>
        <v>2501761</v>
      </c>
      <c r="F5" s="4">
        <f t="shared" si="0"/>
        <v>448085.39295934368</v>
      </c>
      <c r="G5" s="4">
        <f>Table13[[#This Row],[Established Average]]+2*Table13[[#This Row],[SD]]</f>
        <v>3397931.7859186875</v>
      </c>
      <c r="H5" s="4">
        <f>Table13[[#This Row],[Established Average]]-2*Table13[[#This Row],[SD]]</f>
        <v>1605590.2140813125</v>
      </c>
      <c r="I5" s="4">
        <f>Table13[[#This Row],[Established Average]]+3*Table13[[#This Row],[SD]]</f>
        <v>3846017.1788780307</v>
      </c>
      <c r="J5" s="4">
        <f>Table13[[#This Row],[Established Average]]-3*Table13[[#This Row],[SD]]</f>
        <v>1157504.821121969</v>
      </c>
      <c r="M5" s="8">
        <v>1948628</v>
      </c>
    </row>
    <row r="6" spans="1:19" x14ac:dyDescent="0.2">
      <c r="A6" s="2">
        <v>45726</v>
      </c>
      <c r="C6" s="7"/>
      <c r="D6" t="b">
        <f>AND(B6&lt;G6, B6&gt;H6, Table13[[#This Row],[CV]]&lt;15)</f>
        <v>0</v>
      </c>
      <c r="E6" s="4">
        <f t="shared" si="1"/>
        <v>2501761</v>
      </c>
      <c r="F6" s="4">
        <f t="shared" si="0"/>
        <v>448085.39295934368</v>
      </c>
      <c r="G6" s="4">
        <f>Table13[[#This Row],[Established Average]]+2*Table13[[#This Row],[SD]]</f>
        <v>3397931.7859186875</v>
      </c>
      <c r="H6" s="4">
        <f>Table13[[#This Row],[Established Average]]-2*Table13[[#This Row],[SD]]</f>
        <v>1605590.2140813125</v>
      </c>
      <c r="I6" s="4">
        <f>Table13[[#This Row],[Established Average]]+3*Table13[[#This Row],[SD]]</f>
        <v>3846017.1788780307</v>
      </c>
      <c r="J6" s="4">
        <f>Table13[[#This Row],[Established Average]]-3*Table13[[#This Row],[SD]]</f>
        <v>1157504.821121969</v>
      </c>
      <c r="M6" s="8">
        <v>1748894</v>
      </c>
    </row>
    <row r="7" spans="1:19" x14ac:dyDescent="0.2">
      <c r="A7" s="2">
        <v>45727</v>
      </c>
      <c r="C7" s="7"/>
      <c r="D7" t="b">
        <f>AND(B7&lt;G7, B7&gt;H7, Table13[[#This Row],[CV]]&lt;15)</f>
        <v>0</v>
      </c>
      <c r="E7" s="4">
        <f t="shared" si="1"/>
        <v>2501761</v>
      </c>
      <c r="F7" s="4">
        <f t="shared" si="0"/>
        <v>448085.39295934368</v>
      </c>
      <c r="G7" s="4">
        <f>Table13[[#This Row],[Established Average]]+2*Table13[[#This Row],[SD]]</f>
        <v>3397931.7859186875</v>
      </c>
      <c r="H7" s="4">
        <f>Table13[[#This Row],[Established Average]]-2*Table13[[#This Row],[SD]]</f>
        <v>1605590.2140813125</v>
      </c>
      <c r="I7" s="4">
        <f>Table13[[#This Row],[Established Average]]+3*Table13[[#This Row],[SD]]</f>
        <v>3846017.1788780307</v>
      </c>
      <c r="J7" s="4">
        <f>Table13[[#This Row],[Established Average]]-3*Table13[[#This Row],[SD]]</f>
        <v>1157504.821121969</v>
      </c>
      <c r="M7" s="8">
        <v>1725064</v>
      </c>
    </row>
    <row r="8" spans="1:19" x14ac:dyDescent="0.2">
      <c r="A8" s="2">
        <v>45728</v>
      </c>
      <c r="C8" s="7"/>
      <c r="D8" t="b">
        <f>AND(B8&lt;G8, B8&gt;H8, Table13[[#This Row],[CV]]&lt;15)</f>
        <v>0</v>
      </c>
      <c r="E8" s="4">
        <f t="shared" si="1"/>
        <v>2501761</v>
      </c>
      <c r="F8" s="4">
        <f t="shared" si="0"/>
        <v>448085.39295934368</v>
      </c>
      <c r="G8" s="4">
        <f>Table13[[#This Row],[Established Average]]+2*Table13[[#This Row],[SD]]</f>
        <v>3397931.7859186875</v>
      </c>
      <c r="H8" s="4">
        <f>Table13[[#This Row],[Established Average]]-2*Table13[[#This Row],[SD]]</f>
        <v>1605590.2140813125</v>
      </c>
      <c r="I8" s="4">
        <f>Table13[[#This Row],[Established Average]]+3*Table13[[#This Row],[SD]]</f>
        <v>3846017.1788780307</v>
      </c>
      <c r="J8" s="4">
        <f>Table13[[#This Row],[Established Average]]-3*Table13[[#This Row],[SD]]</f>
        <v>1157504.821121969</v>
      </c>
      <c r="M8" s="8">
        <v>1755178</v>
      </c>
    </row>
    <row r="9" spans="1:19" x14ac:dyDescent="0.2">
      <c r="A9" s="2">
        <v>45729</v>
      </c>
      <c r="C9" s="7"/>
      <c r="D9" t="b">
        <f>AND(B9&lt;G9, B9&gt;H9, Table13[[#This Row],[CV]]&lt;15)</f>
        <v>0</v>
      </c>
      <c r="E9" s="4">
        <f t="shared" si="1"/>
        <v>2501761</v>
      </c>
      <c r="F9" s="4">
        <f t="shared" si="0"/>
        <v>448085.39295934368</v>
      </c>
      <c r="G9" s="4">
        <f>Table13[[#This Row],[Established Average]]+2*Table13[[#This Row],[SD]]</f>
        <v>3397931.7859186875</v>
      </c>
      <c r="H9" s="4">
        <f>Table13[[#This Row],[Established Average]]-2*Table13[[#This Row],[SD]]</f>
        <v>1605590.2140813125</v>
      </c>
      <c r="I9" s="4">
        <f>Table13[[#This Row],[Established Average]]+3*Table13[[#This Row],[SD]]</f>
        <v>3846017.1788780307</v>
      </c>
      <c r="J9" s="4">
        <f>Table13[[#This Row],[Established Average]]-3*Table13[[#This Row],[SD]]</f>
        <v>1157504.821121969</v>
      </c>
      <c r="M9" s="8">
        <v>1913762</v>
      </c>
    </row>
    <row r="10" spans="1:19" x14ac:dyDescent="0.2">
      <c r="A10" s="2"/>
      <c r="C10" s="7"/>
      <c r="D10" t="b">
        <f>AND(B10&lt;G10, B10&gt;H10, Table13[[#This Row],[CV]]&lt;15)</f>
        <v>0</v>
      </c>
      <c r="E10" s="4">
        <f t="shared" si="1"/>
        <v>2501761</v>
      </c>
      <c r="F10" s="4">
        <f t="shared" si="0"/>
        <v>448085.39295934368</v>
      </c>
      <c r="G10" s="4">
        <f>Table13[[#This Row],[Established Average]]+2*Table13[[#This Row],[SD]]</f>
        <v>3397931.7859186875</v>
      </c>
      <c r="H10" s="4">
        <f>Table13[[#This Row],[Established Average]]-2*Table13[[#This Row],[SD]]</f>
        <v>1605590.2140813125</v>
      </c>
      <c r="I10" s="4">
        <f>Table13[[#This Row],[Established Average]]+3*Table13[[#This Row],[SD]]</f>
        <v>3846017.1788780307</v>
      </c>
      <c r="J10" s="4">
        <f>Table13[[#This Row],[Established Average]]-3*Table13[[#This Row],[SD]]</f>
        <v>1157504.821121969</v>
      </c>
      <c r="M10" s="8">
        <v>2480380</v>
      </c>
    </row>
    <row r="11" spans="1:19" x14ac:dyDescent="0.2">
      <c r="A11" s="2"/>
      <c r="C11" s="7"/>
      <c r="D11" t="b">
        <f>AND(B11&lt;G11, B11&gt;H11, Table13[[#This Row],[CV]]&lt;15)</f>
        <v>0</v>
      </c>
      <c r="E11" s="4">
        <f t="shared" si="1"/>
        <v>2501761</v>
      </c>
      <c r="F11" s="4">
        <f t="shared" si="0"/>
        <v>448085.39295934368</v>
      </c>
      <c r="G11" s="4">
        <f>Table13[[#This Row],[Established Average]]+2*Table13[[#This Row],[SD]]</f>
        <v>3397931.7859186875</v>
      </c>
      <c r="H11" s="4">
        <f>Table13[[#This Row],[Established Average]]-2*Table13[[#This Row],[SD]]</f>
        <v>1605590.2140813125</v>
      </c>
      <c r="I11" s="4">
        <f>Table13[[#This Row],[Established Average]]+3*Table13[[#This Row],[SD]]</f>
        <v>3846017.1788780307</v>
      </c>
      <c r="J11" s="4">
        <f>Table13[[#This Row],[Established Average]]-3*Table13[[#This Row],[SD]]</f>
        <v>1157504.821121969</v>
      </c>
      <c r="M11" s="8">
        <v>2241305</v>
      </c>
    </row>
    <row r="12" spans="1:19" x14ac:dyDescent="0.2">
      <c r="M12" s="8">
        <v>2281030</v>
      </c>
    </row>
    <row r="13" spans="1:19" x14ac:dyDescent="0.2">
      <c r="M13" s="8">
        <v>2276956</v>
      </c>
    </row>
    <row r="14" spans="1:19" x14ac:dyDescent="0.2">
      <c r="M14" s="8">
        <v>2910363</v>
      </c>
    </row>
    <row r="15" spans="1:19" x14ac:dyDescent="0.2">
      <c r="M15" s="8">
        <v>2685009</v>
      </c>
    </row>
    <row r="16" spans="1:19" x14ac:dyDescent="0.2">
      <c r="M16" s="8">
        <v>2850522</v>
      </c>
    </row>
    <row r="17" spans="13:13" x14ac:dyDescent="0.2">
      <c r="M17" s="8">
        <v>2943138</v>
      </c>
    </row>
    <row r="18" spans="13:13" x14ac:dyDescent="0.2">
      <c r="M18" s="8">
        <v>3063651</v>
      </c>
    </row>
    <row r="19" spans="13:13" x14ac:dyDescent="0.2">
      <c r="M19" s="8">
        <v>2838644</v>
      </c>
    </row>
    <row r="20" spans="13:13" x14ac:dyDescent="0.2">
      <c r="M20" s="8">
        <v>2754961</v>
      </c>
    </row>
    <row r="21" spans="13:13" x14ac:dyDescent="0.2">
      <c r="M21" s="8">
        <v>2899046</v>
      </c>
    </row>
    <row r="22" spans="13:13" x14ac:dyDescent="0.2">
      <c r="M22" s="8">
        <v>2681223</v>
      </c>
    </row>
    <row r="23" spans="13:13" x14ac:dyDescent="0.2">
      <c r="M23" s="8">
        <v>2893389</v>
      </c>
    </row>
    <row r="24" spans="13:13" x14ac:dyDescent="0.2">
      <c r="M24" s="8">
        <v>2601963</v>
      </c>
    </row>
    <row r="25" spans="13:13" x14ac:dyDescent="0.2">
      <c r="M25" s="8">
        <v>3064916</v>
      </c>
    </row>
    <row r="26" spans="13:13" x14ac:dyDescent="0.2">
      <c r="M26" s="8">
        <v>2934719</v>
      </c>
    </row>
    <row r="27" spans="13:13" x14ac:dyDescent="0.2">
      <c r="M27" s="8">
        <v>2787802</v>
      </c>
    </row>
    <row r="28" spans="13:13" x14ac:dyDescent="0.2">
      <c r="M28" s="8">
        <v>2717450</v>
      </c>
    </row>
    <row r="29" spans="13:13" x14ac:dyDescent="0.2">
      <c r="M29" s="8">
        <v>2752065</v>
      </c>
    </row>
    <row r="30" spans="13:13" x14ac:dyDescent="0.2">
      <c r="M30" s="8">
        <v>3005655</v>
      </c>
    </row>
    <row r="31" spans="13:13" x14ac:dyDescent="0.2">
      <c r="M31" s="8">
        <v>2928968</v>
      </c>
    </row>
    <row r="32" spans="13:13" x14ac:dyDescent="0.2">
      <c r="M32" s="8">
        <v>2413568</v>
      </c>
    </row>
    <row r="33" spans="13:13" x14ac:dyDescent="0.2">
      <c r="M33" s="8">
        <v>2470937</v>
      </c>
    </row>
    <row r="34" spans="13:13" x14ac:dyDescent="0.2">
      <c r="M34" s="8">
        <v>2520733</v>
      </c>
    </row>
    <row r="35" spans="13:13" x14ac:dyDescent="0.2">
      <c r="M35" s="8">
        <v>2426209</v>
      </c>
    </row>
    <row r="36" spans="13:13" x14ac:dyDescent="0.2">
      <c r="M36" s="8">
        <v>2758674</v>
      </c>
    </row>
    <row r="37" spans="13:13" x14ac:dyDescent="0.2">
      <c r="M37" s="8"/>
    </row>
    <row r="38" spans="13:13" x14ac:dyDescent="0.2">
      <c r="M38" s="8"/>
    </row>
  </sheetData>
  <conditionalFormatting sqref="D1:D11 I12:I1048576">
    <cfRule type="containsText" dxfId="13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B14B-EA3F-49A4-ACA4-305833497869}">
  <dimension ref="A1:S38"/>
  <sheetViews>
    <sheetView topLeftCell="L1" workbookViewId="0">
      <selection activeCell="O2" sqref="O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4" max="14" width="8.6640625" bestFit="1" customWidth="1"/>
    <col min="15" max="15" width="18.1640625" bestFit="1" customWidth="1"/>
    <col min="16" max="16" width="11.5" bestFit="1" customWidth="1"/>
    <col min="17" max="17" width="11.33203125" bestFit="1" customWidth="1"/>
    <col min="18" max="18" width="18.83203125" bestFit="1" customWidth="1"/>
  </cols>
  <sheetData>
    <row r="1" spans="1:19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M1" s="1" t="s">
        <v>19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>
        <v>45722</v>
      </c>
      <c r="B2" s="8">
        <v>1861130</v>
      </c>
      <c r="C2" s="8">
        <v>11.190519999999999</v>
      </c>
      <c r="D2" t="b">
        <f>AND(B2&lt;G2, B2&gt;H2, Table134[[#This Row],[CV]]&lt;15)</f>
        <v>0</v>
      </c>
      <c r="E2" s="4">
        <f>AVERAGE(M:M)</f>
        <v>3108553.5</v>
      </c>
      <c r="F2" s="4">
        <f t="shared" ref="F2:F11" si="0">_xlfn.STDEV.S(M:M)</f>
        <v>310483.45635800814</v>
      </c>
      <c r="G2" s="4">
        <f>Table134[[#This Row],[Established Average]]+2*Table134[[#This Row],[SD]]</f>
        <v>3729520.4127160162</v>
      </c>
      <c r="H2" s="4">
        <f>Table134[[#This Row],[Established Average]]-2*Table134[[#This Row],[SD]]</f>
        <v>2487586.5872839838</v>
      </c>
      <c r="I2" s="4">
        <f>Table134[[#This Row],[Established Average]]+3*Table134[[#This Row],[SD]]</f>
        <v>4040003.8690740243</v>
      </c>
      <c r="J2" s="4">
        <f>Table134[[#This Row],[Established Average]]-3*Table134[[#This Row],[SD]]</f>
        <v>2177103.1309259757</v>
      </c>
      <c r="M2" s="8">
        <v>2936039</v>
      </c>
      <c r="N2" s="4">
        <f>AVERAGE(M2:M38)</f>
        <v>3108553.5</v>
      </c>
      <c r="O2" s="4">
        <f>_xlfn.STDEV.S(M:M)</f>
        <v>310483.45635800814</v>
      </c>
      <c r="P2" s="4">
        <f>N2+2*O2</f>
        <v>3729520.4127160162</v>
      </c>
      <c r="Q2" s="4">
        <f>N2-2*O2</f>
        <v>2487586.5872839838</v>
      </c>
      <c r="R2" s="4">
        <f>N2+3*O2</f>
        <v>4040003.8690740243</v>
      </c>
      <c r="S2">
        <f>N2-3*O2</f>
        <v>2177103.1309259757</v>
      </c>
    </row>
    <row r="3" spans="1:19" x14ac:dyDescent="0.2">
      <c r="A3" s="2">
        <v>45723</v>
      </c>
      <c r="C3" s="7"/>
      <c r="D3" t="b">
        <f>AND(B3&lt;G3, B3&gt;H3, Table134[[#This Row],[CV]]&lt;15)</f>
        <v>0</v>
      </c>
      <c r="E3" s="4">
        <f t="shared" ref="E3:E11" si="1">AVERAGE(M:M)</f>
        <v>3108553.5</v>
      </c>
      <c r="F3" s="4">
        <f t="shared" si="0"/>
        <v>310483.45635800814</v>
      </c>
      <c r="G3" s="4">
        <f>Table134[[#This Row],[Established Average]]+2*Table134[[#This Row],[SD]]</f>
        <v>3729520.4127160162</v>
      </c>
      <c r="H3" s="4">
        <f>Table134[[#This Row],[Established Average]]-2*Table134[[#This Row],[SD]]</f>
        <v>2487586.5872839838</v>
      </c>
      <c r="I3" s="4">
        <f>Table134[[#This Row],[Established Average]]+3*Table134[[#This Row],[SD]]</f>
        <v>4040003.8690740243</v>
      </c>
      <c r="J3" s="4">
        <f>Table134[[#This Row],[Established Average]]-3*Table134[[#This Row],[SD]]</f>
        <v>2177103.1309259757</v>
      </c>
      <c r="M3" s="8">
        <v>3125113</v>
      </c>
      <c r="O3" t="s">
        <v>22</v>
      </c>
    </row>
    <row r="4" spans="1:19" x14ac:dyDescent="0.2">
      <c r="A4" s="2">
        <v>45724</v>
      </c>
      <c r="C4" s="7"/>
      <c r="D4" t="b">
        <f>AND(B4&lt;G4, B4&gt;H4, Table134[[#This Row],[CV]]&lt;15)</f>
        <v>0</v>
      </c>
      <c r="E4" s="4">
        <f t="shared" si="1"/>
        <v>3108553.5</v>
      </c>
      <c r="F4" s="4">
        <f t="shared" si="0"/>
        <v>310483.45635800814</v>
      </c>
      <c r="G4" s="4">
        <f>Table134[[#This Row],[Established Average]]+2*Table134[[#This Row],[SD]]</f>
        <v>3729520.4127160162</v>
      </c>
      <c r="H4" s="4">
        <f>Table134[[#This Row],[Established Average]]-2*Table134[[#This Row],[SD]]</f>
        <v>2487586.5872839838</v>
      </c>
      <c r="I4" s="4">
        <f>Table134[[#This Row],[Established Average]]+3*Table134[[#This Row],[SD]]</f>
        <v>4040003.8690740243</v>
      </c>
      <c r="J4" s="4">
        <f>Table134[[#This Row],[Established Average]]-3*Table134[[#This Row],[SD]]</f>
        <v>2177103.1309259757</v>
      </c>
      <c r="M4" s="8">
        <v>3597334</v>
      </c>
      <c r="O4">
        <f>O2/N2*100</f>
        <v>9.9880364406791813</v>
      </c>
    </row>
    <row r="5" spans="1:19" x14ac:dyDescent="0.2">
      <c r="A5" s="2">
        <v>45725</v>
      </c>
      <c r="C5" s="7"/>
      <c r="D5" t="b">
        <f>AND(B5&lt;G5, B5&gt;H5, Table134[[#This Row],[CV]]&lt;15)</f>
        <v>0</v>
      </c>
      <c r="E5" s="4">
        <f t="shared" si="1"/>
        <v>3108553.5</v>
      </c>
      <c r="F5" s="4">
        <f t="shared" si="0"/>
        <v>310483.45635800814</v>
      </c>
      <c r="G5" s="4">
        <f>Table134[[#This Row],[Established Average]]+2*Table134[[#This Row],[SD]]</f>
        <v>3729520.4127160162</v>
      </c>
      <c r="H5" s="4">
        <f>Table134[[#This Row],[Established Average]]-2*Table134[[#This Row],[SD]]</f>
        <v>2487586.5872839838</v>
      </c>
      <c r="I5" s="4">
        <f>Table134[[#This Row],[Established Average]]+3*Table134[[#This Row],[SD]]</f>
        <v>4040003.8690740243</v>
      </c>
      <c r="J5" s="4">
        <f>Table134[[#This Row],[Established Average]]-3*Table134[[#This Row],[SD]]</f>
        <v>2177103.1309259757</v>
      </c>
      <c r="M5" s="8">
        <v>3118101</v>
      </c>
    </row>
    <row r="6" spans="1:19" x14ac:dyDescent="0.2">
      <c r="A6" s="2">
        <v>45726</v>
      </c>
      <c r="C6" s="7"/>
      <c r="D6" t="b">
        <f>AND(B6&lt;G6, B6&gt;H6, Table134[[#This Row],[CV]]&lt;15)</f>
        <v>0</v>
      </c>
      <c r="E6" s="4">
        <f t="shared" si="1"/>
        <v>3108553.5</v>
      </c>
      <c r="F6" s="4">
        <f t="shared" si="0"/>
        <v>310483.45635800814</v>
      </c>
      <c r="G6" s="4">
        <f>Table134[[#This Row],[Established Average]]+2*Table134[[#This Row],[SD]]</f>
        <v>3729520.4127160162</v>
      </c>
      <c r="H6" s="4">
        <f>Table134[[#This Row],[Established Average]]-2*Table134[[#This Row],[SD]]</f>
        <v>2487586.5872839838</v>
      </c>
      <c r="I6" s="4">
        <f>Table134[[#This Row],[Established Average]]+3*Table134[[#This Row],[SD]]</f>
        <v>4040003.8690740243</v>
      </c>
      <c r="J6" s="4">
        <f>Table134[[#This Row],[Established Average]]-3*Table134[[#This Row],[SD]]</f>
        <v>2177103.1309259757</v>
      </c>
      <c r="M6" s="8">
        <v>2932480</v>
      </c>
    </row>
    <row r="7" spans="1:19" x14ac:dyDescent="0.2">
      <c r="A7" s="2">
        <v>45727</v>
      </c>
      <c r="C7" s="7"/>
      <c r="D7" t="b">
        <f>AND(B7&lt;G7, B7&gt;H7, Table134[[#This Row],[CV]]&lt;15)</f>
        <v>0</v>
      </c>
      <c r="E7" s="4">
        <f t="shared" si="1"/>
        <v>3108553.5</v>
      </c>
      <c r="F7" s="4">
        <f t="shared" si="0"/>
        <v>310483.45635800814</v>
      </c>
      <c r="G7" s="4">
        <f>Table134[[#This Row],[Established Average]]+2*Table134[[#This Row],[SD]]</f>
        <v>3729520.4127160162</v>
      </c>
      <c r="H7" s="4">
        <f>Table134[[#This Row],[Established Average]]-2*Table134[[#This Row],[SD]]</f>
        <v>2487586.5872839838</v>
      </c>
      <c r="I7" s="4">
        <f>Table134[[#This Row],[Established Average]]+3*Table134[[#This Row],[SD]]</f>
        <v>4040003.8690740243</v>
      </c>
      <c r="J7" s="4">
        <f>Table134[[#This Row],[Established Average]]-3*Table134[[#This Row],[SD]]</f>
        <v>2177103.1309259757</v>
      </c>
      <c r="M7" s="8">
        <v>3207901</v>
      </c>
    </row>
    <row r="8" spans="1:19" x14ac:dyDescent="0.2">
      <c r="A8" s="2">
        <v>45728</v>
      </c>
      <c r="C8" s="7"/>
      <c r="D8" t="b">
        <f>AND(B8&lt;G8, B8&gt;H8, Table134[[#This Row],[CV]]&lt;15)</f>
        <v>0</v>
      </c>
      <c r="E8" s="4">
        <f t="shared" si="1"/>
        <v>3108553.5</v>
      </c>
      <c r="F8" s="4">
        <f t="shared" si="0"/>
        <v>310483.45635800814</v>
      </c>
      <c r="G8" s="4">
        <f>Table134[[#This Row],[Established Average]]+2*Table134[[#This Row],[SD]]</f>
        <v>3729520.4127160162</v>
      </c>
      <c r="H8" s="4">
        <f>Table134[[#This Row],[Established Average]]-2*Table134[[#This Row],[SD]]</f>
        <v>2487586.5872839838</v>
      </c>
      <c r="I8" s="4">
        <f>Table134[[#This Row],[Established Average]]+3*Table134[[#This Row],[SD]]</f>
        <v>4040003.8690740243</v>
      </c>
      <c r="J8" s="4">
        <f>Table134[[#This Row],[Established Average]]-3*Table134[[#This Row],[SD]]</f>
        <v>2177103.1309259757</v>
      </c>
      <c r="M8" s="8">
        <v>2844362</v>
      </c>
    </row>
    <row r="9" spans="1:19" x14ac:dyDescent="0.2">
      <c r="A9" s="2">
        <v>45729</v>
      </c>
      <c r="C9" s="7"/>
      <c r="D9" t="b">
        <f>AND(B9&lt;G9, B9&gt;H9, Table134[[#This Row],[CV]]&lt;15)</f>
        <v>0</v>
      </c>
      <c r="E9" s="4">
        <f t="shared" si="1"/>
        <v>3108553.5</v>
      </c>
      <c r="F9" s="4">
        <f t="shared" si="0"/>
        <v>310483.45635800814</v>
      </c>
      <c r="G9" s="4">
        <f>Table134[[#This Row],[Established Average]]+2*Table134[[#This Row],[SD]]</f>
        <v>3729520.4127160162</v>
      </c>
      <c r="H9" s="4">
        <f>Table134[[#This Row],[Established Average]]-2*Table134[[#This Row],[SD]]</f>
        <v>2487586.5872839838</v>
      </c>
      <c r="I9" s="4">
        <f>Table134[[#This Row],[Established Average]]+3*Table134[[#This Row],[SD]]</f>
        <v>4040003.8690740243</v>
      </c>
      <c r="J9" s="4">
        <f>Table134[[#This Row],[Established Average]]-3*Table134[[#This Row],[SD]]</f>
        <v>2177103.1309259757</v>
      </c>
      <c r="M9" s="8">
        <v>3010434</v>
      </c>
    </row>
    <row r="10" spans="1:19" x14ac:dyDescent="0.2">
      <c r="A10" s="2">
        <v>45730</v>
      </c>
      <c r="C10" s="7"/>
      <c r="D10" t="b">
        <f>AND(B10&lt;G10, B10&gt;H10, Table134[[#This Row],[CV]]&lt;15)</f>
        <v>0</v>
      </c>
      <c r="E10" s="4">
        <f t="shared" si="1"/>
        <v>3108553.5</v>
      </c>
      <c r="F10" s="4">
        <f t="shared" si="0"/>
        <v>310483.45635800814</v>
      </c>
      <c r="G10" s="4">
        <f>Table134[[#This Row],[Established Average]]+2*Table134[[#This Row],[SD]]</f>
        <v>3729520.4127160162</v>
      </c>
      <c r="H10" s="4">
        <f>Table134[[#This Row],[Established Average]]-2*Table134[[#This Row],[SD]]</f>
        <v>2487586.5872839838</v>
      </c>
      <c r="I10" s="4">
        <f>Table134[[#This Row],[Established Average]]+3*Table134[[#This Row],[SD]]</f>
        <v>4040003.8690740243</v>
      </c>
      <c r="J10" s="4">
        <f>Table134[[#This Row],[Established Average]]-3*Table134[[#This Row],[SD]]</f>
        <v>2177103.1309259757</v>
      </c>
      <c r="M10" s="8">
        <v>2878409</v>
      </c>
    </row>
    <row r="11" spans="1:19" x14ac:dyDescent="0.2">
      <c r="A11" s="2">
        <v>45731</v>
      </c>
      <c r="C11" s="7"/>
      <c r="D11" t="b">
        <f>AND(B11&lt;G11, B11&gt;H11, Table134[[#This Row],[CV]]&lt;15)</f>
        <v>0</v>
      </c>
      <c r="E11" s="4">
        <f t="shared" si="1"/>
        <v>3108553.5</v>
      </c>
      <c r="F11" s="4">
        <f t="shared" si="0"/>
        <v>310483.45635800814</v>
      </c>
      <c r="G11" s="4">
        <f>Table134[[#This Row],[Established Average]]+2*Table134[[#This Row],[SD]]</f>
        <v>3729520.4127160162</v>
      </c>
      <c r="H11" s="4">
        <f>Table134[[#This Row],[Established Average]]-2*Table134[[#This Row],[SD]]</f>
        <v>2487586.5872839838</v>
      </c>
      <c r="I11" s="4">
        <f>Table134[[#This Row],[Established Average]]+3*Table134[[#This Row],[SD]]</f>
        <v>4040003.8690740243</v>
      </c>
      <c r="J11" s="4">
        <f>Table134[[#This Row],[Established Average]]-3*Table134[[#This Row],[SD]]</f>
        <v>2177103.1309259757</v>
      </c>
      <c r="M11" s="8">
        <v>3013871</v>
      </c>
    </row>
    <row r="12" spans="1:19" x14ac:dyDescent="0.2">
      <c r="M12" s="8">
        <v>3094032</v>
      </c>
    </row>
    <row r="13" spans="1:19" x14ac:dyDescent="0.2">
      <c r="M13" s="8">
        <v>3362942</v>
      </c>
    </row>
    <row r="14" spans="1:19" x14ac:dyDescent="0.2">
      <c r="M14" s="8">
        <v>3182680</v>
      </c>
    </row>
    <row r="15" spans="1:19" x14ac:dyDescent="0.2">
      <c r="M15" s="8">
        <v>3395519</v>
      </c>
    </row>
    <row r="16" spans="1:19" x14ac:dyDescent="0.2">
      <c r="M16" s="8">
        <v>3419460</v>
      </c>
    </row>
    <row r="17" spans="13:13" x14ac:dyDescent="0.2">
      <c r="M17" s="8">
        <v>3481928</v>
      </c>
    </row>
    <row r="18" spans="13:13" x14ac:dyDescent="0.2">
      <c r="M18" s="8">
        <v>3386714</v>
      </c>
    </row>
    <row r="19" spans="13:13" x14ac:dyDescent="0.2">
      <c r="M19" s="8">
        <v>3604493</v>
      </c>
    </row>
    <row r="20" spans="13:13" x14ac:dyDescent="0.2">
      <c r="M20" s="8">
        <v>3558396</v>
      </c>
    </row>
    <row r="21" spans="13:13" x14ac:dyDescent="0.2">
      <c r="M21" s="8">
        <v>2807578</v>
      </c>
    </row>
    <row r="22" spans="13:13" x14ac:dyDescent="0.2">
      <c r="M22" s="8">
        <v>2574429</v>
      </c>
    </row>
    <row r="23" spans="13:13" x14ac:dyDescent="0.2">
      <c r="M23" s="8">
        <v>2870160</v>
      </c>
    </row>
    <row r="24" spans="13:13" x14ac:dyDescent="0.2">
      <c r="M24" s="8">
        <v>3379573</v>
      </c>
    </row>
    <row r="25" spans="13:13" x14ac:dyDescent="0.2">
      <c r="M25" s="8">
        <v>3416921</v>
      </c>
    </row>
    <row r="26" spans="13:13" x14ac:dyDescent="0.2">
      <c r="M26" s="8">
        <v>3188111</v>
      </c>
    </row>
    <row r="27" spans="13:13" x14ac:dyDescent="0.2">
      <c r="M27" s="8">
        <v>3031186</v>
      </c>
    </row>
    <row r="28" spans="13:13" x14ac:dyDescent="0.2">
      <c r="M28" s="8">
        <v>3139269</v>
      </c>
    </row>
    <row r="29" spans="13:13" x14ac:dyDescent="0.2">
      <c r="M29" s="8">
        <v>2930604</v>
      </c>
    </row>
    <row r="30" spans="13:13" x14ac:dyDescent="0.2">
      <c r="M30" s="8">
        <v>3176979</v>
      </c>
    </row>
    <row r="31" spans="13:13" x14ac:dyDescent="0.2">
      <c r="M31" s="8">
        <v>2181565</v>
      </c>
    </row>
    <row r="32" spans="13:13" x14ac:dyDescent="0.2">
      <c r="M32" s="8">
        <v>2581357</v>
      </c>
    </row>
    <row r="33" spans="13:13" x14ac:dyDescent="0.2">
      <c r="M33" s="8">
        <v>3195368</v>
      </c>
    </row>
    <row r="34" spans="13:13" x14ac:dyDescent="0.2">
      <c r="M34" s="8">
        <v>3099276</v>
      </c>
    </row>
    <row r="35" spans="13:13" x14ac:dyDescent="0.2">
      <c r="M35" s="8">
        <v>2968235</v>
      </c>
    </row>
    <row r="36" spans="13:13" x14ac:dyDescent="0.2">
      <c r="M36" s="8"/>
    </row>
    <row r="37" spans="13:13" x14ac:dyDescent="0.2">
      <c r="M37" s="8"/>
    </row>
    <row r="38" spans="13:13" x14ac:dyDescent="0.2">
      <c r="M38" s="8"/>
    </row>
  </sheetData>
  <conditionalFormatting sqref="D1:D11 I12:I1048576">
    <cfRule type="containsText" dxfId="12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86A5-E20E-43CF-96D2-0ED6A65DFCC2}">
  <dimension ref="A1:S38"/>
  <sheetViews>
    <sheetView topLeftCell="K1" workbookViewId="0">
      <selection activeCell="O2" sqref="O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4" max="14" width="8.6640625" bestFit="1" customWidth="1"/>
    <col min="15" max="15" width="18.1640625" bestFit="1" customWidth="1"/>
    <col min="16" max="16" width="11.5" bestFit="1" customWidth="1"/>
    <col min="17" max="17" width="11.33203125" bestFit="1" customWidth="1"/>
    <col min="18" max="18" width="18.83203125" bestFit="1" customWidth="1"/>
  </cols>
  <sheetData>
    <row r="1" spans="1:19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M1" s="1" t="s">
        <v>19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>
        <v>45722</v>
      </c>
      <c r="B2" s="8">
        <v>1081247</v>
      </c>
      <c r="C2" s="8">
        <v>12.585699999999999</v>
      </c>
      <c r="D2" t="b">
        <f>AND(B2&lt;G2, B2&gt;H2, Table1345[[#This Row],[CV]]&lt;15)</f>
        <v>0</v>
      </c>
      <c r="E2" s="4">
        <f>AVERAGE(M:M)</f>
        <v>620665.0882352941</v>
      </c>
      <c r="F2" s="4">
        <f t="shared" ref="F2:F11" si="0">_xlfn.STDEV.S(M:M)</f>
        <v>116828.82905717552</v>
      </c>
      <c r="G2" s="4">
        <f>Table1345[[#This Row],[Established Average]]+2*Table1345[[#This Row],[SD]]</f>
        <v>854322.74634964508</v>
      </c>
      <c r="H2" s="4">
        <f>Table1345[[#This Row],[Established Average]]-2*Table1345[[#This Row],[SD]]</f>
        <v>387007.43012094306</v>
      </c>
      <c r="I2" s="4">
        <f>Table1345[[#This Row],[Established Average]]+3*Table1345[[#This Row],[SD]]</f>
        <v>971151.57540682063</v>
      </c>
      <c r="J2" s="4">
        <f>Table1345[[#This Row],[Established Average]]-3*Table1345[[#This Row],[SD]]</f>
        <v>270178.60106376756</v>
      </c>
      <c r="M2" s="8">
        <v>673414</v>
      </c>
      <c r="N2" s="4">
        <f>AVERAGE(M2:M38)</f>
        <v>620665.0882352941</v>
      </c>
      <c r="O2" s="4">
        <f>_xlfn.STDEV.S(M:M)</f>
        <v>116828.82905717552</v>
      </c>
      <c r="P2" s="4">
        <f>N2+2*O2</f>
        <v>854322.74634964508</v>
      </c>
      <c r="Q2" s="4">
        <f>N2-2*O2</f>
        <v>387007.43012094306</v>
      </c>
      <c r="R2" s="4">
        <f>N2+3*O2</f>
        <v>971151.57540682063</v>
      </c>
      <c r="S2">
        <f>N2-3*O2</f>
        <v>270178.60106376756</v>
      </c>
    </row>
    <row r="3" spans="1:19" x14ac:dyDescent="0.2">
      <c r="A3" s="2">
        <v>45723</v>
      </c>
      <c r="C3" s="7"/>
      <c r="D3" t="b">
        <f>AND(B3&lt;G3, B3&gt;H3, Table1345[[#This Row],[CV]]&lt;15)</f>
        <v>0</v>
      </c>
      <c r="E3" s="4">
        <f t="shared" ref="E3:E11" si="1">AVERAGE(M:M)</f>
        <v>620665.0882352941</v>
      </c>
      <c r="F3" s="4">
        <f t="shared" si="0"/>
        <v>116828.82905717552</v>
      </c>
      <c r="G3" s="4">
        <f>Table1345[[#This Row],[Established Average]]+2*Table1345[[#This Row],[SD]]</f>
        <v>854322.74634964508</v>
      </c>
      <c r="H3" s="4">
        <f>Table1345[[#This Row],[Established Average]]-2*Table1345[[#This Row],[SD]]</f>
        <v>387007.43012094306</v>
      </c>
      <c r="I3" s="4">
        <f>Table1345[[#This Row],[Established Average]]+3*Table1345[[#This Row],[SD]]</f>
        <v>971151.57540682063</v>
      </c>
      <c r="J3" s="4">
        <f>Table1345[[#This Row],[Established Average]]-3*Table1345[[#This Row],[SD]]</f>
        <v>270178.60106376756</v>
      </c>
      <c r="M3" s="8">
        <v>680198</v>
      </c>
      <c r="O3" t="s">
        <v>22</v>
      </c>
    </row>
    <row r="4" spans="1:19" x14ac:dyDescent="0.2">
      <c r="A4" s="2">
        <v>45724</v>
      </c>
      <c r="C4" s="7"/>
      <c r="D4" t="b">
        <f>AND(B4&lt;G4, B4&gt;H4, Table1345[[#This Row],[CV]]&lt;15)</f>
        <v>0</v>
      </c>
      <c r="E4" s="4">
        <f t="shared" si="1"/>
        <v>620665.0882352941</v>
      </c>
      <c r="F4" s="4">
        <f t="shared" si="0"/>
        <v>116828.82905717552</v>
      </c>
      <c r="G4" s="4">
        <f>Table1345[[#This Row],[Established Average]]+2*Table1345[[#This Row],[SD]]</f>
        <v>854322.74634964508</v>
      </c>
      <c r="H4" s="4">
        <f>Table1345[[#This Row],[Established Average]]-2*Table1345[[#This Row],[SD]]</f>
        <v>387007.43012094306</v>
      </c>
      <c r="I4" s="4">
        <f>Table1345[[#This Row],[Established Average]]+3*Table1345[[#This Row],[SD]]</f>
        <v>971151.57540682063</v>
      </c>
      <c r="J4" s="4">
        <f>Table1345[[#This Row],[Established Average]]-3*Table1345[[#This Row],[SD]]</f>
        <v>270178.60106376756</v>
      </c>
      <c r="M4" s="8">
        <v>677969</v>
      </c>
      <c r="O4">
        <f>O2/N2*100</f>
        <v>18.823167481410799</v>
      </c>
    </row>
    <row r="5" spans="1:19" x14ac:dyDescent="0.2">
      <c r="A5" s="2">
        <v>45725</v>
      </c>
      <c r="C5" s="7"/>
      <c r="D5" t="b">
        <f>AND(B5&lt;G5, B5&gt;H5, Table1345[[#This Row],[CV]]&lt;15)</f>
        <v>0</v>
      </c>
      <c r="E5" s="4">
        <f t="shared" si="1"/>
        <v>620665.0882352941</v>
      </c>
      <c r="F5" s="4">
        <f t="shared" si="0"/>
        <v>116828.82905717552</v>
      </c>
      <c r="G5" s="4">
        <f>Table1345[[#This Row],[Established Average]]+2*Table1345[[#This Row],[SD]]</f>
        <v>854322.74634964508</v>
      </c>
      <c r="H5" s="4">
        <f>Table1345[[#This Row],[Established Average]]-2*Table1345[[#This Row],[SD]]</f>
        <v>387007.43012094306</v>
      </c>
      <c r="I5" s="4">
        <f>Table1345[[#This Row],[Established Average]]+3*Table1345[[#This Row],[SD]]</f>
        <v>971151.57540682063</v>
      </c>
      <c r="J5" s="4">
        <f>Table1345[[#This Row],[Established Average]]-3*Table1345[[#This Row],[SD]]</f>
        <v>270178.60106376756</v>
      </c>
      <c r="M5" s="8">
        <v>701962</v>
      </c>
    </row>
    <row r="6" spans="1:19" x14ac:dyDescent="0.2">
      <c r="A6" s="2">
        <v>45726</v>
      </c>
      <c r="C6" s="7"/>
      <c r="D6" t="b">
        <f>AND(B6&lt;G6, B6&gt;H6, Table1345[[#This Row],[CV]]&lt;15)</f>
        <v>0</v>
      </c>
      <c r="E6" s="4">
        <f t="shared" si="1"/>
        <v>620665.0882352941</v>
      </c>
      <c r="F6" s="4">
        <f t="shared" si="0"/>
        <v>116828.82905717552</v>
      </c>
      <c r="G6" s="4">
        <f>Table1345[[#This Row],[Established Average]]+2*Table1345[[#This Row],[SD]]</f>
        <v>854322.74634964508</v>
      </c>
      <c r="H6" s="4">
        <f>Table1345[[#This Row],[Established Average]]-2*Table1345[[#This Row],[SD]]</f>
        <v>387007.43012094306</v>
      </c>
      <c r="I6" s="4">
        <f>Table1345[[#This Row],[Established Average]]+3*Table1345[[#This Row],[SD]]</f>
        <v>971151.57540682063</v>
      </c>
      <c r="J6" s="4">
        <f>Table1345[[#This Row],[Established Average]]-3*Table1345[[#This Row],[SD]]</f>
        <v>270178.60106376756</v>
      </c>
      <c r="M6" s="8">
        <v>664396</v>
      </c>
    </row>
    <row r="7" spans="1:19" x14ac:dyDescent="0.2">
      <c r="A7" s="2">
        <v>45727</v>
      </c>
      <c r="C7" s="7"/>
      <c r="D7" t="b">
        <f>AND(B7&lt;G7, B7&gt;H7, Table1345[[#This Row],[CV]]&lt;15)</f>
        <v>0</v>
      </c>
      <c r="E7" s="4">
        <f t="shared" si="1"/>
        <v>620665.0882352941</v>
      </c>
      <c r="F7" s="4">
        <f t="shared" si="0"/>
        <v>116828.82905717552</v>
      </c>
      <c r="G7" s="4">
        <f>Table1345[[#This Row],[Established Average]]+2*Table1345[[#This Row],[SD]]</f>
        <v>854322.74634964508</v>
      </c>
      <c r="H7" s="4">
        <f>Table1345[[#This Row],[Established Average]]-2*Table1345[[#This Row],[SD]]</f>
        <v>387007.43012094306</v>
      </c>
      <c r="I7" s="4">
        <f>Table1345[[#This Row],[Established Average]]+3*Table1345[[#This Row],[SD]]</f>
        <v>971151.57540682063</v>
      </c>
      <c r="J7" s="4">
        <f>Table1345[[#This Row],[Established Average]]-3*Table1345[[#This Row],[SD]]</f>
        <v>270178.60106376756</v>
      </c>
      <c r="M7" s="8">
        <v>669920</v>
      </c>
    </row>
    <row r="8" spans="1:19" x14ac:dyDescent="0.2">
      <c r="A8" s="2">
        <v>45728</v>
      </c>
      <c r="C8" s="7"/>
      <c r="D8" t="b">
        <f>AND(B8&lt;G8, B8&gt;H8, Table1345[[#This Row],[CV]]&lt;15)</f>
        <v>0</v>
      </c>
      <c r="E8" s="4">
        <f t="shared" si="1"/>
        <v>620665.0882352941</v>
      </c>
      <c r="F8" s="4">
        <f t="shared" si="0"/>
        <v>116828.82905717552</v>
      </c>
      <c r="G8" s="4">
        <f>Table1345[[#This Row],[Established Average]]+2*Table1345[[#This Row],[SD]]</f>
        <v>854322.74634964508</v>
      </c>
      <c r="H8" s="4">
        <f>Table1345[[#This Row],[Established Average]]-2*Table1345[[#This Row],[SD]]</f>
        <v>387007.43012094306</v>
      </c>
      <c r="I8" s="4">
        <f>Table1345[[#This Row],[Established Average]]+3*Table1345[[#This Row],[SD]]</f>
        <v>971151.57540682063</v>
      </c>
      <c r="J8" s="4">
        <f>Table1345[[#This Row],[Established Average]]-3*Table1345[[#This Row],[SD]]</f>
        <v>270178.60106376756</v>
      </c>
      <c r="M8" s="8">
        <v>713915</v>
      </c>
    </row>
    <row r="9" spans="1:19" x14ac:dyDescent="0.2">
      <c r="A9" s="2">
        <v>45729</v>
      </c>
      <c r="C9" s="7"/>
      <c r="D9" t="b">
        <f>AND(B9&lt;G9, B9&gt;H9, Table1345[[#This Row],[CV]]&lt;15)</f>
        <v>0</v>
      </c>
      <c r="E9" s="4">
        <f t="shared" si="1"/>
        <v>620665.0882352941</v>
      </c>
      <c r="F9" s="4">
        <f t="shared" si="0"/>
        <v>116828.82905717552</v>
      </c>
      <c r="G9" s="4">
        <f>Table1345[[#This Row],[Established Average]]+2*Table1345[[#This Row],[SD]]</f>
        <v>854322.74634964508</v>
      </c>
      <c r="H9" s="4">
        <f>Table1345[[#This Row],[Established Average]]-2*Table1345[[#This Row],[SD]]</f>
        <v>387007.43012094306</v>
      </c>
      <c r="I9" s="4">
        <f>Table1345[[#This Row],[Established Average]]+3*Table1345[[#This Row],[SD]]</f>
        <v>971151.57540682063</v>
      </c>
      <c r="J9" s="4">
        <f>Table1345[[#This Row],[Established Average]]-3*Table1345[[#This Row],[SD]]</f>
        <v>270178.60106376756</v>
      </c>
      <c r="M9" s="8">
        <v>741282</v>
      </c>
    </row>
    <row r="10" spans="1:19" x14ac:dyDescent="0.2">
      <c r="A10" s="2"/>
      <c r="C10" s="7"/>
      <c r="D10" t="b">
        <f>AND(B10&lt;G10, B10&gt;H10, Table1345[[#This Row],[CV]]&lt;15)</f>
        <v>0</v>
      </c>
      <c r="E10" s="4">
        <f t="shared" si="1"/>
        <v>620665.0882352941</v>
      </c>
      <c r="F10" s="4">
        <f t="shared" si="0"/>
        <v>116828.82905717552</v>
      </c>
      <c r="G10" s="4">
        <f>Table1345[[#This Row],[Established Average]]+2*Table1345[[#This Row],[SD]]</f>
        <v>854322.74634964508</v>
      </c>
      <c r="H10" s="4">
        <f>Table1345[[#This Row],[Established Average]]-2*Table1345[[#This Row],[SD]]</f>
        <v>387007.43012094306</v>
      </c>
      <c r="I10" s="4">
        <f>Table1345[[#This Row],[Established Average]]+3*Table1345[[#This Row],[SD]]</f>
        <v>971151.57540682063</v>
      </c>
      <c r="J10" s="4">
        <f>Table1345[[#This Row],[Established Average]]-3*Table1345[[#This Row],[SD]]</f>
        <v>270178.60106376756</v>
      </c>
      <c r="M10" s="8">
        <v>657004</v>
      </c>
    </row>
    <row r="11" spans="1:19" x14ac:dyDescent="0.2">
      <c r="A11" s="2"/>
      <c r="C11" s="7"/>
      <c r="D11" t="b">
        <f>AND(B11&lt;G11, B11&gt;H11, Table1345[[#This Row],[CV]]&lt;15)</f>
        <v>0</v>
      </c>
      <c r="E11" s="4">
        <f t="shared" si="1"/>
        <v>620665.0882352941</v>
      </c>
      <c r="F11" s="4">
        <f t="shared" si="0"/>
        <v>116828.82905717552</v>
      </c>
      <c r="G11" s="4">
        <f>Table1345[[#This Row],[Established Average]]+2*Table1345[[#This Row],[SD]]</f>
        <v>854322.74634964508</v>
      </c>
      <c r="H11" s="4">
        <f>Table1345[[#This Row],[Established Average]]-2*Table1345[[#This Row],[SD]]</f>
        <v>387007.43012094306</v>
      </c>
      <c r="I11" s="4">
        <f>Table1345[[#This Row],[Established Average]]+3*Table1345[[#This Row],[SD]]</f>
        <v>971151.57540682063</v>
      </c>
      <c r="J11" s="4">
        <f>Table1345[[#This Row],[Established Average]]-3*Table1345[[#This Row],[SD]]</f>
        <v>270178.60106376756</v>
      </c>
      <c r="M11" s="8">
        <v>700801</v>
      </c>
    </row>
    <row r="12" spans="1:19" x14ac:dyDescent="0.2">
      <c r="M12" s="8">
        <v>675811</v>
      </c>
    </row>
    <row r="13" spans="1:19" x14ac:dyDescent="0.2">
      <c r="M13" s="8">
        <v>437114</v>
      </c>
    </row>
    <row r="14" spans="1:19" x14ac:dyDescent="0.2">
      <c r="M14" s="8">
        <v>430226</v>
      </c>
    </row>
    <row r="15" spans="1:19" x14ac:dyDescent="0.2">
      <c r="M15" s="8">
        <v>428308</v>
      </c>
    </row>
    <row r="16" spans="1:19" x14ac:dyDescent="0.2">
      <c r="M16" s="8">
        <v>461322</v>
      </c>
    </row>
    <row r="17" spans="13:13" x14ac:dyDescent="0.2">
      <c r="M17" s="8">
        <v>495565</v>
      </c>
    </row>
    <row r="18" spans="13:13" x14ac:dyDescent="0.2">
      <c r="M18" s="8">
        <v>423842</v>
      </c>
    </row>
    <row r="19" spans="13:13" x14ac:dyDescent="0.2">
      <c r="M19" s="8">
        <v>476560</v>
      </c>
    </row>
    <row r="20" spans="13:13" x14ac:dyDescent="0.2">
      <c r="M20" s="8">
        <v>399115</v>
      </c>
    </row>
    <row r="21" spans="13:13" x14ac:dyDescent="0.2">
      <c r="M21" s="8">
        <v>618944</v>
      </c>
    </row>
    <row r="22" spans="13:13" x14ac:dyDescent="0.2">
      <c r="M22" s="8">
        <v>592142</v>
      </c>
    </row>
    <row r="23" spans="13:13" x14ac:dyDescent="0.2">
      <c r="M23" s="8">
        <v>569712</v>
      </c>
    </row>
    <row r="24" spans="13:13" x14ac:dyDescent="0.2">
      <c r="M24" s="8">
        <v>548824</v>
      </c>
    </row>
    <row r="25" spans="13:13" x14ac:dyDescent="0.2">
      <c r="M25" s="8">
        <v>730182</v>
      </c>
    </row>
    <row r="26" spans="13:13" x14ac:dyDescent="0.2">
      <c r="M26" s="8">
        <v>589784</v>
      </c>
    </row>
    <row r="27" spans="13:13" x14ac:dyDescent="0.2">
      <c r="M27" s="8">
        <v>822823</v>
      </c>
    </row>
    <row r="28" spans="13:13" x14ac:dyDescent="0.2">
      <c r="M28" s="8">
        <v>627864</v>
      </c>
    </row>
    <row r="29" spans="13:13" x14ac:dyDescent="0.2">
      <c r="M29" s="8">
        <v>747849</v>
      </c>
    </row>
    <row r="30" spans="13:13" x14ac:dyDescent="0.2">
      <c r="M30" s="8">
        <v>755653</v>
      </c>
    </row>
    <row r="31" spans="13:13" x14ac:dyDescent="0.2">
      <c r="M31" s="8">
        <v>721063</v>
      </c>
    </row>
    <row r="32" spans="13:13" x14ac:dyDescent="0.2">
      <c r="M32" s="8">
        <v>607474</v>
      </c>
    </row>
    <row r="33" spans="13:13" x14ac:dyDescent="0.2">
      <c r="M33" s="8">
        <v>749371</v>
      </c>
    </row>
    <row r="34" spans="13:13" x14ac:dyDescent="0.2">
      <c r="M34" s="8">
        <v>736948</v>
      </c>
    </row>
    <row r="35" spans="13:13" x14ac:dyDescent="0.2">
      <c r="M35" s="8">
        <v>575256</v>
      </c>
    </row>
    <row r="36" spans="13:13" x14ac:dyDescent="0.2">
      <c r="M36" s="8"/>
    </row>
    <row r="37" spans="13:13" x14ac:dyDescent="0.2">
      <c r="M37" s="8"/>
    </row>
    <row r="38" spans="13:13" x14ac:dyDescent="0.2">
      <c r="M38" s="8"/>
    </row>
  </sheetData>
  <conditionalFormatting sqref="D1:D11 I12:I1048576">
    <cfRule type="containsText" dxfId="11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46EF-7CF2-40DF-9E75-6CC23F2D6F66}">
  <dimension ref="A1:S38"/>
  <sheetViews>
    <sheetView topLeftCell="J1" workbookViewId="0">
      <selection activeCell="O2" sqref="O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4" max="14" width="8.6640625" bestFit="1" customWidth="1"/>
    <col min="15" max="15" width="18.1640625" bestFit="1" customWidth="1"/>
    <col min="16" max="16" width="11.5" bestFit="1" customWidth="1"/>
    <col min="17" max="17" width="11.33203125" bestFit="1" customWidth="1"/>
    <col min="18" max="18" width="18.83203125" bestFit="1" customWidth="1"/>
  </cols>
  <sheetData>
    <row r="1" spans="1:19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M1" s="1" t="s">
        <v>19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>
        <v>45722</v>
      </c>
      <c r="B2" s="9">
        <v>464998.7</v>
      </c>
      <c r="C2" s="8">
        <v>9.455273</v>
      </c>
      <c r="D2" t="b">
        <f>AND(B2&lt;G2, B2&gt;H2, Table13456[[#This Row],[CV]]&lt;15)</f>
        <v>0</v>
      </c>
      <c r="E2" s="4">
        <f>AVERAGE(M:M)</f>
        <v>285861.3823529412</v>
      </c>
      <c r="F2" s="4">
        <f t="shared" ref="F2:F11" si="0">_xlfn.STDEV.S(M:M)</f>
        <v>32148.977845115638</v>
      </c>
      <c r="G2" s="4">
        <f>Table13456[[#This Row],[Established Average]]+2*Table13456[[#This Row],[SD]]</f>
        <v>350159.33804317249</v>
      </c>
      <c r="H2" s="4">
        <f>Table13456[[#This Row],[Established Average]]-2*Table13456[[#This Row],[SD]]</f>
        <v>221563.42666270991</v>
      </c>
      <c r="I2" s="4">
        <f>Table13456[[#This Row],[Established Average]]+3*Table13456[[#This Row],[SD]]</f>
        <v>382308.31588828808</v>
      </c>
      <c r="J2" s="4">
        <f>Table13456[[#This Row],[Established Average]]-3*Table13456[[#This Row],[SD]]</f>
        <v>189414.4488175943</v>
      </c>
      <c r="M2" s="8">
        <v>311923</v>
      </c>
      <c r="N2" s="4">
        <f>AVERAGE(M:M)</f>
        <v>285861.3823529412</v>
      </c>
      <c r="O2" s="4">
        <f>_xlfn.STDEV.S(M:M)</f>
        <v>32148.977845115638</v>
      </c>
      <c r="P2" s="4">
        <f>N2+2*O2</f>
        <v>350159.33804317249</v>
      </c>
      <c r="Q2" s="4">
        <f>N2-2*O2</f>
        <v>221563.42666270991</v>
      </c>
      <c r="R2" s="4">
        <f>N2+3*O2</f>
        <v>382308.31588828808</v>
      </c>
      <c r="S2">
        <f>N2-3*O2</f>
        <v>189414.4488175943</v>
      </c>
    </row>
    <row r="3" spans="1:19" x14ac:dyDescent="0.2">
      <c r="A3" s="2">
        <v>45723</v>
      </c>
      <c r="C3" s="7"/>
      <c r="D3" t="b">
        <f>AND(B3&lt;G3, B3&gt;H3, Table13456[[#This Row],[CV]]&lt;15)</f>
        <v>0</v>
      </c>
      <c r="E3" s="4">
        <f t="shared" ref="E3:E11" si="1">AVERAGE(M:M)</f>
        <v>285861.3823529412</v>
      </c>
      <c r="F3" s="4">
        <f t="shared" si="0"/>
        <v>32148.977845115638</v>
      </c>
      <c r="G3" s="4">
        <f>Table13456[[#This Row],[Established Average]]+2*Table13456[[#This Row],[SD]]</f>
        <v>350159.33804317249</v>
      </c>
      <c r="H3" s="4">
        <f>Table13456[[#This Row],[Established Average]]-2*Table13456[[#This Row],[SD]]</f>
        <v>221563.42666270991</v>
      </c>
      <c r="I3" s="4">
        <f>Table13456[[#This Row],[Established Average]]+3*Table13456[[#This Row],[SD]]</f>
        <v>382308.31588828808</v>
      </c>
      <c r="J3" s="4">
        <f>Table13456[[#This Row],[Established Average]]-3*Table13456[[#This Row],[SD]]</f>
        <v>189414.4488175943</v>
      </c>
      <c r="M3" s="8">
        <v>304003</v>
      </c>
      <c r="O3" t="s">
        <v>22</v>
      </c>
    </row>
    <row r="4" spans="1:19" x14ac:dyDescent="0.2">
      <c r="A4" s="2">
        <v>45724</v>
      </c>
      <c r="C4" s="7"/>
      <c r="D4" t="b">
        <f>AND(B4&lt;G4, B4&gt;H4, Table13456[[#This Row],[CV]]&lt;15)</f>
        <v>0</v>
      </c>
      <c r="E4" s="4">
        <f t="shared" si="1"/>
        <v>285861.3823529412</v>
      </c>
      <c r="F4" s="4">
        <f t="shared" si="0"/>
        <v>32148.977845115638</v>
      </c>
      <c r="G4" s="4">
        <f>Table13456[[#This Row],[Established Average]]+2*Table13456[[#This Row],[SD]]</f>
        <v>350159.33804317249</v>
      </c>
      <c r="H4" s="4">
        <f>Table13456[[#This Row],[Established Average]]-2*Table13456[[#This Row],[SD]]</f>
        <v>221563.42666270991</v>
      </c>
      <c r="I4" s="4">
        <f>Table13456[[#This Row],[Established Average]]+3*Table13456[[#This Row],[SD]]</f>
        <v>382308.31588828808</v>
      </c>
      <c r="J4" s="4">
        <f>Table13456[[#This Row],[Established Average]]-3*Table13456[[#This Row],[SD]]</f>
        <v>189414.4488175943</v>
      </c>
      <c r="M4" s="8">
        <v>276342</v>
      </c>
      <c r="O4">
        <f>O2/N2*100</f>
        <v>11.246352193673586</v>
      </c>
    </row>
    <row r="5" spans="1:19" x14ac:dyDescent="0.2">
      <c r="A5" s="2">
        <v>45725</v>
      </c>
      <c r="C5" s="7"/>
      <c r="D5" t="b">
        <f>AND(B5&lt;G5, B5&gt;H5, Table13456[[#This Row],[CV]]&lt;15)</f>
        <v>0</v>
      </c>
      <c r="E5" s="4">
        <f t="shared" si="1"/>
        <v>285861.3823529412</v>
      </c>
      <c r="F5" s="4">
        <f t="shared" si="0"/>
        <v>32148.977845115638</v>
      </c>
      <c r="G5" s="4">
        <f>Table13456[[#This Row],[Established Average]]+2*Table13456[[#This Row],[SD]]</f>
        <v>350159.33804317249</v>
      </c>
      <c r="H5" s="4">
        <f>Table13456[[#This Row],[Established Average]]-2*Table13456[[#This Row],[SD]]</f>
        <v>221563.42666270991</v>
      </c>
      <c r="I5" s="4">
        <f>Table13456[[#This Row],[Established Average]]+3*Table13456[[#This Row],[SD]]</f>
        <v>382308.31588828808</v>
      </c>
      <c r="J5" s="4">
        <f>Table13456[[#This Row],[Established Average]]-3*Table13456[[#This Row],[SD]]</f>
        <v>189414.4488175943</v>
      </c>
      <c r="M5" s="8">
        <v>288163</v>
      </c>
    </row>
    <row r="6" spans="1:19" x14ac:dyDescent="0.2">
      <c r="A6" s="2">
        <v>45726</v>
      </c>
      <c r="C6" s="7"/>
      <c r="D6" t="b">
        <f>AND(B6&lt;G6, B6&gt;H6, Table13456[[#This Row],[CV]]&lt;15)</f>
        <v>0</v>
      </c>
      <c r="E6" s="4">
        <f t="shared" si="1"/>
        <v>285861.3823529412</v>
      </c>
      <c r="F6" s="4">
        <f t="shared" si="0"/>
        <v>32148.977845115638</v>
      </c>
      <c r="G6" s="4">
        <f>Table13456[[#This Row],[Established Average]]+2*Table13456[[#This Row],[SD]]</f>
        <v>350159.33804317249</v>
      </c>
      <c r="H6" s="4">
        <f>Table13456[[#This Row],[Established Average]]-2*Table13456[[#This Row],[SD]]</f>
        <v>221563.42666270991</v>
      </c>
      <c r="I6" s="4">
        <f>Table13456[[#This Row],[Established Average]]+3*Table13456[[#This Row],[SD]]</f>
        <v>382308.31588828808</v>
      </c>
      <c r="J6" s="4">
        <f>Table13456[[#This Row],[Established Average]]-3*Table13456[[#This Row],[SD]]</f>
        <v>189414.4488175943</v>
      </c>
      <c r="M6" s="8">
        <v>297595</v>
      </c>
    </row>
    <row r="7" spans="1:19" x14ac:dyDescent="0.2">
      <c r="A7" s="2">
        <v>45727</v>
      </c>
      <c r="C7" s="7"/>
      <c r="D7" t="b">
        <f>AND(B7&lt;G7, B7&gt;H7, Table13456[[#This Row],[CV]]&lt;15)</f>
        <v>0</v>
      </c>
      <c r="E7" s="4">
        <f t="shared" si="1"/>
        <v>285861.3823529412</v>
      </c>
      <c r="F7" s="4">
        <f t="shared" si="0"/>
        <v>32148.977845115638</v>
      </c>
      <c r="G7" s="4">
        <f>Table13456[[#This Row],[Established Average]]+2*Table13456[[#This Row],[SD]]</f>
        <v>350159.33804317249</v>
      </c>
      <c r="H7" s="4">
        <f>Table13456[[#This Row],[Established Average]]-2*Table13456[[#This Row],[SD]]</f>
        <v>221563.42666270991</v>
      </c>
      <c r="I7" s="4">
        <f>Table13456[[#This Row],[Established Average]]+3*Table13456[[#This Row],[SD]]</f>
        <v>382308.31588828808</v>
      </c>
      <c r="J7" s="4">
        <f>Table13456[[#This Row],[Established Average]]-3*Table13456[[#This Row],[SD]]</f>
        <v>189414.4488175943</v>
      </c>
      <c r="M7" s="8">
        <v>258412</v>
      </c>
    </row>
    <row r="8" spans="1:19" x14ac:dyDescent="0.2">
      <c r="A8" s="2">
        <v>45728</v>
      </c>
      <c r="C8" s="7"/>
      <c r="D8" t="b">
        <f>AND(B8&lt;G8, B8&gt;H8, Table13456[[#This Row],[CV]]&lt;15)</f>
        <v>0</v>
      </c>
      <c r="E8" s="4">
        <f t="shared" si="1"/>
        <v>285861.3823529412</v>
      </c>
      <c r="F8" s="4">
        <f t="shared" si="0"/>
        <v>32148.977845115638</v>
      </c>
      <c r="G8" s="4">
        <f>Table13456[[#This Row],[Established Average]]+2*Table13456[[#This Row],[SD]]</f>
        <v>350159.33804317249</v>
      </c>
      <c r="H8" s="4">
        <f>Table13456[[#This Row],[Established Average]]-2*Table13456[[#This Row],[SD]]</f>
        <v>221563.42666270991</v>
      </c>
      <c r="I8" s="4">
        <f>Table13456[[#This Row],[Established Average]]+3*Table13456[[#This Row],[SD]]</f>
        <v>382308.31588828808</v>
      </c>
      <c r="J8" s="4">
        <f>Table13456[[#This Row],[Established Average]]-3*Table13456[[#This Row],[SD]]</f>
        <v>189414.4488175943</v>
      </c>
      <c r="M8" s="8">
        <v>294629</v>
      </c>
    </row>
    <row r="9" spans="1:19" x14ac:dyDescent="0.2">
      <c r="A9" s="2">
        <v>45729</v>
      </c>
      <c r="C9" s="7"/>
      <c r="D9" t="b">
        <f>AND(B9&lt;G9, B9&gt;H9, Table13456[[#This Row],[CV]]&lt;15)</f>
        <v>0</v>
      </c>
      <c r="E9" s="4">
        <f t="shared" si="1"/>
        <v>285861.3823529412</v>
      </c>
      <c r="F9" s="4">
        <f t="shared" si="0"/>
        <v>32148.977845115638</v>
      </c>
      <c r="G9" s="4">
        <f>Table13456[[#This Row],[Established Average]]+2*Table13456[[#This Row],[SD]]</f>
        <v>350159.33804317249</v>
      </c>
      <c r="H9" s="4">
        <f>Table13456[[#This Row],[Established Average]]-2*Table13456[[#This Row],[SD]]</f>
        <v>221563.42666270991</v>
      </c>
      <c r="I9" s="4">
        <f>Table13456[[#This Row],[Established Average]]+3*Table13456[[#This Row],[SD]]</f>
        <v>382308.31588828808</v>
      </c>
      <c r="J9" s="4">
        <f>Table13456[[#This Row],[Established Average]]-3*Table13456[[#This Row],[SD]]</f>
        <v>189414.4488175943</v>
      </c>
      <c r="M9" s="8">
        <v>306039</v>
      </c>
    </row>
    <row r="10" spans="1:19" x14ac:dyDescent="0.2">
      <c r="A10" s="2"/>
      <c r="C10" s="7"/>
      <c r="D10" t="b">
        <f>AND(B10&lt;G10, B10&gt;H10, Table13456[[#This Row],[CV]]&lt;15)</f>
        <v>0</v>
      </c>
      <c r="E10" s="4">
        <f t="shared" si="1"/>
        <v>285861.3823529412</v>
      </c>
      <c r="F10" s="4">
        <f t="shared" si="0"/>
        <v>32148.977845115638</v>
      </c>
      <c r="G10" s="4">
        <f>Table13456[[#This Row],[Established Average]]+2*Table13456[[#This Row],[SD]]</f>
        <v>350159.33804317249</v>
      </c>
      <c r="H10" s="4">
        <f>Table13456[[#This Row],[Established Average]]-2*Table13456[[#This Row],[SD]]</f>
        <v>221563.42666270991</v>
      </c>
      <c r="I10" s="4">
        <f>Table13456[[#This Row],[Established Average]]+3*Table13456[[#This Row],[SD]]</f>
        <v>382308.31588828808</v>
      </c>
      <c r="J10" s="4">
        <f>Table13456[[#This Row],[Established Average]]-3*Table13456[[#This Row],[SD]]</f>
        <v>189414.4488175943</v>
      </c>
      <c r="M10" s="8">
        <v>282871</v>
      </c>
    </row>
    <row r="11" spans="1:19" x14ac:dyDescent="0.2">
      <c r="A11" s="2"/>
      <c r="C11" s="7"/>
      <c r="D11" t="b">
        <f>AND(B11&lt;G11, B11&gt;H11, Table13456[[#This Row],[CV]]&lt;15)</f>
        <v>0</v>
      </c>
      <c r="E11" s="4">
        <f t="shared" si="1"/>
        <v>285861.3823529412</v>
      </c>
      <c r="F11" s="4">
        <f t="shared" si="0"/>
        <v>32148.977845115638</v>
      </c>
      <c r="G11" s="4">
        <f>Table13456[[#This Row],[Established Average]]+2*Table13456[[#This Row],[SD]]</f>
        <v>350159.33804317249</v>
      </c>
      <c r="H11" s="4">
        <f>Table13456[[#This Row],[Established Average]]-2*Table13456[[#This Row],[SD]]</f>
        <v>221563.42666270991</v>
      </c>
      <c r="I11" s="4">
        <f>Table13456[[#This Row],[Established Average]]+3*Table13456[[#This Row],[SD]]</f>
        <v>382308.31588828808</v>
      </c>
      <c r="J11" s="4">
        <f>Table13456[[#This Row],[Established Average]]-3*Table13456[[#This Row],[SD]]</f>
        <v>189414.4488175943</v>
      </c>
      <c r="M11" s="8">
        <v>263174</v>
      </c>
    </row>
    <row r="12" spans="1:19" x14ac:dyDescent="0.2">
      <c r="M12" s="8">
        <v>303354</v>
      </c>
    </row>
    <row r="13" spans="1:19" x14ac:dyDescent="0.2">
      <c r="M13" s="8">
        <v>300887</v>
      </c>
    </row>
    <row r="14" spans="1:19" x14ac:dyDescent="0.2">
      <c r="M14" s="8">
        <v>273769</v>
      </c>
    </row>
    <row r="15" spans="1:19" x14ac:dyDescent="0.2">
      <c r="M15" s="8">
        <v>313562</v>
      </c>
    </row>
    <row r="16" spans="1:19" x14ac:dyDescent="0.2">
      <c r="M16" s="8">
        <v>295090</v>
      </c>
    </row>
    <row r="17" spans="13:13" x14ac:dyDescent="0.2">
      <c r="M17" s="8">
        <v>304508</v>
      </c>
    </row>
    <row r="18" spans="13:13" x14ac:dyDescent="0.2">
      <c r="M18" s="8">
        <v>330849</v>
      </c>
    </row>
    <row r="19" spans="13:13" x14ac:dyDescent="0.2">
      <c r="M19" s="8">
        <v>262837</v>
      </c>
    </row>
    <row r="20" spans="13:13" x14ac:dyDescent="0.2">
      <c r="M20" s="8">
        <v>254225</v>
      </c>
    </row>
    <row r="21" spans="13:13" x14ac:dyDescent="0.2">
      <c r="M21" s="8">
        <v>309178</v>
      </c>
    </row>
    <row r="22" spans="13:13" x14ac:dyDescent="0.2">
      <c r="M22" s="8">
        <v>281572</v>
      </c>
    </row>
    <row r="23" spans="13:13" x14ac:dyDescent="0.2">
      <c r="M23" s="8">
        <v>288900</v>
      </c>
    </row>
    <row r="24" spans="13:13" x14ac:dyDescent="0.2">
      <c r="M24" s="8">
        <v>254968</v>
      </c>
    </row>
    <row r="25" spans="13:13" x14ac:dyDescent="0.2">
      <c r="M25" s="8">
        <v>251115</v>
      </c>
    </row>
    <row r="26" spans="13:13" x14ac:dyDescent="0.2">
      <c r="M26" s="8">
        <v>215564</v>
      </c>
    </row>
    <row r="27" spans="13:13" x14ac:dyDescent="0.2">
      <c r="M27" s="8">
        <v>272266</v>
      </c>
    </row>
    <row r="28" spans="13:13" x14ac:dyDescent="0.2">
      <c r="M28" s="8">
        <v>263227</v>
      </c>
    </row>
    <row r="29" spans="13:13" x14ac:dyDescent="0.2">
      <c r="M29" s="8">
        <v>273615</v>
      </c>
    </row>
    <row r="30" spans="13:13" x14ac:dyDescent="0.2">
      <c r="M30" s="8">
        <v>282217</v>
      </c>
    </row>
    <row r="31" spans="13:13" x14ac:dyDescent="0.2">
      <c r="M31" s="8">
        <v>199147</v>
      </c>
    </row>
    <row r="32" spans="13:13" x14ac:dyDescent="0.2">
      <c r="M32" s="8">
        <v>312511</v>
      </c>
    </row>
    <row r="33" spans="13:13" x14ac:dyDescent="0.2">
      <c r="M33" s="8">
        <v>347637</v>
      </c>
    </row>
    <row r="34" spans="13:13" x14ac:dyDescent="0.2">
      <c r="M34" s="8">
        <v>357177</v>
      </c>
    </row>
    <row r="35" spans="13:13" x14ac:dyDescent="0.2">
      <c r="M35" s="8">
        <v>287961</v>
      </c>
    </row>
    <row r="36" spans="13:13" x14ac:dyDescent="0.2">
      <c r="M36" s="8"/>
    </row>
    <row r="37" spans="13:13" x14ac:dyDescent="0.2">
      <c r="M37" s="8"/>
    </row>
    <row r="38" spans="13:13" x14ac:dyDescent="0.2">
      <c r="M38" s="8"/>
    </row>
  </sheetData>
  <conditionalFormatting sqref="D1:D11 I12:I1048576">
    <cfRule type="containsText" dxfId="10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BECE-7D99-4AE9-80EA-517874197C85}">
  <dimension ref="A1:S38"/>
  <sheetViews>
    <sheetView topLeftCell="L1" workbookViewId="0">
      <selection activeCell="O2" sqref="O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4" max="14" width="9.83203125" bestFit="1" customWidth="1"/>
    <col min="15" max="15" width="18.1640625" bestFit="1" customWidth="1"/>
    <col min="16" max="16" width="11.5" bestFit="1" customWidth="1"/>
    <col min="17" max="17" width="11.33203125" bestFit="1" customWidth="1"/>
    <col min="18" max="18" width="18.83203125" bestFit="1" customWidth="1"/>
  </cols>
  <sheetData>
    <row r="1" spans="1:19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M1" s="1" t="s">
        <v>19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>
        <v>45722</v>
      </c>
      <c r="B2" s="8">
        <v>5110988</v>
      </c>
      <c r="C2" s="8">
        <v>13.449920000000001</v>
      </c>
      <c r="D2" t="b">
        <f>AND(B2&lt;G2, B2&gt;H2, Table134567[[#This Row],[CV]]&lt;15)</f>
        <v>0</v>
      </c>
      <c r="E2" s="4">
        <f>AVERAGE(M:M)</f>
        <v>9805975.4705882352</v>
      </c>
      <c r="F2" s="4">
        <f t="shared" ref="F2:F11" si="0">_xlfn.STDEV.S(M:M)</f>
        <v>1188447.1890708646</v>
      </c>
      <c r="G2" s="4">
        <f>Table134567[[#This Row],[Established Average]]+2*Table134567[[#This Row],[SD]]</f>
        <v>12182869.848729964</v>
      </c>
      <c r="H2" s="4">
        <f>Table134567[[#This Row],[Established Average]]-2*Table134567[[#This Row],[SD]]</f>
        <v>7429081.092446506</v>
      </c>
      <c r="I2" s="4">
        <f>Table134567[[#This Row],[Established Average]]+3*Table134567[[#This Row],[SD]]</f>
        <v>13371317.03780083</v>
      </c>
      <c r="J2" s="4">
        <f>Table134567[[#This Row],[Established Average]]-3*Table134567[[#This Row],[SD]]</f>
        <v>6240633.9033756414</v>
      </c>
      <c r="M2" s="8">
        <v>10771742</v>
      </c>
      <c r="N2" s="4">
        <f>AVERAGE(M:M)</f>
        <v>9805975.4705882352</v>
      </c>
      <c r="O2" s="4">
        <f>_xlfn.STDEV.S(M:M)</f>
        <v>1188447.1890708646</v>
      </c>
      <c r="P2" s="4">
        <f>N2+2*O2</f>
        <v>12182869.848729964</v>
      </c>
      <c r="Q2" s="4">
        <f>N2-2*O2</f>
        <v>7429081.092446506</v>
      </c>
      <c r="R2" s="4">
        <f>N2+3*O2</f>
        <v>13371317.03780083</v>
      </c>
      <c r="S2">
        <f>N2-3*O2</f>
        <v>6240633.9033756414</v>
      </c>
    </row>
    <row r="3" spans="1:19" x14ac:dyDescent="0.2">
      <c r="A3" s="2">
        <v>45723</v>
      </c>
      <c r="C3" s="7"/>
      <c r="D3" t="b">
        <f>AND(B3&lt;G3, B3&gt;H3, Table134567[[#This Row],[CV]]&lt;15)</f>
        <v>0</v>
      </c>
      <c r="E3" s="4">
        <f t="shared" ref="E3:E11" si="1">AVERAGE(M:M)</f>
        <v>9805975.4705882352</v>
      </c>
      <c r="F3" s="4">
        <f t="shared" si="0"/>
        <v>1188447.1890708646</v>
      </c>
      <c r="G3" s="4">
        <f>Table134567[[#This Row],[Established Average]]+2*Table134567[[#This Row],[SD]]</f>
        <v>12182869.848729964</v>
      </c>
      <c r="H3" s="4">
        <f>Table134567[[#This Row],[Established Average]]-2*Table134567[[#This Row],[SD]]</f>
        <v>7429081.092446506</v>
      </c>
      <c r="I3" s="4">
        <f>Table134567[[#This Row],[Established Average]]+3*Table134567[[#This Row],[SD]]</f>
        <v>13371317.03780083</v>
      </c>
      <c r="J3" s="4">
        <f>Table134567[[#This Row],[Established Average]]-3*Table134567[[#This Row],[SD]]</f>
        <v>6240633.9033756414</v>
      </c>
      <c r="M3" s="8">
        <v>10926228</v>
      </c>
      <c r="O3" t="s">
        <v>22</v>
      </c>
    </row>
    <row r="4" spans="1:19" x14ac:dyDescent="0.2">
      <c r="A4" s="2">
        <v>45724</v>
      </c>
      <c r="C4" s="7"/>
      <c r="D4" t="b">
        <f>AND(B4&lt;G4, B4&gt;H4, Table134567[[#This Row],[CV]]&lt;15)</f>
        <v>0</v>
      </c>
      <c r="E4" s="4">
        <f t="shared" si="1"/>
        <v>9805975.4705882352</v>
      </c>
      <c r="F4" s="4">
        <f t="shared" si="0"/>
        <v>1188447.1890708646</v>
      </c>
      <c r="G4" s="4">
        <f>Table134567[[#This Row],[Established Average]]+2*Table134567[[#This Row],[SD]]</f>
        <v>12182869.848729964</v>
      </c>
      <c r="H4" s="4">
        <f>Table134567[[#This Row],[Established Average]]-2*Table134567[[#This Row],[SD]]</f>
        <v>7429081.092446506</v>
      </c>
      <c r="I4" s="4">
        <f>Table134567[[#This Row],[Established Average]]+3*Table134567[[#This Row],[SD]]</f>
        <v>13371317.03780083</v>
      </c>
      <c r="J4" s="4">
        <f>Table134567[[#This Row],[Established Average]]-3*Table134567[[#This Row],[SD]]</f>
        <v>6240633.9033756414</v>
      </c>
      <c r="M4" s="8">
        <v>10776604</v>
      </c>
      <c r="O4">
        <f>O2/N2*100</f>
        <v>12.119622291891913</v>
      </c>
    </row>
    <row r="5" spans="1:19" x14ac:dyDescent="0.2">
      <c r="A5" s="2">
        <v>45725</v>
      </c>
      <c r="C5" s="7"/>
      <c r="D5" t="b">
        <f>AND(B5&lt;G5, B5&gt;H5, Table134567[[#This Row],[CV]]&lt;15)</f>
        <v>0</v>
      </c>
      <c r="E5" s="4">
        <f t="shared" si="1"/>
        <v>9805975.4705882352</v>
      </c>
      <c r="F5" s="4">
        <f t="shared" si="0"/>
        <v>1188447.1890708646</v>
      </c>
      <c r="G5" s="4">
        <f>Table134567[[#This Row],[Established Average]]+2*Table134567[[#This Row],[SD]]</f>
        <v>12182869.848729964</v>
      </c>
      <c r="H5" s="4">
        <f>Table134567[[#This Row],[Established Average]]-2*Table134567[[#This Row],[SD]]</f>
        <v>7429081.092446506</v>
      </c>
      <c r="I5" s="4">
        <f>Table134567[[#This Row],[Established Average]]+3*Table134567[[#This Row],[SD]]</f>
        <v>13371317.03780083</v>
      </c>
      <c r="J5" s="4">
        <f>Table134567[[#This Row],[Established Average]]-3*Table134567[[#This Row],[SD]]</f>
        <v>6240633.9033756414</v>
      </c>
      <c r="M5" s="8">
        <v>10516256</v>
      </c>
    </row>
    <row r="6" spans="1:19" x14ac:dyDescent="0.2">
      <c r="A6" s="2">
        <v>45726</v>
      </c>
      <c r="C6" s="7"/>
      <c r="D6" t="b">
        <f>AND(B6&lt;G6, B6&gt;H6, Table134567[[#This Row],[CV]]&lt;15)</f>
        <v>0</v>
      </c>
      <c r="E6" s="4">
        <f t="shared" si="1"/>
        <v>9805975.4705882352</v>
      </c>
      <c r="F6" s="4">
        <f t="shared" si="0"/>
        <v>1188447.1890708646</v>
      </c>
      <c r="G6" s="4">
        <f>Table134567[[#This Row],[Established Average]]+2*Table134567[[#This Row],[SD]]</f>
        <v>12182869.848729964</v>
      </c>
      <c r="H6" s="4">
        <f>Table134567[[#This Row],[Established Average]]-2*Table134567[[#This Row],[SD]]</f>
        <v>7429081.092446506</v>
      </c>
      <c r="I6" s="4">
        <f>Table134567[[#This Row],[Established Average]]+3*Table134567[[#This Row],[SD]]</f>
        <v>13371317.03780083</v>
      </c>
      <c r="J6" s="4">
        <f>Table134567[[#This Row],[Established Average]]-3*Table134567[[#This Row],[SD]]</f>
        <v>6240633.9033756414</v>
      </c>
      <c r="M6" s="8">
        <v>9560006</v>
      </c>
    </row>
    <row r="7" spans="1:19" x14ac:dyDescent="0.2">
      <c r="A7" s="2">
        <v>45727</v>
      </c>
      <c r="C7" s="7"/>
      <c r="D7" t="b">
        <f>AND(B7&lt;G7, B7&gt;H7, Table134567[[#This Row],[CV]]&lt;15)</f>
        <v>0</v>
      </c>
      <c r="E7" s="4">
        <f t="shared" si="1"/>
        <v>9805975.4705882352</v>
      </c>
      <c r="F7" s="4">
        <f t="shared" si="0"/>
        <v>1188447.1890708646</v>
      </c>
      <c r="G7" s="4">
        <f>Table134567[[#This Row],[Established Average]]+2*Table134567[[#This Row],[SD]]</f>
        <v>12182869.848729964</v>
      </c>
      <c r="H7" s="4">
        <f>Table134567[[#This Row],[Established Average]]-2*Table134567[[#This Row],[SD]]</f>
        <v>7429081.092446506</v>
      </c>
      <c r="I7" s="4">
        <f>Table134567[[#This Row],[Established Average]]+3*Table134567[[#This Row],[SD]]</f>
        <v>13371317.03780083</v>
      </c>
      <c r="J7" s="4">
        <f>Table134567[[#This Row],[Established Average]]-3*Table134567[[#This Row],[SD]]</f>
        <v>6240633.9033756414</v>
      </c>
      <c r="M7" s="8">
        <v>10094160</v>
      </c>
    </row>
    <row r="8" spans="1:19" x14ac:dyDescent="0.2">
      <c r="A8" s="2">
        <v>45728</v>
      </c>
      <c r="C8" s="7"/>
      <c r="D8" t="b">
        <f>AND(B8&lt;G8, B8&gt;H8, Table134567[[#This Row],[CV]]&lt;15)</f>
        <v>0</v>
      </c>
      <c r="E8" s="4">
        <f t="shared" si="1"/>
        <v>9805975.4705882352</v>
      </c>
      <c r="F8" s="4">
        <f t="shared" si="0"/>
        <v>1188447.1890708646</v>
      </c>
      <c r="G8" s="4">
        <f>Table134567[[#This Row],[Established Average]]+2*Table134567[[#This Row],[SD]]</f>
        <v>12182869.848729964</v>
      </c>
      <c r="H8" s="4">
        <f>Table134567[[#This Row],[Established Average]]-2*Table134567[[#This Row],[SD]]</f>
        <v>7429081.092446506</v>
      </c>
      <c r="I8" s="4">
        <f>Table134567[[#This Row],[Established Average]]+3*Table134567[[#This Row],[SD]]</f>
        <v>13371317.03780083</v>
      </c>
      <c r="J8" s="4">
        <f>Table134567[[#This Row],[Established Average]]-3*Table134567[[#This Row],[SD]]</f>
        <v>6240633.9033756414</v>
      </c>
      <c r="M8" s="8">
        <v>11093204</v>
      </c>
    </row>
    <row r="9" spans="1:19" x14ac:dyDescent="0.2">
      <c r="A9" s="2">
        <v>45729</v>
      </c>
      <c r="C9" s="7"/>
      <c r="D9" t="b">
        <f>AND(B9&lt;G9, B9&gt;H9, Table134567[[#This Row],[CV]]&lt;15)</f>
        <v>0</v>
      </c>
      <c r="E9" s="4">
        <f t="shared" si="1"/>
        <v>9805975.4705882352</v>
      </c>
      <c r="F9" s="4">
        <f t="shared" si="0"/>
        <v>1188447.1890708646</v>
      </c>
      <c r="G9" s="4">
        <f>Table134567[[#This Row],[Established Average]]+2*Table134567[[#This Row],[SD]]</f>
        <v>12182869.848729964</v>
      </c>
      <c r="H9" s="4">
        <f>Table134567[[#This Row],[Established Average]]-2*Table134567[[#This Row],[SD]]</f>
        <v>7429081.092446506</v>
      </c>
      <c r="I9" s="4">
        <f>Table134567[[#This Row],[Established Average]]+3*Table134567[[#This Row],[SD]]</f>
        <v>13371317.03780083</v>
      </c>
      <c r="J9" s="4">
        <f>Table134567[[#This Row],[Established Average]]-3*Table134567[[#This Row],[SD]]</f>
        <v>6240633.9033756414</v>
      </c>
      <c r="M9" s="8">
        <v>9536536</v>
      </c>
    </row>
    <row r="10" spans="1:19" x14ac:dyDescent="0.2">
      <c r="A10" s="2"/>
      <c r="C10" s="7"/>
      <c r="D10" t="b">
        <f>AND(B10&lt;G10, B10&gt;H10, Table134567[[#This Row],[CV]]&lt;15)</f>
        <v>0</v>
      </c>
      <c r="E10" s="4">
        <f t="shared" si="1"/>
        <v>9805975.4705882352</v>
      </c>
      <c r="F10" s="4">
        <f t="shared" si="0"/>
        <v>1188447.1890708646</v>
      </c>
      <c r="G10" s="4">
        <f>Table134567[[#This Row],[Established Average]]+2*Table134567[[#This Row],[SD]]</f>
        <v>12182869.848729964</v>
      </c>
      <c r="H10" s="4">
        <f>Table134567[[#This Row],[Established Average]]-2*Table134567[[#This Row],[SD]]</f>
        <v>7429081.092446506</v>
      </c>
      <c r="I10" s="4">
        <f>Table134567[[#This Row],[Established Average]]+3*Table134567[[#This Row],[SD]]</f>
        <v>13371317.03780083</v>
      </c>
      <c r="J10" s="4">
        <f>Table134567[[#This Row],[Established Average]]-3*Table134567[[#This Row],[SD]]</f>
        <v>6240633.9033756414</v>
      </c>
      <c r="M10" s="8">
        <v>10025148</v>
      </c>
    </row>
    <row r="11" spans="1:19" x14ac:dyDescent="0.2">
      <c r="A11" s="2"/>
      <c r="C11" s="7"/>
      <c r="D11" t="b">
        <f>AND(B11&lt;G11, B11&gt;H11, Table134567[[#This Row],[CV]]&lt;15)</f>
        <v>0</v>
      </c>
      <c r="E11" s="4">
        <f t="shared" si="1"/>
        <v>9805975.4705882352</v>
      </c>
      <c r="F11" s="4">
        <f t="shared" si="0"/>
        <v>1188447.1890708646</v>
      </c>
      <c r="G11" s="4">
        <f>Table134567[[#This Row],[Established Average]]+2*Table134567[[#This Row],[SD]]</f>
        <v>12182869.848729964</v>
      </c>
      <c r="H11" s="4">
        <f>Table134567[[#This Row],[Established Average]]-2*Table134567[[#This Row],[SD]]</f>
        <v>7429081.092446506</v>
      </c>
      <c r="I11" s="4">
        <f>Table134567[[#This Row],[Established Average]]+3*Table134567[[#This Row],[SD]]</f>
        <v>13371317.03780083</v>
      </c>
      <c r="J11" s="4">
        <f>Table134567[[#This Row],[Established Average]]-3*Table134567[[#This Row],[SD]]</f>
        <v>6240633.9033756414</v>
      </c>
      <c r="M11" s="8">
        <v>8534672</v>
      </c>
    </row>
    <row r="12" spans="1:19" x14ac:dyDescent="0.2">
      <c r="M12" s="8">
        <v>9893123</v>
      </c>
    </row>
    <row r="13" spans="1:19" x14ac:dyDescent="0.2">
      <c r="M13" s="8">
        <v>11749085</v>
      </c>
    </row>
    <row r="14" spans="1:19" x14ac:dyDescent="0.2">
      <c r="M14" s="8">
        <v>12201232</v>
      </c>
    </row>
    <row r="15" spans="1:19" x14ac:dyDescent="0.2">
      <c r="M15" s="8">
        <v>10994103</v>
      </c>
    </row>
    <row r="16" spans="1:19" x14ac:dyDescent="0.2">
      <c r="M16" s="8">
        <v>11507625</v>
      </c>
    </row>
    <row r="17" spans="13:13" x14ac:dyDescent="0.2">
      <c r="M17" s="8">
        <v>10356251</v>
      </c>
    </row>
    <row r="18" spans="13:13" x14ac:dyDescent="0.2">
      <c r="M18" s="8">
        <v>10418922</v>
      </c>
    </row>
    <row r="19" spans="13:13" x14ac:dyDescent="0.2">
      <c r="M19" s="8">
        <v>10019513</v>
      </c>
    </row>
    <row r="20" spans="13:13" x14ac:dyDescent="0.2">
      <c r="M20" s="8">
        <v>10058243</v>
      </c>
    </row>
    <row r="21" spans="13:13" x14ac:dyDescent="0.2">
      <c r="M21" s="8">
        <v>10708986</v>
      </c>
    </row>
    <row r="22" spans="13:13" x14ac:dyDescent="0.2">
      <c r="M22" s="8">
        <v>9609124</v>
      </c>
    </row>
    <row r="23" spans="13:13" x14ac:dyDescent="0.2">
      <c r="M23" s="8">
        <v>9663731</v>
      </c>
    </row>
    <row r="24" spans="13:13" x14ac:dyDescent="0.2">
      <c r="M24" s="8">
        <v>8456238</v>
      </c>
    </row>
    <row r="25" spans="13:13" x14ac:dyDescent="0.2">
      <c r="M25" s="8">
        <v>7971836</v>
      </c>
    </row>
    <row r="26" spans="13:13" x14ac:dyDescent="0.2">
      <c r="M26" s="8">
        <v>8456084</v>
      </c>
    </row>
    <row r="27" spans="13:13" x14ac:dyDescent="0.2">
      <c r="M27" s="8">
        <v>8365794</v>
      </c>
    </row>
    <row r="28" spans="13:13" x14ac:dyDescent="0.2">
      <c r="M28" s="8">
        <v>7869677</v>
      </c>
    </row>
    <row r="29" spans="13:13" x14ac:dyDescent="0.2">
      <c r="M29" s="8">
        <v>8821157</v>
      </c>
    </row>
    <row r="30" spans="13:13" x14ac:dyDescent="0.2">
      <c r="M30" s="8">
        <v>7972158</v>
      </c>
    </row>
    <row r="31" spans="13:13" x14ac:dyDescent="0.2">
      <c r="M31" s="8">
        <v>7375939</v>
      </c>
    </row>
    <row r="32" spans="13:13" x14ac:dyDescent="0.2">
      <c r="M32" s="8">
        <v>9204879</v>
      </c>
    </row>
    <row r="33" spans="13:13" x14ac:dyDescent="0.2">
      <c r="M33" s="8">
        <v>9438165</v>
      </c>
    </row>
    <row r="34" spans="13:13" x14ac:dyDescent="0.2">
      <c r="M34" s="8">
        <v>10340464</v>
      </c>
    </row>
    <row r="35" spans="13:13" x14ac:dyDescent="0.2">
      <c r="M35" s="8">
        <v>10116281</v>
      </c>
    </row>
    <row r="36" spans="13:13" x14ac:dyDescent="0.2">
      <c r="M36" s="8"/>
    </row>
    <row r="37" spans="13:13" x14ac:dyDescent="0.2">
      <c r="M37" s="8"/>
    </row>
    <row r="38" spans="13:13" x14ac:dyDescent="0.2">
      <c r="M38" s="8"/>
    </row>
  </sheetData>
  <conditionalFormatting sqref="D1:D11 I12:I1048576">
    <cfRule type="containsText" dxfId="9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21CC-1342-4EE8-A6BD-8AA892A17553}">
  <dimension ref="A1:S38"/>
  <sheetViews>
    <sheetView topLeftCell="J1" workbookViewId="0">
      <selection activeCell="O2" sqref="O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4" max="14" width="9.83203125" bestFit="1" customWidth="1"/>
    <col min="15" max="15" width="18.1640625" bestFit="1" customWidth="1"/>
    <col min="16" max="16" width="11.5" bestFit="1" customWidth="1"/>
    <col min="17" max="17" width="11.33203125" bestFit="1" customWidth="1"/>
    <col min="18" max="18" width="18.83203125" bestFit="1" customWidth="1"/>
  </cols>
  <sheetData>
    <row r="1" spans="1:19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M1" s="1" t="s">
        <v>19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>
        <v>45722</v>
      </c>
      <c r="B2">
        <v>803014</v>
      </c>
      <c r="C2" s="7">
        <v>4.5712578280000002</v>
      </c>
      <c r="D2" t="b">
        <f>AND(B2&lt;G2, B2&gt;H2, Table1345678[[#This Row],[CV]]&lt;15)</f>
        <v>1</v>
      </c>
      <c r="E2" s="4">
        <f>AVERAGE(M:M)</f>
        <v>1280724.75</v>
      </c>
      <c r="F2" s="4">
        <f t="shared" ref="F2:F11" si="0">_xlfn.STDEV.S(M:M)</f>
        <v>316787.51479333144</v>
      </c>
      <c r="G2" s="4">
        <f>Table1345678[[#This Row],[Established Average]]+2*Table1345678[[#This Row],[SD]]</f>
        <v>1914299.779586663</v>
      </c>
      <c r="H2" s="4">
        <f>Table1345678[[#This Row],[Established Average]]-2*Table1345678[[#This Row],[SD]]</f>
        <v>647149.72041333711</v>
      </c>
      <c r="I2" s="4">
        <f>Table1345678[[#This Row],[Established Average]]+3*Table1345678[[#This Row],[SD]]</f>
        <v>2231087.2943799943</v>
      </c>
      <c r="J2" s="4">
        <f>Table1345678[[#This Row],[Established Average]]-3*Table1345678[[#This Row],[SD]]</f>
        <v>330362.20562000573</v>
      </c>
      <c r="M2" s="8">
        <v>1323095</v>
      </c>
      <c r="N2" s="4">
        <f>AVERAGE(M:M)</f>
        <v>1280724.75</v>
      </c>
      <c r="O2" s="4">
        <f>_xlfn.STDEV.S(M:M)</f>
        <v>316787.51479333144</v>
      </c>
      <c r="P2" s="4">
        <f>N2+2*O2</f>
        <v>1914299.779586663</v>
      </c>
      <c r="Q2" s="4">
        <f>N2-2*O2</f>
        <v>647149.72041333711</v>
      </c>
      <c r="R2" s="4">
        <f>N2+3*O2</f>
        <v>2231087.2943799943</v>
      </c>
      <c r="S2">
        <f>N2-3*O2</f>
        <v>330362.20562000573</v>
      </c>
    </row>
    <row r="3" spans="1:19" x14ac:dyDescent="0.2">
      <c r="A3" s="2">
        <v>45723</v>
      </c>
      <c r="C3" s="7"/>
      <c r="D3" t="b">
        <f>AND(B3&lt;G3, B3&gt;H3, Table1345678[[#This Row],[CV]]&lt;15)</f>
        <v>0</v>
      </c>
      <c r="E3" s="4">
        <f t="shared" ref="E3:E11" si="1">AVERAGE(M:M)</f>
        <v>1280724.75</v>
      </c>
      <c r="F3" s="4">
        <f t="shared" si="0"/>
        <v>316787.51479333144</v>
      </c>
      <c r="G3" s="4">
        <f>Table1345678[[#This Row],[Established Average]]+2*Table1345678[[#This Row],[SD]]</f>
        <v>1914299.779586663</v>
      </c>
      <c r="H3" s="4">
        <f>Table1345678[[#This Row],[Established Average]]-2*Table1345678[[#This Row],[SD]]</f>
        <v>647149.72041333711</v>
      </c>
      <c r="I3" s="4">
        <f>Table1345678[[#This Row],[Established Average]]+3*Table1345678[[#This Row],[SD]]</f>
        <v>2231087.2943799943</v>
      </c>
      <c r="J3" s="4">
        <f>Table1345678[[#This Row],[Established Average]]-3*Table1345678[[#This Row],[SD]]</f>
        <v>330362.20562000573</v>
      </c>
      <c r="M3" s="8">
        <v>1398189</v>
      </c>
      <c r="O3" t="s">
        <v>22</v>
      </c>
    </row>
    <row r="4" spans="1:19" x14ac:dyDescent="0.2">
      <c r="A4" s="2">
        <v>45724</v>
      </c>
      <c r="C4" s="7"/>
      <c r="D4" t="b">
        <f>AND(B4&lt;G4, B4&gt;H4, Table1345678[[#This Row],[CV]]&lt;15)</f>
        <v>0</v>
      </c>
      <c r="E4" s="4">
        <f t="shared" si="1"/>
        <v>1280724.75</v>
      </c>
      <c r="F4" s="4">
        <f t="shared" si="0"/>
        <v>316787.51479333144</v>
      </c>
      <c r="G4" s="4">
        <f>Table1345678[[#This Row],[Established Average]]+2*Table1345678[[#This Row],[SD]]</f>
        <v>1914299.779586663</v>
      </c>
      <c r="H4" s="4">
        <f>Table1345678[[#This Row],[Established Average]]-2*Table1345678[[#This Row],[SD]]</f>
        <v>647149.72041333711</v>
      </c>
      <c r="I4" s="4">
        <f>Table1345678[[#This Row],[Established Average]]+3*Table1345678[[#This Row],[SD]]</f>
        <v>2231087.2943799943</v>
      </c>
      <c r="J4" s="4">
        <f>Table1345678[[#This Row],[Established Average]]-3*Table1345678[[#This Row],[SD]]</f>
        <v>330362.20562000573</v>
      </c>
      <c r="M4" s="8">
        <v>1224202</v>
      </c>
      <c r="O4">
        <f>O2/N2*100</f>
        <v>24.735019354731097</v>
      </c>
    </row>
    <row r="5" spans="1:19" x14ac:dyDescent="0.2">
      <c r="A5" s="2">
        <v>45725</v>
      </c>
      <c r="C5" s="7"/>
      <c r="D5" t="b">
        <f>AND(B5&lt;G5, B5&gt;H5, Table1345678[[#This Row],[CV]]&lt;15)</f>
        <v>0</v>
      </c>
      <c r="E5" s="4">
        <f t="shared" si="1"/>
        <v>1280724.75</v>
      </c>
      <c r="F5" s="4">
        <f t="shared" si="0"/>
        <v>316787.51479333144</v>
      </c>
      <c r="G5" s="4">
        <f>Table1345678[[#This Row],[Established Average]]+2*Table1345678[[#This Row],[SD]]</f>
        <v>1914299.779586663</v>
      </c>
      <c r="H5" s="4">
        <f>Table1345678[[#This Row],[Established Average]]-2*Table1345678[[#This Row],[SD]]</f>
        <v>647149.72041333711</v>
      </c>
      <c r="I5" s="4">
        <f>Table1345678[[#This Row],[Established Average]]+3*Table1345678[[#This Row],[SD]]</f>
        <v>2231087.2943799943</v>
      </c>
      <c r="J5" s="4">
        <f>Table1345678[[#This Row],[Established Average]]-3*Table1345678[[#This Row],[SD]]</f>
        <v>330362.20562000573</v>
      </c>
      <c r="M5" s="8">
        <v>1289346</v>
      </c>
    </row>
    <row r="6" spans="1:19" x14ac:dyDescent="0.2">
      <c r="A6" s="2">
        <v>45726</v>
      </c>
      <c r="C6" s="7"/>
      <c r="D6" t="b">
        <f>AND(B6&lt;G6, B6&gt;H6, Table1345678[[#This Row],[CV]]&lt;15)</f>
        <v>0</v>
      </c>
      <c r="E6" s="4">
        <f t="shared" si="1"/>
        <v>1280724.75</v>
      </c>
      <c r="F6" s="4">
        <f t="shared" si="0"/>
        <v>316787.51479333144</v>
      </c>
      <c r="G6" s="4">
        <f>Table1345678[[#This Row],[Established Average]]+2*Table1345678[[#This Row],[SD]]</f>
        <v>1914299.779586663</v>
      </c>
      <c r="H6" s="4">
        <f>Table1345678[[#This Row],[Established Average]]-2*Table1345678[[#This Row],[SD]]</f>
        <v>647149.72041333711</v>
      </c>
      <c r="I6" s="4">
        <f>Table1345678[[#This Row],[Established Average]]+3*Table1345678[[#This Row],[SD]]</f>
        <v>2231087.2943799943</v>
      </c>
      <c r="J6" s="4">
        <f>Table1345678[[#This Row],[Established Average]]-3*Table1345678[[#This Row],[SD]]</f>
        <v>330362.20562000573</v>
      </c>
      <c r="M6" s="8">
        <v>1084500</v>
      </c>
    </row>
    <row r="7" spans="1:19" x14ac:dyDescent="0.2">
      <c r="A7" s="2">
        <v>45727</v>
      </c>
      <c r="C7" s="7"/>
      <c r="D7" t="b">
        <f>AND(B7&lt;G7, B7&gt;H7, Table1345678[[#This Row],[CV]]&lt;15)</f>
        <v>0</v>
      </c>
      <c r="E7" s="4">
        <f t="shared" si="1"/>
        <v>1280724.75</v>
      </c>
      <c r="F7" s="4">
        <f t="shared" si="0"/>
        <v>316787.51479333144</v>
      </c>
      <c r="G7" s="4">
        <f>Table1345678[[#This Row],[Established Average]]+2*Table1345678[[#This Row],[SD]]</f>
        <v>1914299.779586663</v>
      </c>
      <c r="H7" s="4">
        <f>Table1345678[[#This Row],[Established Average]]-2*Table1345678[[#This Row],[SD]]</f>
        <v>647149.72041333711</v>
      </c>
      <c r="I7" s="4">
        <f>Table1345678[[#This Row],[Established Average]]+3*Table1345678[[#This Row],[SD]]</f>
        <v>2231087.2943799943</v>
      </c>
      <c r="J7" s="4">
        <f>Table1345678[[#This Row],[Established Average]]-3*Table1345678[[#This Row],[SD]]</f>
        <v>330362.20562000573</v>
      </c>
      <c r="M7" s="8">
        <v>1286680</v>
      </c>
    </row>
    <row r="8" spans="1:19" x14ac:dyDescent="0.2">
      <c r="A8" s="2">
        <v>45728</v>
      </c>
      <c r="C8" s="7"/>
      <c r="D8" t="b">
        <f>AND(B8&lt;G8, B8&gt;H8, Table1345678[[#This Row],[CV]]&lt;15)</f>
        <v>0</v>
      </c>
      <c r="E8" s="4">
        <f t="shared" si="1"/>
        <v>1280724.75</v>
      </c>
      <c r="F8" s="4">
        <f t="shared" si="0"/>
        <v>316787.51479333144</v>
      </c>
      <c r="G8" s="4">
        <f>Table1345678[[#This Row],[Established Average]]+2*Table1345678[[#This Row],[SD]]</f>
        <v>1914299.779586663</v>
      </c>
      <c r="H8" s="4">
        <f>Table1345678[[#This Row],[Established Average]]-2*Table1345678[[#This Row],[SD]]</f>
        <v>647149.72041333711</v>
      </c>
      <c r="I8" s="4">
        <f>Table1345678[[#This Row],[Established Average]]+3*Table1345678[[#This Row],[SD]]</f>
        <v>2231087.2943799943</v>
      </c>
      <c r="J8" s="4">
        <f>Table1345678[[#This Row],[Established Average]]-3*Table1345678[[#This Row],[SD]]</f>
        <v>330362.20562000573</v>
      </c>
      <c r="M8" s="8">
        <v>1251749</v>
      </c>
    </row>
    <row r="9" spans="1:19" x14ac:dyDescent="0.2">
      <c r="A9" s="2">
        <v>45729</v>
      </c>
      <c r="C9" s="7"/>
      <c r="D9" t="b">
        <f>AND(B9&lt;G9, B9&gt;H9, Table1345678[[#This Row],[CV]]&lt;15)</f>
        <v>0</v>
      </c>
      <c r="E9" s="4">
        <f t="shared" si="1"/>
        <v>1280724.75</v>
      </c>
      <c r="F9" s="4">
        <f t="shared" si="0"/>
        <v>316787.51479333144</v>
      </c>
      <c r="G9" s="4">
        <f>Table1345678[[#This Row],[Established Average]]+2*Table1345678[[#This Row],[SD]]</f>
        <v>1914299.779586663</v>
      </c>
      <c r="H9" s="4">
        <f>Table1345678[[#This Row],[Established Average]]-2*Table1345678[[#This Row],[SD]]</f>
        <v>647149.72041333711</v>
      </c>
      <c r="I9" s="4">
        <f>Table1345678[[#This Row],[Established Average]]+3*Table1345678[[#This Row],[SD]]</f>
        <v>2231087.2943799943</v>
      </c>
      <c r="J9" s="4">
        <f>Table1345678[[#This Row],[Established Average]]-3*Table1345678[[#This Row],[SD]]</f>
        <v>330362.20562000573</v>
      </c>
      <c r="M9" s="8">
        <v>1173767</v>
      </c>
    </row>
    <row r="10" spans="1:19" x14ac:dyDescent="0.2">
      <c r="A10" s="2"/>
      <c r="C10" s="7"/>
      <c r="D10" t="b">
        <f>AND(B10&lt;G10, B10&gt;H10, Table1345678[[#This Row],[CV]]&lt;15)</f>
        <v>0</v>
      </c>
      <c r="E10" s="4">
        <f t="shared" si="1"/>
        <v>1280724.75</v>
      </c>
      <c r="F10" s="4">
        <f t="shared" si="0"/>
        <v>316787.51479333144</v>
      </c>
      <c r="G10" s="4">
        <f>Table1345678[[#This Row],[Established Average]]+2*Table1345678[[#This Row],[SD]]</f>
        <v>1914299.779586663</v>
      </c>
      <c r="H10" s="4">
        <f>Table1345678[[#This Row],[Established Average]]-2*Table1345678[[#This Row],[SD]]</f>
        <v>647149.72041333711</v>
      </c>
      <c r="I10" s="4">
        <f>Table1345678[[#This Row],[Established Average]]+3*Table1345678[[#This Row],[SD]]</f>
        <v>2231087.2943799943</v>
      </c>
      <c r="J10" s="4">
        <f>Table1345678[[#This Row],[Established Average]]-3*Table1345678[[#This Row],[SD]]</f>
        <v>330362.20562000573</v>
      </c>
      <c r="M10" s="8">
        <v>1181118</v>
      </c>
    </row>
    <row r="11" spans="1:19" x14ac:dyDescent="0.2">
      <c r="A11" s="2"/>
      <c r="C11" s="7"/>
      <c r="D11" t="b">
        <f>AND(B11&lt;G11, B11&gt;H11, Table1345678[[#This Row],[CV]]&lt;15)</f>
        <v>0</v>
      </c>
      <c r="E11" s="4">
        <f t="shared" si="1"/>
        <v>1280724.75</v>
      </c>
      <c r="F11" s="4">
        <f t="shared" si="0"/>
        <v>316787.51479333144</v>
      </c>
      <c r="G11" s="4">
        <f>Table1345678[[#This Row],[Established Average]]+2*Table1345678[[#This Row],[SD]]</f>
        <v>1914299.779586663</v>
      </c>
      <c r="H11" s="4">
        <f>Table1345678[[#This Row],[Established Average]]-2*Table1345678[[#This Row],[SD]]</f>
        <v>647149.72041333711</v>
      </c>
      <c r="I11" s="4">
        <f>Table1345678[[#This Row],[Established Average]]+3*Table1345678[[#This Row],[SD]]</f>
        <v>2231087.2943799943</v>
      </c>
      <c r="J11" s="4">
        <f>Table1345678[[#This Row],[Established Average]]-3*Table1345678[[#This Row],[SD]]</f>
        <v>330362.20562000573</v>
      </c>
      <c r="M11" s="8">
        <v>1201889</v>
      </c>
    </row>
    <row r="12" spans="1:19" x14ac:dyDescent="0.2">
      <c r="M12" s="8">
        <v>1291898</v>
      </c>
    </row>
    <row r="13" spans="1:19" x14ac:dyDescent="0.2">
      <c r="M13" s="8">
        <v>1228134</v>
      </c>
    </row>
    <row r="14" spans="1:19" x14ac:dyDescent="0.2">
      <c r="M14" s="8">
        <v>1136043</v>
      </c>
    </row>
    <row r="15" spans="1:19" x14ac:dyDescent="0.2">
      <c r="M15" s="8">
        <v>1074284</v>
      </c>
    </row>
    <row r="16" spans="1:19" x14ac:dyDescent="0.2">
      <c r="M16" s="8">
        <v>1051014</v>
      </c>
    </row>
    <row r="17" spans="13:13" x14ac:dyDescent="0.2">
      <c r="M17" s="8">
        <v>1059982</v>
      </c>
    </row>
    <row r="18" spans="13:13" x14ac:dyDescent="0.2">
      <c r="M18" s="8">
        <v>1018114</v>
      </c>
    </row>
    <row r="19" spans="13:13" x14ac:dyDescent="0.2">
      <c r="M19" s="8">
        <v>1018329</v>
      </c>
    </row>
    <row r="20" spans="13:13" x14ac:dyDescent="0.2">
      <c r="M20" s="8">
        <v>1063585</v>
      </c>
    </row>
    <row r="21" spans="13:13" x14ac:dyDescent="0.2">
      <c r="M21" s="8">
        <v>1032369</v>
      </c>
    </row>
    <row r="22" spans="13:13" x14ac:dyDescent="0.2">
      <c r="M22" s="8">
        <v>1010875</v>
      </c>
    </row>
    <row r="23" spans="13:13" x14ac:dyDescent="0.2">
      <c r="M23" s="8">
        <v>986282</v>
      </c>
    </row>
    <row r="24" spans="13:13" x14ac:dyDescent="0.2">
      <c r="M24" s="8">
        <v>1002061</v>
      </c>
    </row>
    <row r="25" spans="13:13" x14ac:dyDescent="0.2">
      <c r="M25" s="8">
        <v>1708228</v>
      </c>
    </row>
    <row r="26" spans="13:13" x14ac:dyDescent="0.2">
      <c r="M26" s="8">
        <v>2023731</v>
      </c>
    </row>
    <row r="27" spans="13:13" x14ac:dyDescent="0.2">
      <c r="M27" s="8">
        <v>1800394</v>
      </c>
    </row>
    <row r="28" spans="13:13" x14ac:dyDescent="0.2">
      <c r="M28" s="8">
        <v>2060562</v>
      </c>
    </row>
    <row r="29" spans="13:13" x14ac:dyDescent="0.2">
      <c r="M29" s="8">
        <v>1879873</v>
      </c>
    </row>
    <row r="30" spans="13:13" x14ac:dyDescent="0.2">
      <c r="M30" s="8"/>
    </row>
    <row r="31" spans="13:13" x14ac:dyDescent="0.2">
      <c r="M31" s="8"/>
    </row>
    <row r="32" spans="13:13" x14ac:dyDescent="0.2"/>
    <row r="33" spans="13:13" x14ac:dyDescent="0.2"/>
    <row r="34" spans="13:13" x14ac:dyDescent="0.2"/>
    <row r="35" spans="13:13" x14ac:dyDescent="0.2"/>
    <row r="36" spans="13:13" x14ac:dyDescent="0.2"/>
    <row r="37" spans="13:13" x14ac:dyDescent="0.2">
      <c r="M37" s="8"/>
    </row>
    <row r="38" spans="13:13" x14ac:dyDescent="0.2">
      <c r="M38" s="8"/>
    </row>
  </sheetData>
  <conditionalFormatting sqref="D1:D11 I12:I1048576">
    <cfRule type="containsText" dxfId="8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6A8F-56B7-4797-9BFD-376417FBC372}">
  <dimension ref="A1:S38"/>
  <sheetViews>
    <sheetView topLeftCell="M1" workbookViewId="0">
      <selection activeCell="O2" sqref="O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4" max="14" width="9.83203125" bestFit="1" customWidth="1"/>
    <col min="15" max="15" width="18.1640625" bestFit="1" customWidth="1"/>
    <col min="16" max="16" width="11.5" bestFit="1" customWidth="1"/>
    <col min="17" max="17" width="11.33203125" bestFit="1" customWidth="1"/>
    <col min="18" max="18" width="18.83203125" bestFit="1" customWidth="1"/>
  </cols>
  <sheetData>
    <row r="1" spans="1:19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M1" s="1" t="s">
        <v>19</v>
      </c>
      <c r="N1" t="s">
        <v>20</v>
      </c>
      <c r="O1" t="s">
        <v>21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2">
        <v>45722</v>
      </c>
      <c r="B2" s="8">
        <v>532129</v>
      </c>
      <c r="C2" s="8">
        <v>12.519119999999999</v>
      </c>
      <c r="D2" t="b">
        <f>AND(B2&lt;G2, B2&gt;H2, Table13456789[[#This Row],[CV]]&lt;15)</f>
        <v>0</v>
      </c>
      <c r="E2" s="4">
        <f>AVERAGE(M:M)</f>
        <v>852574.5588235294</v>
      </c>
      <c r="F2" s="4">
        <f t="shared" ref="F2:F11" si="0">_xlfn.STDEV.S(M:M)</f>
        <v>91374.043559622791</v>
      </c>
      <c r="G2" s="4">
        <f>Table13456789[[#This Row],[Established Average]]+2*Table13456789[[#This Row],[SD]]</f>
        <v>1035322.645942775</v>
      </c>
      <c r="H2" s="4">
        <f>Table13456789[[#This Row],[Established Average]]-2*Table13456789[[#This Row],[SD]]</f>
        <v>669826.47170428385</v>
      </c>
      <c r="I2" s="4">
        <f>Table13456789[[#This Row],[Established Average]]+3*Table13456789[[#This Row],[SD]]</f>
        <v>1126696.6895023978</v>
      </c>
      <c r="J2" s="4">
        <f>Table13456789[[#This Row],[Established Average]]-3*Table13456789[[#This Row],[SD]]</f>
        <v>578452.42814466101</v>
      </c>
      <c r="M2" s="8">
        <v>781266</v>
      </c>
      <c r="N2" s="4">
        <f>AVERAGE(M:M)</f>
        <v>852574.5588235294</v>
      </c>
      <c r="O2" s="4">
        <f>_xlfn.STDEV.S(M:M)</f>
        <v>91374.043559622791</v>
      </c>
      <c r="P2" s="4">
        <f>N2+2*O2</f>
        <v>1035322.645942775</v>
      </c>
      <c r="Q2" s="4">
        <f>N2-2*O2</f>
        <v>669826.47170428385</v>
      </c>
      <c r="R2" s="4">
        <f>N2+3*O2</f>
        <v>1126696.6895023978</v>
      </c>
      <c r="S2">
        <f>N2-3*O2</f>
        <v>578452.42814466101</v>
      </c>
    </row>
    <row r="3" spans="1:19" x14ac:dyDescent="0.2">
      <c r="A3" s="2">
        <v>45723</v>
      </c>
      <c r="C3" s="7"/>
      <c r="D3" t="b">
        <f>AND(B3&lt;G3, B3&gt;H3, Table13456789[[#This Row],[CV]]&lt;15)</f>
        <v>0</v>
      </c>
      <c r="E3" s="4">
        <f t="shared" ref="E3:E11" si="1">AVERAGE(M:M)</f>
        <v>852574.5588235294</v>
      </c>
      <c r="F3" s="4">
        <f t="shared" si="0"/>
        <v>91374.043559622791</v>
      </c>
      <c r="G3" s="4">
        <f>Table13456789[[#This Row],[Established Average]]+2*Table13456789[[#This Row],[SD]]</f>
        <v>1035322.645942775</v>
      </c>
      <c r="H3" s="4">
        <f>Table13456789[[#This Row],[Established Average]]-2*Table13456789[[#This Row],[SD]]</f>
        <v>669826.47170428385</v>
      </c>
      <c r="I3" s="4">
        <f>Table13456789[[#This Row],[Established Average]]+3*Table13456789[[#This Row],[SD]]</f>
        <v>1126696.6895023978</v>
      </c>
      <c r="J3" s="4">
        <f>Table13456789[[#This Row],[Established Average]]-3*Table13456789[[#This Row],[SD]]</f>
        <v>578452.42814466101</v>
      </c>
      <c r="M3" s="8">
        <v>797585</v>
      </c>
      <c r="O3" t="s">
        <v>22</v>
      </c>
    </row>
    <row r="4" spans="1:19" x14ac:dyDescent="0.2">
      <c r="A4" s="2">
        <v>45724</v>
      </c>
      <c r="C4" s="7"/>
      <c r="D4" t="b">
        <f>AND(B4&lt;G4, B4&gt;H4, Table13456789[[#This Row],[CV]]&lt;15)</f>
        <v>0</v>
      </c>
      <c r="E4" s="4">
        <f t="shared" si="1"/>
        <v>852574.5588235294</v>
      </c>
      <c r="F4" s="4">
        <f t="shared" si="0"/>
        <v>91374.043559622791</v>
      </c>
      <c r="G4" s="4">
        <f>Table13456789[[#This Row],[Established Average]]+2*Table13456789[[#This Row],[SD]]</f>
        <v>1035322.645942775</v>
      </c>
      <c r="H4" s="4">
        <f>Table13456789[[#This Row],[Established Average]]-2*Table13456789[[#This Row],[SD]]</f>
        <v>669826.47170428385</v>
      </c>
      <c r="I4" s="4">
        <f>Table13456789[[#This Row],[Established Average]]+3*Table13456789[[#This Row],[SD]]</f>
        <v>1126696.6895023978</v>
      </c>
      <c r="J4" s="4">
        <f>Table13456789[[#This Row],[Established Average]]-3*Table13456789[[#This Row],[SD]]</f>
        <v>578452.42814466101</v>
      </c>
      <c r="M4" s="8">
        <v>839654</v>
      </c>
      <c r="O4">
        <f>O2/N2*100</f>
        <v>10.717425545246172</v>
      </c>
    </row>
    <row r="5" spans="1:19" x14ac:dyDescent="0.2">
      <c r="A5" s="2">
        <v>45725</v>
      </c>
      <c r="C5" s="7"/>
      <c r="D5" t="b">
        <f>AND(B5&lt;G5, B5&gt;H5, Table13456789[[#This Row],[CV]]&lt;15)</f>
        <v>0</v>
      </c>
      <c r="E5" s="4">
        <f t="shared" si="1"/>
        <v>852574.5588235294</v>
      </c>
      <c r="F5" s="4">
        <f t="shared" si="0"/>
        <v>91374.043559622791</v>
      </c>
      <c r="G5" s="4">
        <f>Table13456789[[#This Row],[Established Average]]+2*Table13456789[[#This Row],[SD]]</f>
        <v>1035322.645942775</v>
      </c>
      <c r="H5" s="4">
        <f>Table13456789[[#This Row],[Established Average]]-2*Table13456789[[#This Row],[SD]]</f>
        <v>669826.47170428385</v>
      </c>
      <c r="I5" s="4">
        <f>Table13456789[[#This Row],[Established Average]]+3*Table13456789[[#This Row],[SD]]</f>
        <v>1126696.6895023978</v>
      </c>
      <c r="J5" s="4">
        <f>Table13456789[[#This Row],[Established Average]]-3*Table13456789[[#This Row],[SD]]</f>
        <v>578452.42814466101</v>
      </c>
      <c r="M5" s="8">
        <v>779178</v>
      </c>
    </row>
    <row r="6" spans="1:19" x14ac:dyDescent="0.2">
      <c r="A6" s="2">
        <v>45726</v>
      </c>
      <c r="C6" s="7"/>
      <c r="D6" t="b">
        <f>AND(B6&lt;G6, B6&gt;H6, Table13456789[[#This Row],[CV]]&lt;15)</f>
        <v>0</v>
      </c>
      <c r="E6" s="4">
        <f t="shared" si="1"/>
        <v>852574.5588235294</v>
      </c>
      <c r="F6" s="4">
        <f t="shared" si="0"/>
        <v>91374.043559622791</v>
      </c>
      <c r="G6" s="4">
        <f>Table13456789[[#This Row],[Established Average]]+2*Table13456789[[#This Row],[SD]]</f>
        <v>1035322.645942775</v>
      </c>
      <c r="H6" s="4">
        <f>Table13456789[[#This Row],[Established Average]]-2*Table13456789[[#This Row],[SD]]</f>
        <v>669826.47170428385</v>
      </c>
      <c r="I6" s="4">
        <f>Table13456789[[#This Row],[Established Average]]+3*Table13456789[[#This Row],[SD]]</f>
        <v>1126696.6895023978</v>
      </c>
      <c r="J6" s="4">
        <f>Table13456789[[#This Row],[Established Average]]-3*Table13456789[[#This Row],[SD]]</f>
        <v>578452.42814466101</v>
      </c>
      <c r="M6" s="8">
        <v>745941</v>
      </c>
    </row>
    <row r="7" spans="1:19" x14ac:dyDescent="0.2">
      <c r="A7" s="2">
        <v>45727</v>
      </c>
      <c r="C7" s="7"/>
      <c r="D7" t="b">
        <f>AND(B7&lt;G7, B7&gt;H7, Table13456789[[#This Row],[CV]]&lt;15)</f>
        <v>0</v>
      </c>
      <c r="E7" s="4">
        <f t="shared" si="1"/>
        <v>852574.5588235294</v>
      </c>
      <c r="F7" s="4">
        <f t="shared" si="0"/>
        <v>91374.043559622791</v>
      </c>
      <c r="G7" s="4">
        <f>Table13456789[[#This Row],[Established Average]]+2*Table13456789[[#This Row],[SD]]</f>
        <v>1035322.645942775</v>
      </c>
      <c r="H7" s="4">
        <f>Table13456789[[#This Row],[Established Average]]-2*Table13456789[[#This Row],[SD]]</f>
        <v>669826.47170428385</v>
      </c>
      <c r="I7" s="4">
        <f>Table13456789[[#This Row],[Established Average]]+3*Table13456789[[#This Row],[SD]]</f>
        <v>1126696.6895023978</v>
      </c>
      <c r="J7" s="4">
        <f>Table13456789[[#This Row],[Established Average]]-3*Table13456789[[#This Row],[SD]]</f>
        <v>578452.42814466101</v>
      </c>
      <c r="M7" s="8">
        <v>699743</v>
      </c>
    </row>
    <row r="8" spans="1:19" x14ac:dyDescent="0.2">
      <c r="A8" s="2">
        <v>45728</v>
      </c>
      <c r="C8" s="7"/>
      <c r="D8" t="b">
        <f>AND(B8&lt;G8, B8&gt;H8, Table13456789[[#This Row],[CV]]&lt;15)</f>
        <v>0</v>
      </c>
      <c r="E8" s="4">
        <f t="shared" si="1"/>
        <v>852574.5588235294</v>
      </c>
      <c r="F8" s="4">
        <f t="shared" si="0"/>
        <v>91374.043559622791</v>
      </c>
      <c r="G8" s="4">
        <f>Table13456789[[#This Row],[Established Average]]+2*Table13456789[[#This Row],[SD]]</f>
        <v>1035322.645942775</v>
      </c>
      <c r="H8" s="4">
        <f>Table13456789[[#This Row],[Established Average]]-2*Table13456789[[#This Row],[SD]]</f>
        <v>669826.47170428385</v>
      </c>
      <c r="I8" s="4">
        <f>Table13456789[[#This Row],[Established Average]]+3*Table13456789[[#This Row],[SD]]</f>
        <v>1126696.6895023978</v>
      </c>
      <c r="J8" s="4">
        <f>Table13456789[[#This Row],[Established Average]]-3*Table13456789[[#This Row],[SD]]</f>
        <v>578452.42814466101</v>
      </c>
      <c r="M8" s="8">
        <v>697209</v>
      </c>
    </row>
    <row r="9" spans="1:19" x14ac:dyDescent="0.2">
      <c r="A9" s="2">
        <v>45729</v>
      </c>
      <c r="C9" s="7"/>
      <c r="D9" t="b">
        <f>AND(B9&lt;G9, B9&gt;H9, Table13456789[[#This Row],[CV]]&lt;15)</f>
        <v>0</v>
      </c>
      <c r="E9" s="4">
        <f t="shared" si="1"/>
        <v>852574.5588235294</v>
      </c>
      <c r="F9" s="4">
        <f t="shared" si="0"/>
        <v>91374.043559622791</v>
      </c>
      <c r="G9" s="4">
        <f>Table13456789[[#This Row],[Established Average]]+2*Table13456789[[#This Row],[SD]]</f>
        <v>1035322.645942775</v>
      </c>
      <c r="H9" s="4">
        <f>Table13456789[[#This Row],[Established Average]]-2*Table13456789[[#This Row],[SD]]</f>
        <v>669826.47170428385</v>
      </c>
      <c r="I9" s="4">
        <f>Table13456789[[#This Row],[Established Average]]+3*Table13456789[[#This Row],[SD]]</f>
        <v>1126696.6895023978</v>
      </c>
      <c r="J9" s="4">
        <f>Table13456789[[#This Row],[Established Average]]-3*Table13456789[[#This Row],[SD]]</f>
        <v>578452.42814466101</v>
      </c>
      <c r="M9" s="8">
        <v>678668</v>
      </c>
    </row>
    <row r="10" spans="1:19" x14ac:dyDescent="0.2">
      <c r="A10" s="2"/>
      <c r="C10" s="7"/>
      <c r="D10" t="b">
        <f>AND(B10&lt;G10, B10&gt;H10, Table13456789[[#This Row],[CV]]&lt;15)</f>
        <v>0</v>
      </c>
      <c r="E10" s="4">
        <f t="shared" si="1"/>
        <v>852574.5588235294</v>
      </c>
      <c r="F10" s="4">
        <f t="shared" si="0"/>
        <v>91374.043559622791</v>
      </c>
      <c r="G10" s="4">
        <f>Table13456789[[#This Row],[Established Average]]+2*Table13456789[[#This Row],[SD]]</f>
        <v>1035322.645942775</v>
      </c>
      <c r="H10" s="4">
        <f>Table13456789[[#This Row],[Established Average]]-2*Table13456789[[#This Row],[SD]]</f>
        <v>669826.47170428385</v>
      </c>
      <c r="I10" s="4">
        <f>Table13456789[[#This Row],[Established Average]]+3*Table13456789[[#This Row],[SD]]</f>
        <v>1126696.6895023978</v>
      </c>
      <c r="J10" s="4">
        <f>Table13456789[[#This Row],[Established Average]]-3*Table13456789[[#This Row],[SD]]</f>
        <v>578452.42814466101</v>
      </c>
      <c r="M10" s="8">
        <v>881905</v>
      </c>
    </row>
    <row r="11" spans="1:19" x14ac:dyDescent="0.2">
      <c r="A11" s="2"/>
      <c r="C11" s="7"/>
      <c r="D11" t="b">
        <f>AND(B11&lt;G11, B11&gt;H11, Table13456789[[#This Row],[CV]]&lt;15)</f>
        <v>0</v>
      </c>
      <c r="E11" s="4">
        <f t="shared" si="1"/>
        <v>852574.5588235294</v>
      </c>
      <c r="F11" s="4">
        <f t="shared" si="0"/>
        <v>91374.043559622791</v>
      </c>
      <c r="G11" s="4">
        <f>Table13456789[[#This Row],[Established Average]]+2*Table13456789[[#This Row],[SD]]</f>
        <v>1035322.645942775</v>
      </c>
      <c r="H11" s="4">
        <f>Table13456789[[#This Row],[Established Average]]-2*Table13456789[[#This Row],[SD]]</f>
        <v>669826.47170428385</v>
      </c>
      <c r="I11" s="4">
        <f>Table13456789[[#This Row],[Established Average]]+3*Table13456789[[#This Row],[SD]]</f>
        <v>1126696.6895023978</v>
      </c>
      <c r="J11" s="4">
        <f>Table13456789[[#This Row],[Established Average]]-3*Table13456789[[#This Row],[SD]]</f>
        <v>578452.42814466101</v>
      </c>
      <c r="M11" s="8">
        <v>767406</v>
      </c>
    </row>
    <row r="12" spans="1:19" x14ac:dyDescent="0.2">
      <c r="M12" s="8">
        <v>802858</v>
      </c>
    </row>
    <row r="13" spans="1:19" x14ac:dyDescent="0.2">
      <c r="M13" s="8">
        <v>829551</v>
      </c>
    </row>
    <row r="14" spans="1:19" x14ac:dyDescent="0.2">
      <c r="M14" s="8">
        <v>880760</v>
      </c>
    </row>
    <row r="15" spans="1:19" x14ac:dyDescent="0.2">
      <c r="M15" s="8">
        <v>946610</v>
      </c>
    </row>
    <row r="16" spans="1:19" x14ac:dyDescent="0.2">
      <c r="M16" s="8">
        <v>959585</v>
      </c>
    </row>
    <row r="17" spans="13:13" x14ac:dyDescent="0.2">
      <c r="M17" s="8">
        <v>1008705</v>
      </c>
    </row>
    <row r="18" spans="13:13" x14ac:dyDescent="0.2">
      <c r="M18" s="8">
        <v>949049</v>
      </c>
    </row>
    <row r="19" spans="13:13" x14ac:dyDescent="0.2">
      <c r="M19" s="8">
        <v>887139</v>
      </c>
    </row>
    <row r="20" spans="13:13" x14ac:dyDescent="0.2">
      <c r="M20" s="8">
        <v>1024714</v>
      </c>
    </row>
    <row r="21" spans="13:13" x14ac:dyDescent="0.2">
      <c r="M21" s="8">
        <v>822176</v>
      </c>
    </row>
    <row r="22" spans="13:13" x14ac:dyDescent="0.2">
      <c r="M22" s="8">
        <v>903491</v>
      </c>
    </row>
    <row r="23" spans="13:13" x14ac:dyDescent="0.2">
      <c r="M23" s="8">
        <v>923898</v>
      </c>
    </row>
    <row r="24" spans="13:13" x14ac:dyDescent="0.2">
      <c r="M24" s="8">
        <v>886285</v>
      </c>
    </row>
    <row r="25" spans="13:13" x14ac:dyDescent="0.2">
      <c r="M25" s="8">
        <v>786798</v>
      </c>
    </row>
    <row r="26" spans="13:13" x14ac:dyDescent="0.2">
      <c r="M26" s="8">
        <v>931257</v>
      </c>
    </row>
    <row r="27" spans="13:13" x14ac:dyDescent="0.2">
      <c r="M27" s="8">
        <v>833269</v>
      </c>
    </row>
    <row r="28" spans="13:13" x14ac:dyDescent="0.2">
      <c r="M28" s="8">
        <v>887588</v>
      </c>
    </row>
    <row r="29" spans="13:13" x14ac:dyDescent="0.2">
      <c r="M29" s="8">
        <v>966747</v>
      </c>
    </row>
    <row r="30" spans="13:13" x14ac:dyDescent="0.2">
      <c r="M30" s="8">
        <v>853894</v>
      </c>
    </row>
    <row r="31" spans="13:13" x14ac:dyDescent="0.2">
      <c r="M31" s="8">
        <v>702668</v>
      </c>
    </row>
    <row r="32" spans="13:13" x14ac:dyDescent="0.2">
      <c r="M32" s="8">
        <v>861474</v>
      </c>
    </row>
    <row r="33" spans="13:13" x14ac:dyDescent="0.2">
      <c r="M33" s="8">
        <v>816026</v>
      </c>
    </row>
    <row r="34" spans="13:13" x14ac:dyDescent="0.2">
      <c r="M34" s="8">
        <v>982503</v>
      </c>
    </row>
    <row r="35" spans="13:13" x14ac:dyDescent="0.2">
      <c r="M35" s="8">
        <v>871935</v>
      </c>
    </row>
    <row r="36" spans="13:13" x14ac:dyDescent="0.2"/>
    <row r="37" spans="13:13" x14ac:dyDescent="0.2">
      <c r="M37" s="8"/>
    </row>
    <row r="38" spans="13:13" x14ac:dyDescent="0.2">
      <c r="M38" s="8"/>
    </row>
  </sheetData>
  <conditionalFormatting sqref="D1:D11 I12:I1048576">
    <cfRule type="containsText" dxfId="7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EA5D-AE3C-475A-AE48-B5ACAAC71199}">
  <dimension ref="A1:R38"/>
  <sheetViews>
    <sheetView topLeftCell="J1" workbookViewId="0">
      <selection activeCell="N2" sqref="N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3" max="13" width="9.832031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9">
        <v>961169.2</v>
      </c>
      <c r="C2" s="8">
        <v>8.0537960000000002</v>
      </c>
      <c r="D2" t="b">
        <f>AND(B2&lt;G2, B2&gt;H2, Table1345678910[[#This Row],[CV]]&lt;15)</f>
        <v>1</v>
      </c>
      <c r="E2" s="4">
        <f>AVERAGE(L:L)</f>
        <v>1020744.5882352941</v>
      </c>
      <c r="F2" s="4">
        <f t="shared" ref="F2:F11" si="0">_xlfn.STDEV.S(L:L)</f>
        <v>178291.12012815601</v>
      </c>
      <c r="G2" s="4">
        <f>Table1345678910[[#This Row],[Established Average]]+2*Table1345678910[[#This Row],[SD]]</f>
        <v>1377326.8284916061</v>
      </c>
      <c r="H2" s="4">
        <f>Table1345678910[[#This Row],[Established Average]]-2*Table1345678910[[#This Row],[SD]]</f>
        <v>664162.34797898214</v>
      </c>
      <c r="I2" s="4">
        <f>Table1345678910[[#This Row],[Established Average]]+3*Table1345678910[[#This Row],[SD]]</f>
        <v>1555617.948619762</v>
      </c>
      <c r="J2" s="4">
        <f>Table1345678910[[#This Row],[Established Average]]-3*Table1345678910[[#This Row],[SD]]</f>
        <v>485871.22785082611</v>
      </c>
      <c r="L2" s="8">
        <v>1237397</v>
      </c>
      <c r="M2" s="4">
        <f>AVERAGE(L:L)</f>
        <v>1020744.5882352941</v>
      </c>
      <c r="N2" s="4">
        <f>_xlfn.STDEV.S(L:L)</f>
        <v>178291.12012815601</v>
      </c>
      <c r="O2" s="4">
        <f>M2+2*N2</f>
        <v>1377326.8284916061</v>
      </c>
      <c r="P2" s="4">
        <f>M2-2*N2</f>
        <v>664162.34797898214</v>
      </c>
      <c r="Q2" s="4">
        <f>M2+3*N2</f>
        <v>1555617.948619762</v>
      </c>
      <c r="R2">
        <f>M2-3*N2</f>
        <v>485871.22785082611</v>
      </c>
    </row>
    <row r="3" spans="1:18" x14ac:dyDescent="0.2">
      <c r="A3" s="2">
        <v>45723</v>
      </c>
      <c r="C3" s="7"/>
      <c r="D3" t="b">
        <f>AND(B3&lt;G3, B3&gt;H3, Table1345678910[[#This Row],[CV]]&lt;15)</f>
        <v>0</v>
      </c>
      <c r="E3" s="4">
        <f t="shared" ref="E3:E11" si="1">AVERAGE(L:L)</f>
        <v>1020744.5882352941</v>
      </c>
      <c r="F3" s="4">
        <f t="shared" si="0"/>
        <v>178291.12012815601</v>
      </c>
      <c r="G3" s="4">
        <f>Table1345678910[[#This Row],[Established Average]]+2*Table1345678910[[#This Row],[SD]]</f>
        <v>1377326.8284916061</v>
      </c>
      <c r="H3" s="4">
        <f>Table1345678910[[#This Row],[Established Average]]-2*Table1345678910[[#This Row],[SD]]</f>
        <v>664162.34797898214</v>
      </c>
      <c r="I3" s="4">
        <f>Table1345678910[[#This Row],[Established Average]]+3*Table1345678910[[#This Row],[SD]]</f>
        <v>1555617.948619762</v>
      </c>
      <c r="J3" s="4">
        <f>Table1345678910[[#This Row],[Established Average]]-3*Table1345678910[[#This Row],[SD]]</f>
        <v>485871.22785082611</v>
      </c>
      <c r="L3" s="8">
        <v>1203903</v>
      </c>
      <c r="N3" t="s">
        <v>22</v>
      </c>
    </row>
    <row r="4" spans="1:18" x14ac:dyDescent="0.2">
      <c r="A4" s="2">
        <v>45724</v>
      </c>
      <c r="C4" s="7"/>
      <c r="D4" t="b">
        <f>AND(B4&lt;G4, B4&gt;H4, Table1345678910[[#This Row],[CV]]&lt;15)</f>
        <v>0</v>
      </c>
      <c r="E4" s="4">
        <f t="shared" si="1"/>
        <v>1020744.5882352941</v>
      </c>
      <c r="F4" s="4">
        <f t="shared" si="0"/>
        <v>178291.12012815601</v>
      </c>
      <c r="G4" s="4">
        <f>Table1345678910[[#This Row],[Established Average]]+2*Table1345678910[[#This Row],[SD]]</f>
        <v>1377326.8284916061</v>
      </c>
      <c r="H4" s="4">
        <f>Table1345678910[[#This Row],[Established Average]]-2*Table1345678910[[#This Row],[SD]]</f>
        <v>664162.34797898214</v>
      </c>
      <c r="I4" s="4">
        <f>Table1345678910[[#This Row],[Established Average]]+3*Table1345678910[[#This Row],[SD]]</f>
        <v>1555617.948619762</v>
      </c>
      <c r="J4" s="4">
        <f>Table1345678910[[#This Row],[Established Average]]-3*Table1345678910[[#This Row],[SD]]</f>
        <v>485871.22785082611</v>
      </c>
      <c r="L4" s="8">
        <v>1088361</v>
      </c>
      <c r="N4">
        <f>N2/M2*100</f>
        <v>17.466771039794896</v>
      </c>
    </row>
    <row r="5" spans="1:18" x14ac:dyDescent="0.2">
      <c r="A5" s="2">
        <v>45725</v>
      </c>
      <c r="C5" s="7"/>
      <c r="D5" t="b">
        <f>AND(B5&lt;G5, B5&gt;H5, Table1345678910[[#This Row],[CV]]&lt;15)</f>
        <v>0</v>
      </c>
      <c r="E5" s="4">
        <f t="shared" si="1"/>
        <v>1020744.5882352941</v>
      </c>
      <c r="F5" s="4">
        <f t="shared" si="0"/>
        <v>178291.12012815601</v>
      </c>
      <c r="G5" s="4">
        <f>Table1345678910[[#This Row],[Established Average]]+2*Table1345678910[[#This Row],[SD]]</f>
        <v>1377326.8284916061</v>
      </c>
      <c r="H5" s="4">
        <f>Table1345678910[[#This Row],[Established Average]]-2*Table1345678910[[#This Row],[SD]]</f>
        <v>664162.34797898214</v>
      </c>
      <c r="I5" s="4">
        <f>Table1345678910[[#This Row],[Established Average]]+3*Table1345678910[[#This Row],[SD]]</f>
        <v>1555617.948619762</v>
      </c>
      <c r="J5" s="4">
        <f>Table1345678910[[#This Row],[Established Average]]-3*Table1345678910[[#This Row],[SD]]</f>
        <v>485871.22785082611</v>
      </c>
      <c r="L5" s="8">
        <v>1119043</v>
      </c>
    </row>
    <row r="6" spans="1:18" x14ac:dyDescent="0.2">
      <c r="A6" s="2">
        <v>45726</v>
      </c>
      <c r="C6" s="7"/>
      <c r="D6" t="b">
        <f>AND(B6&lt;G6, B6&gt;H6, Table1345678910[[#This Row],[CV]]&lt;15)</f>
        <v>0</v>
      </c>
      <c r="E6" s="4">
        <f t="shared" si="1"/>
        <v>1020744.5882352941</v>
      </c>
      <c r="F6" s="4">
        <f t="shared" si="0"/>
        <v>178291.12012815601</v>
      </c>
      <c r="G6" s="4">
        <f>Table1345678910[[#This Row],[Established Average]]+2*Table1345678910[[#This Row],[SD]]</f>
        <v>1377326.8284916061</v>
      </c>
      <c r="H6" s="4">
        <f>Table1345678910[[#This Row],[Established Average]]-2*Table1345678910[[#This Row],[SD]]</f>
        <v>664162.34797898214</v>
      </c>
      <c r="I6" s="4">
        <f>Table1345678910[[#This Row],[Established Average]]+3*Table1345678910[[#This Row],[SD]]</f>
        <v>1555617.948619762</v>
      </c>
      <c r="J6" s="4">
        <f>Table1345678910[[#This Row],[Established Average]]-3*Table1345678910[[#This Row],[SD]]</f>
        <v>485871.22785082611</v>
      </c>
      <c r="L6" s="8">
        <v>1074215</v>
      </c>
    </row>
    <row r="7" spans="1:18" x14ac:dyDescent="0.2">
      <c r="A7" s="2">
        <v>45727</v>
      </c>
      <c r="C7" s="7"/>
      <c r="D7" t="b">
        <f>AND(B7&lt;G7, B7&gt;H7, Table1345678910[[#This Row],[CV]]&lt;15)</f>
        <v>0</v>
      </c>
      <c r="E7" s="4">
        <f t="shared" si="1"/>
        <v>1020744.5882352941</v>
      </c>
      <c r="F7" s="4">
        <f t="shared" si="0"/>
        <v>178291.12012815601</v>
      </c>
      <c r="G7" s="4">
        <f>Table1345678910[[#This Row],[Established Average]]+2*Table1345678910[[#This Row],[SD]]</f>
        <v>1377326.8284916061</v>
      </c>
      <c r="H7" s="4">
        <f>Table1345678910[[#This Row],[Established Average]]-2*Table1345678910[[#This Row],[SD]]</f>
        <v>664162.34797898214</v>
      </c>
      <c r="I7" s="4">
        <f>Table1345678910[[#This Row],[Established Average]]+3*Table1345678910[[#This Row],[SD]]</f>
        <v>1555617.948619762</v>
      </c>
      <c r="J7" s="4">
        <f>Table1345678910[[#This Row],[Established Average]]-3*Table1345678910[[#This Row],[SD]]</f>
        <v>485871.22785082611</v>
      </c>
      <c r="L7" s="8">
        <v>1146582</v>
      </c>
    </row>
    <row r="8" spans="1:18" x14ac:dyDescent="0.2">
      <c r="A8" s="2">
        <v>45728</v>
      </c>
      <c r="C8" s="7"/>
      <c r="D8" t="b">
        <f>AND(B8&lt;G8, B8&gt;H8, Table1345678910[[#This Row],[CV]]&lt;15)</f>
        <v>0</v>
      </c>
      <c r="E8" s="4">
        <f t="shared" si="1"/>
        <v>1020744.5882352941</v>
      </c>
      <c r="F8" s="4">
        <f t="shared" si="0"/>
        <v>178291.12012815601</v>
      </c>
      <c r="G8" s="4">
        <f>Table1345678910[[#This Row],[Established Average]]+2*Table1345678910[[#This Row],[SD]]</f>
        <v>1377326.8284916061</v>
      </c>
      <c r="H8" s="4">
        <f>Table1345678910[[#This Row],[Established Average]]-2*Table1345678910[[#This Row],[SD]]</f>
        <v>664162.34797898214</v>
      </c>
      <c r="I8" s="4">
        <f>Table1345678910[[#This Row],[Established Average]]+3*Table1345678910[[#This Row],[SD]]</f>
        <v>1555617.948619762</v>
      </c>
      <c r="J8" s="4">
        <f>Table1345678910[[#This Row],[Established Average]]-3*Table1345678910[[#This Row],[SD]]</f>
        <v>485871.22785082611</v>
      </c>
      <c r="L8" s="8">
        <v>1179888</v>
      </c>
    </row>
    <row r="9" spans="1:18" x14ac:dyDescent="0.2">
      <c r="A9" s="2">
        <v>45729</v>
      </c>
      <c r="C9" s="7"/>
      <c r="D9" t="b">
        <f>AND(B9&lt;G9, B9&gt;H9, Table1345678910[[#This Row],[CV]]&lt;15)</f>
        <v>0</v>
      </c>
      <c r="E9" s="4">
        <f t="shared" si="1"/>
        <v>1020744.5882352941</v>
      </c>
      <c r="F9" s="4">
        <f t="shared" si="0"/>
        <v>178291.12012815601</v>
      </c>
      <c r="G9" s="4">
        <f>Table1345678910[[#This Row],[Established Average]]+2*Table1345678910[[#This Row],[SD]]</f>
        <v>1377326.8284916061</v>
      </c>
      <c r="H9" s="4">
        <f>Table1345678910[[#This Row],[Established Average]]-2*Table1345678910[[#This Row],[SD]]</f>
        <v>664162.34797898214</v>
      </c>
      <c r="I9" s="4">
        <f>Table1345678910[[#This Row],[Established Average]]+3*Table1345678910[[#This Row],[SD]]</f>
        <v>1555617.948619762</v>
      </c>
      <c r="J9" s="4">
        <f>Table1345678910[[#This Row],[Established Average]]-3*Table1345678910[[#This Row],[SD]]</f>
        <v>485871.22785082611</v>
      </c>
      <c r="L9" s="8">
        <v>831213</v>
      </c>
    </row>
    <row r="10" spans="1:18" x14ac:dyDescent="0.2">
      <c r="A10" s="2"/>
      <c r="C10" s="7"/>
      <c r="D10" t="b">
        <f>AND(B10&lt;G10, B10&gt;H10, Table1345678910[[#This Row],[CV]]&lt;15)</f>
        <v>0</v>
      </c>
      <c r="E10" s="4">
        <f t="shared" si="1"/>
        <v>1020744.5882352941</v>
      </c>
      <c r="F10" s="4">
        <f t="shared" si="0"/>
        <v>178291.12012815601</v>
      </c>
      <c r="G10" s="4">
        <f>Table1345678910[[#This Row],[Established Average]]+2*Table1345678910[[#This Row],[SD]]</f>
        <v>1377326.8284916061</v>
      </c>
      <c r="H10" s="4">
        <f>Table1345678910[[#This Row],[Established Average]]-2*Table1345678910[[#This Row],[SD]]</f>
        <v>664162.34797898214</v>
      </c>
      <c r="I10" s="4">
        <f>Table1345678910[[#This Row],[Established Average]]+3*Table1345678910[[#This Row],[SD]]</f>
        <v>1555617.948619762</v>
      </c>
      <c r="J10" s="4">
        <f>Table1345678910[[#This Row],[Established Average]]-3*Table1345678910[[#This Row],[SD]]</f>
        <v>485871.22785082611</v>
      </c>
      <c r="L10" s="8">
        <v>1310625</v>
      </c>
    </row>
    <row r="11" spans="1:18" x14ac:dyDescent="0.2">
      <c r="A11" s="2"/>
      <c r="C11" s="7"/>
      <c r="D11" t="b">
        <f>AND(B11&lt;G11, B11&gt;H11, Table1345678910[[#This Row],[CV]]&lt;15)</f>
        <v>0</v>
      </c>
      <c r="E11" s="4">
        <f t="shared" si="1"/>
        <v>1020744.5882352941</v>
      </c>
      <c r="F11" s="4">
        <f t="shared" si="0"/>
        <v>178291.12012815601</v>
      </c>
      <c r="G11" s="4">
        <f>Table1345678910[[#This Row],[Established Average]]+2*Table1345678910[[#This Row],[SD]]</f>
        <v>1377326.8284916061</v>
      </c>
      <c r="H11" s="4">
        <f>Table1345678910[[#This Row],[Established Average]]-2*Table1345678910[[#This Row],[SD]]</f>
        <v>664162.34797898214</v>
      </c>
      <c r="I11" s="4">
        <f>Table1345678910[[#This Row],[Established Average]]+3*Table1345678910[[#This Row],[SD]]</f>
        <v>1555617.948619762</v>
      </c>
      <c r="J11" s="4">
        <f>Table1345678910[[#This Row],[Established Average]]-3*Table1345678910[[#This Row],[SD]]</f>
        <v>485871.22785082611</v>
      </c>
      <c r="L11" s="8">
        <v>1501094</v>
      </c>
    </row>
    <row r="12" spans="1:18" x14ac:dyDescent="0.2">
      <c r="L12" s="8">
        <v>1448763</v>
      </c>
    </row>
    <row r="13" spans="1:18" x14ac:dyDescent="0.2">
      <c r="L13" s="8">
        <v>1199017</v>
      </c>
    </row>
    <row r="14" spans="1:18" x14ac:dyDescent="0.2">
      <c r="L14" s="8">
        <v>1084040</v>
      </c>
    </row>
    <row r="15" spans="1:18" x14ac:dyDescent="0.2">
      <c r="L15" s="8">
        <v>932814</v>
      </c>
    </row>
    <row r="16" spans="1:18" x14ac:dyDescent="0.2">
      <c r="L16" s="8">
        <v>932532</v>
      </c>
    </row>
    <row r="17" spans="12:12" x14ac:dyDescent="0.2">
      <c r="L17" s="8">
        <v>947182</v>
      </c>
    </row>
    <row r="18" spans="12:12" x14ac:dyDescent="0.2">
      <c r="L18" s="8">
        <v>985267</v>
      </c>
    </row>
    <row r="19" spans="12:12" x14ac:dyDescent="0.2">
      <c r="L19" s="8">
        <v>903319</v>
      </c>
    </row>
    <row r="20" spans="12:12" x14ac:dyDescent="0.2">
      <c r="L20" s="8">
        <v>1074936</v>
      </c>
    </row>
    <row r="21" spans="12:12" x14ac:dyDescent="0.2">
      <c r="L21" s="8">
        <v>850534</v>
      </c>
    </row>
    <row r="22" spans="12:12" x14ac:dyDescent="0.2">
      <c r="L22" s="8">
        <v>1056409</v>
      </c>
    </row>
    <row r="23" spans="12:12" x14ac:dyDescent="0.2">
      <c r="L23" s="8">
        <v>895710</v>
      </c>
    </row>
    <row r="24" spans="12:12" x14ac:dyDescent="0.2">
      <c r="L24" s="8">
        <v>892254</v>
      </c>
    </row>
    <row r="25" spans="12:12" x14ac:dyDescent="0.2">
      <c r="L25" s="8">
        <v>993308</v>
      </c>
    </row>
    <row r="26" spans="12:12" x14ac:dyDescent="0.2">
      <c r="L26" s="8">
        <v>862569</v>
      </c>
    </row>
    <row r="27" spans="12:12" x14ac:dyDescent="0.2">
      <c r="L27" s="8">
        <v>923852</v>
      </c>
    </row>
    <row r="28" spans="12:12" x14ac:dyDescent="0.2">
      <c r="L28" s="8">
        <v>1025302</v>
      </c>
    </row>
    <row r="29" spans="12:12" x14ac:dyDescent="0.2">
      <c r="L29" s="8">
        <v>879773</v>
      </c>
    </row>
    <row r="30" spans="12:12" x14ac:dyDescent="0.2">
      <c r="L30" s="8">
        <v>740466</v>
      </c>
    </row>
    <row r="31" spans="12:12" x14ac:dyDescent="0.2">
      <c r="L31" s="8">
        <v>899781</v>
      </c>
    </row>
    <row r="32" spans="12:12" x14ac:dyDescent="0.2">
      <c r="L32" s="8">
        <v>847799</v>
      </c>
    </row>
    <row r="33" spans="12:12" x14ac:dyDescent="0.2">
      <c r="L33" s="8">
        <v>904027</v>
      </c>
    </row>
    <row r="34" spans="12:12" x14ac:dyDescent="0.2">
      <c r="L34" s="8">
        <v>870511</v>
      </c>
    </row>
    <row r="35" spans="12:12" x14ac:dyDescent="0.2">
      <c r="L35" s="8">
        <v>862830</v>
      </c>
    </row>
    <row r="36" spans="12:12" x14ac:dyDescent="0.2"/>
    <row r="37" spans="12:12" x14ac:dyDescent="0.2">
      <c r="L37" s="8"/>
    </row>
    <row r="38" spans="12:12" x14ac:dyDescent="0.2">
      <c r="L38" s="8"/>
    </row>
  </sheetData>
  <conditionalFormatting sqref="D1:D11 I12:I1048576">
    <cfRule type="containsText" dxfId="6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4800-B17A-454D-9F07-ED20B635CEAC}">
  <dimension ref="A1:R38"/>
  <sheetViews>
    <sheetView topLeftCell="H1" workbookViewId="0">
      <selection activeCell="N2" sqref="N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3" max="13" width="9.832031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9">
        <v>428841.3</v>
      </c>
      <c r="C2" s="8">
        <v>10.827959999999999</v>
      </c>
      <c r="D2" t="b">
        <f>AND(B2&lt;G2, B2&gt;H2, Table134567891011[[#This Row],[CV]]&lt;15)</f>
        <v>0</v>
      </c>
      <c r="E2" s="4">
        <f>AVERAGE(L:L)</f>
        <v>138210.1851851852</v>
      </c>
      <c r="F2" s="4">
        <f t="shared" ref="F2:F11" si="0">_xlfn.STDEV.S(L:L)</f>
        <v>16339.376967778104</v>
      </c>
      <c r="G2" s="4">
        <f>Table134567891011[[#This Row],[Established Average]]+2*Table134567891011[[#This Row],[SD]]</f>
        <v>170888.93912074142</v>
      </c>
      <c r="H2" s="4">
        <f>Table134567891011[[#This Row],[Established Average]]-2*Table134567891011[[#This Row],[SD]]</f>
        <v>105531.43124962899</v>
      </c>
      <c r="I2" s="4">
        <f>Table134567891011[[#This Row],[Established Average]]+3*Table134567891011[[#This Row],[SD]]</f>
        <v>187228.31608851952</v>
      </c>
      <c r="J2" s="4">
        <f>Table134567891011[[#This Row],[Established Average]]-3*Table134567891011[[#This Row],[SD]]</f>
        <v>89192.054281850884</v>
      </c>
      <c r="L2" s="8">
        <v>135309</v>
      </c>
      <c r="M2" s="4">
        <f>AVERAGE(L:L)</f>
        <v>138210.1851851852</v>
      </c>
      <c r="N2" s="4">
        <f>_xlfn.STDEV.S(L:L)</f>
        <v>16339.376967778104</v>
      </c>
      <c r="O2" s="4">
        <f>M2+2*N2</f>
        <v>170888.93912074142</v>
      </c>
      <c r="P2" s="4">
        <f>M2-2*N2</f>
        <v>105531.43124962899</v>
      </c>
      <c r="Q2" s="4">
        <f>M2+3*N2</f>
        <v>187228.31608851952</v>
      </c>
      <c r="R2">
        <f>M2-3*N2</f>
        <v>89192.054281850884</v>
      </c>
    </row>
    <row r="3" spans="1:18" x14ac:dyDescent="0.2">
      <c r="A3" s="2">
        <v>45723</v>
      </c>
      <c r="C3" s="7"/>
      <c r="D3" t="b">
        <f>AND(B3&lt;G3, B3&gt;H3, Table134567891011[[#This Row],[CV]]&lt;15)</f>
        <v>0</v>
      </c>
      <c r="E3" s="4">
        <f t="shared" ref="E3:E11" si="1">AVERAGE(L:L)</f>
        <v>138210.1851851852</v>
      </c>
      <c r="F3" s="4">
        <f t="shared" si="0"/>
        <v>16339.376967778104</v>
      </c>
      <c r="G3" s="4">
        <f>Table134567891011[[#This Row],[Established Average]]+2*Table134567891011[[#This Row],[SD]]</f>
        <v>170888.93912074142</v>
      </c>
      <c r="H3" s="4">
        <f>Table134567891011[[#This Row],[Established Average]]-2*Table134567891011[[#This Row],[SD]]</f>
        <v>105531.43124962899</v>
      </c>
      <c r="I3" s="4">
        <f>Table134567891011[[#This Row],[Established Average]]+3*Table134567891011[[#This Row],[SD]]</f>
        <v>187228.31608851952</v>
      </c>
      <c r="J3" s="4">
        <f>Table134567891011[[#This Row],[Established Average]]-3*Table134567891011[[#This Row],[SD]]</f>
        <v>89192.054281850884</v>
      </c>
      <c r="L3" s="8">
        <v>145022</v>
      </c>
      <c r="N3" t="s">
        <v>22</v>
      </c>
    </row>
    <row r="4" spans="1:18" x14ac:dyDescent="0.2">
      <c r="A4" s="2">
        <v>45724</v>
      </c>
      <c r="C4" s="7"/>
      <c r="D4" t="b">
        <f>AND(B4&lt;G4, B4&gt;H4, Table134567891011[[#This Row],[CV]]&lt;15)</f>
        <v>0</v>
      </c>
      <c r="E4" s="4">
        <f t="shared" si="1"/>
        <v>138210.1851851852</v>
      </c>
      <c r="F4" s="4">
        <f t="shared" si="0"/>
        <v>16339.376967778104</v>
      </c>
      <c r="G4" s="4">
        <f>Table134567891011[[#This Row],[Established Average]]+2*Table134567891011[[#This Row],[SD]]</f>
        <v>170888.93912074142</v>
      </c>
      <c r="H4" s="4">
        <f>Table134567891011[[#This Row],[Established Average]]-2*Table134567891011[[#This Row],[SD]]</f>
        <v>105531.43124962899</v>
      </c>
      <c r="I4" s="4">
        <f>Table134567891011[[#This Row],[Established Average]]+3*Table134567891011[[#This Row],[SD]]</f>
        <v>187228.31608851952</v>
      </c>
      <c r="J4" s="4">
        <f>Table134567891011[[#This Row],[Established Average]]-3*Table134567891011[[#This Row],[SD]]</f>
        <v>89192.054281850884</v>
      </c>
      <c r="L4" s="8">
        <v>149025</v>
      </c>
      <c r="N4">
        <f>N2/M2*100</f>
        <v>11.82212218722179</v>
      </c>
    </row>
    <row r="5" spans="1:18" x14ac:dyDescent="0.2">
      <c r="A5" s="2">
        <v>45725</v>
      </c>
      <c r="C5" s="7"/>
      <c r="D5" t="b">
        <f>AND(B5&lt;G5, B5&gt;H5, Table134567891011[[#This Row],[CV]]&lt;15)</f>
        <v>0</v>
      </c>
      <c r="E5" s="4">
        <f t="shared" si="1"/>
        <v>138210.1851851852</v>
      </c>
      <c r="F5" s="4">
        <f t="shared" si="0"/>
        <v>16339.376967778104</v>
      </c>
      <c r="G5" s="4">
        <f>Table134567891011[[#This Row],[Established Average]]+2*Table134567891011[[#This Row],[SD]]</f>
        <v>170888.93912074142</v>
      </c>
      <c r="H5" s="4">
        <f>Table134567891011[[#This Row],[Established Average]]-2*Table134567891011[[#This Row],[SD]]</f>
        <v>105531.43124962899</v>
      </c>
      <c r="I5" s="4">
        <f>Table134567891011[[#This Row],[Established Average]]+3*Table134567891011[[#This Row],[SD]]</f>
        <v>187228.31608851952</v>
      </c>
      <c r="J5" s="4">
        <f>Table134567891011[[#This Row],[Established Average]]-3*Table134567891011[[#This Row],[SD]]</f>
        <v>89192.054281850884</v>
      </c>
      <c r="L5" s="8">
        <v>153544</v>
      </c>
    </row>
    <row r="6" spans="1:18" x14ac:dyDescent="0.2">
      <c r="A6" s="2">
        <v>45726</v>
      </c>
      <c r="C6" s="7"/>
      <c r="D6" t="b">
        <f>AND(B6&lt;G6, B6&gt;H6, Table134567891011[[#This Row],[CV]]&lt;15)</f>
        <v>0</v>
      </c>
      <c r="E6" s="4">
        <f t="shared" si="1"/>
        <v>138210.1851851852</v>
      </c>
      <c r="F6" s="4">
        <f t="shared" si="0"/>
        <v>16339.376967778104</v>
      </c>
      <c r="G6" s="4">
        <f>Table134567891011[[#This Row],[Established Average]]+2*Table134567891011[[#This Row],[SD]]</f>
        <v>170888.93912074142</v>
      </c>
      <c r="H6" s="4">
        <f>Table134567891011[[#This Row],[Established Average]]-2*Table134567891011[[#This Row],[SD]]</f>
        <v>105531.43124962899</v>
      </c>
      <c r="I6" s="4">
        <f>Table134567891011[[#This Row],[Established Average]]+3*Table134567891011[[#This Row],[SD]]</f>
        <v>187228.31608851952</v>
      </c>
      <c r="J6" s="4">
        <f>Table134567891011[[#This Row],[Established Average]]-3*Table134567891011[[#This Row],[SD]]</f>
        <v>89192.054281850884</v>
      </c>
      <c r="L6" s="8">
        <v>140306</v>
      </c>
    </row>
    <row r="7" spans="1:18" x14ac:dyDescent="0.2">
      <c r="A7" s="2">
        <v>45727</v>
      </c>
      <c r="C7" s="7"/>
      <c r="D7" t="b">
        <f>AND(B7&lt;G7, B7&gt;H7, Table134567891011[[#This Row],[CV]]&lt;15)</f>
        <v>0</v>
      </c>
      <c r="E7" s="4">
        <f t="shared" si="1"/>
        <v>138210.1851851852</v>
      </c>
      <c r="F7" s="4">
        <f t="shared" si="0"/>
        <v>16339.376967778104</v>
      </c>
      <c r="G7" s="4">
        <f>Table134567891011[[#This Row],[Established Average]]+2*Table134567891011[[#This Row],[SD]]</f>
        <v>170888.93912074142</v>
      </c>
      <c r="H7" s="4">
        <f>Table134567891011[[#This Row],[Established Average]]-2*Table134567891011[[#This Row],[SD]]</f>
        <v>105531.43124962899</v>
      </c>
      <c r="I7" s="4">
        <f>Table134567891011[[#This Row],[Established Average]]+3*Table134567891011[[#This Row],[SD]]</f>
        <v>187228.31608851952</v>
      </c>
      <c r="J7" s="4">
        <f>Table134567891011[[#This Row],[Established Average]]-3*Table134567891011[[#This Row],[SD]]</f>
        <v>89192.054281850884</v>
      </c>
      <c r="L7" s="8">
        <v>132237</v>
      </c>
    </row>
    <row r="8" spans="1:18" x14ac:dyDescent="0.2">
      <c r="A8" s="2">
        <v>45728</v>
      </c>
      <c r="C8" s="7"/>
      <c r="D8" t="b">
        <f>AND(B8&lt;G8, B8&gt;H8, Table134567891011[[#This Row],[CV]]&lt;15)</f>
        <v>0</v>
      </c>
      <c r="E8" s="4">
        <f t="shared" si="1"/>
        <v>138210.1851851852</v>
      </c>
      <c r="F8" s="4">
        <f t="shared" si="0"/>
        <v>16339.376967778104</v>
      </c>
      <c r="G8" s="4">
        <f>Table134567891011[[#This Row],[Established Average]]+2*Table134567891011[[#This Row],[SD]]</f>
        <v>170888.93912074142</v>
      </c>
      <c r="H8" s="4">
        <f>Table134567891011[[#This Row],[Established Average]]-2*Table134567891011[[#This Row],[SD]]</f>
        <v>105531.43124962899</v>
      </c>
      <c r="I8" s="4">
        <f>Table134567891011[[#This Row],[Established Average]]+3*Table134567891011[[#This Row],[SD]]</f>
        <v>187228.31608851952</v>
      </c>
      <c r="J8" s="4">
        <f>Table134567891011[[#This Row],[Established Average]]-3*Table134567891011[[#This Row],[SD]]</f>
        <v>89192.054281850884</v>
      </c>
      <c r="L8" s="8">
        <v>168128</v>
      </c>
    </row>
    <row r="9" spans="1:18" x14ac:dyDescent="0.2">
      <c r="A9" s="2">
        <v>45729</v>
      </c>
      <c r="C9" s="7"/>
      <c r="D9" t="b">
        <f>AND(B9&lt;G9, B9&gt;H9, Table134567891011[[#This Row],[CV]]&lt;15)</f>
        <v>0</v>
      </c>
      <c r="E9" s="4">
        <f t="shared" si="1"/>
        <v>138210.1851851852</v>
      </c>
      <c r="F9" s="4">
        <f t="shared" si="0"/>
        <v>16339.376967778104</v>
      </c>
      <c r="G9" s="4">
        <f>Table134567891011[[#This Row],[Established Average]]+2*Table134567891011[[#This Row],[SD]]</f>
        <v>170888.93912074142</v>
      </c>
      <c r="H9" s="4">
        <f>Table134567891011[[#This Row],[Established Average]]-2*Table134567891011[[#This Row],[SD]]</f>
        <v>105531.43124962899</v>
      </c>
      <c r="I9" s="4">
        <f>Table134567891011[[#This Row],[Established Average]]+3*Table134567891011[[#This Row],[SD]]</f>
        <v>187228.31608851952</v>
      </c>
      <c r="J9" s="4">
        <f>Table134567891011[[#This Row],[Established Average]]-3*Table134567891011[[#This Row],[SD]]</f>
        <v>89192.054281850884</v>
      </c>
      <c r="L9" s="8">
        <v>166326</v>
      </c>
    </row>
    <row r="10" spans="1:18" x14ac:dyDescent="0.2">
      <c r="A10" s="2"/>
      <c r="C10" s="7"/>
      <c r="D10" t="b">
        <f>AND(B10&lt;G10, B10&gt;H10, Table134567891011[[#This Row],[CV]]&lt;15)</f>
        <v>0</v>
      </c>
      <c r="E10" s="4">
        <f t="shared" si="1"/>
        <v>138210.1851851852</v>
      </c>
      <c r="F10" s="4">
        <f t="shared" si="0"/>
        <v>16339.376967778104</v>
      </c>
      <c r="G10" s="4">
        <f>Table134567891011[[#This Row],[Established Average]]+2*Table134567891011[[#This Row],[SD]]</f>
        <v>170888.93912074142</v>
      </c>
      <c r="H10" s="4">
        <f>Table134567891011[[#This Row],[Established Average]]-2*Table134567891011[[#This Row],[SD]]</f>
        <v>105531.43124962899</v>
      </c>
      <c r="I10" s="4">
        <f>Table134567891011[[#This Row],[Established Average]]+3*Table134567891011[[#This Row],[SD]]</f>
        <v>187228.31608851952</v>
      </c>
      <c r="J10" s="4">
        <f>Table134567891011[[#This Row],[Established Average]]-3*Table134567891011[[#This Row],[SD]]</f>
        <v>89192.054281850884</v>
      </c>
      <c r="L10" s="8">
        <v>145981</v>
      </c>
    </row>
    <row r="11" spans="1:18" x14ac:dyDescent="0.2">
      <c r="A11" s="2"/>
      <c r="C11" s="7"/>
      <c r="D11" t="b">
        <f>AND(B11&lt;G11, B11&gt;H11, Table134567891011[[#This Row],[CV]]&lt;15)</f>
        <v>0</v>
      </c>
      <c r="E11" s="4">
        <f t="shared" si="1"/>
        <v>138210.1851851852</v>
      </c>
      <c r="F11" s="4">
        <f t="shared" si="0"/>
        <v>16339.376967778104</v>
      </c>
      <c r="G11" s="4">
        <f>Table134567891011[[#This Row],[Established Average]]+2*Table134567891011[[#This Row],[SD]]</f>
        <v>170888.93912074142</v>
      </c>
      <c r="H11" s="4">
        <f>Table134567891011[[#This Row],[Established Average]]-2*Table134567891011[[#This Row],[SD]]</f>
        <v>105531.43124962899</v>
      </c>
      <c r="I11" s="4">
        <f>Table134567891011[[#This Row],[Established Average]]+3*Table134567891011[[#This Row],[SD]]</f>
        <v>187228.31608851952</v>
      </c>
      <c r="J11" s="4">
        <f>Table134567891011[[#This Row],[Established Average]]-3*Table134567891011[[#This Row],[SD]]</f>
        <v>89192.054281850884</v>
      </c>
      <c r="L11" s="8">
        <v>139762</v>
      </c>
    </row>
    <row r="12" spans="1:18" x14ac:dyDescent="0.2">
      <c r="L12" s="8">
        <v>153402</v>
      </c>
    </row>
    <row r="13" spans="1:18" x14ac:dyDescent="0.2">
      <c r="L13" s="8">
        <v>152007</v>
      </c>
    </row>
    <row r="14" spans="1:18" x14ac:dyDescent="0.2">
      <c r="L14" s="8">
        <v>140216</v>
      </c>
    </row>
    <row r="15" spans="1:18" x14ac:dyDescent="0.2">
      <c r="L15" s="8">
        <v>148970</v>
      </c>
    </row>
    <row r="16" spans="1:18" x14ac:dyDescent="0.2">
      <c r="L16" s="8">
        <v>129041</v>
      </c>
    </row>
    <row r="17" spans="12:12" x14ac:dyDescent="0.2">
      <c r="L17" s="8">
        <v>154736</v>
      </c>
    </row>
    <row r="18" spans="12:12" x14ac:dyDescent="0.2">
      <c r="L18" s="8">
        <v>129125</v>
      </c>
    </row>
    <row r="19" spans="12:12" x14ac:dyDescent="0.2">
      <c r="L19" s="8">
        <v>155104</v>
      </c>
    </row>
    <row r="20" spans="12:12" x14ac:dyDescent="0.2">
      <c r="L20" s="8">
        <v>125810</v>
      </c>
    </row>
    <row r="21" spans="12:12" x14ac:dyDescent="0.2">
      <c r="L21" s="8">
        <v>127247</v>
      </c>
    </row>
    <row r="22" spans="12:12" x14ac:dyDescent="0.2">
      <c r="L22" s="8">
        <v>130291</v>
      </c>
    </row>
    <row r="23" spans="12:12" x14ac:dyDescent="0.2">
      <c r="L23" s="8">
        <v>127068</v>
      </c>
    </row>
    <row r="24" spans="12:12" x14ac:dyDescent="0.2">
      <c r="L24" s="8">
        <v>97096</v>
      </c>
    </row>
    <row r="25" spans="12:12" x14ac:dyDescent="0.2">
      <c r="L25" s="8">
        <v>121843</v>
      </c>
    </row>
    <row r="26" spans="12:12" x14ac:dyDescent="0.2">
      <c r="L26" s="8">
        <v>121515</v>
      </c>
    </row>
    <row r="27" spans="12:12" x14ac:dyDescent="0.2">
      <c r="L27" s="8">
        <v>111059</v>
      </c>
    </row>
    <row r="28" spans="12:12" x14ac:dyDescent="0.2">
      <c r="L28" s="8">
        <v>131505</v>
      </c>
    </row>
    <row r="29" spans="12:12" x14ac:dyDescent="0.2">
      <c r="L29" s="8"/>
    </row>
    <row r="30" spans="12:12" x14ac:dyDescent="0.2">
      <c r="L30" s="8"/>
    </row>
    <row r="31" spans="12:12" x14ac:dyDescent="0.2">
      <c r="L31" s="8"/>
    </row>
    <row r="32" spans="12:12" x14ac:dyDescent="0.2">
      <c r="L32" s="8"/>
    </row>
    <row r="33" spans="12:12" x14ac:dyDescent="0.2">
      <c r="L33" s="8"/>
    </row>
    <row r="34" spans="12:12" x14ac:dyDescent="0.2">
      <c r="L34" s="8"/>
    </row>
    <row r="35" spans="12:12" x14ac:dyDescent="0.2">
      <c r="L35" s="8"/>
    </row>
    <row r="36" spans="12:12" x14ac:dyDescent="0.2"/>
    <row r="37" spans="12:12" x14ac:dyDescent="0.2">
      <c r="L37" s="8"/>
    </row>
    <row r="38" spans="12:12" x14ac:dyDescent="0.2">
      <c r="L38" s="8"/>
    </row>
  </sheetData>
  <conditionalFormatting sqref="D1:D11 I12:I1048576">
    <cfRule type="containsText" dxfId="5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38DE-3188-4DF1-80BB-2EFCBD10DA2D}">
  <dimension ref="A1:R38"/>
  <sheetViews>
    <sheetView topLeftCell="L1" workbookViewId="0">
      <selection activeCell="N2" sqref="N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3" max="13" width="9.832031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9">
        <v>29740.67</v>
      </c>
      <c r="C2" s="8">
        <v>16.7407</v>
      </c>
      <c r="D2" t="b">
        <f>AND(B2&lt;G2, B2&gt;H2, Table13456789101112[[#This Row],[CV]]&lt;15)</f>
        <v>0</v>
      </c>
      <c r="E2" s="4">
        <f>AVERAGE(L:L)</f>
        <v>40225.970588235294</v>
      </c>
      <c r="F2" s="4">
        <f t="shared" ref="F2:F11" si="0">_xlfn.STDEV.S(L:L)</f>
        <v>6058.0104118946429</v>
      </c>
      <c r="G2" s="4">
        <f>Table13456789101112[[#This Row],[Established Average]]+2*Table13456789101112[[#This Row],[SD]]</f>
        <v>52341.991412024581</v>
      </c>
      <c r="H2" s="4">
        <f>Table13456789101112[[#This Row],[Established Average]]-2*Table13456789101112[[#This Row],[SD]]</f>
        <v>28109.949764446006</v>
      </c>
      <c r="I2" s="4">
        <f>Table13456789101112[[#This Row],[Established Average]]+3*Table13456789101112[[#This Row],[SD]]</f>
        <v>58400.001823919221</v>
      </c>
      <c r="J2" s="4">
        <f>Table13456789101112[[#This Row],[Established Average]]-3*Table13456789101112[[#This Row],[SD]]</f>
        <v>22051.939352551366</v>
      </c>
      <c r="L2" s="8">
        <v>35751</v>
      </c>
      <c r="M2" s="4">
        <f>AVERAGE(L:L)</f>
        <v>40225.970588235294</v>
      </c>
      <c r="N2" s="4">
        <f>_xlfn.STDEV.S(L:L)</f>
        <v>6058.0104118946429</v>
      </c>
      <c r="O2" s="4">
        <f>M2+2*N2</f>
        <v>52341.991412024581</v>
      </c>
      <c r="P2" s="4">
        <f>M2-2*N2</f>
        <v>28109.949764446006</v>
      </c>
      <c r="Q2" s="4">
        <f>M2+3*N2</f>
        <v>58400.001823919221</v>
      </c>
      <c r="R2">
        <f>M2-3*N2</f>
        <v>22051.939352551366</v>
      </c>
    </row>
    <row r="3" spans="1:18" x14ac:dyDescent="0.2">
      <c r="A3" s="2">
        <v>45723</v>
      </c>
      <c r="C3" s="7"/>
      <c r="D3" t="b">
        <f>AND(B3&lt;G3, B3&gt;H3, Table13456789101112[[#This Row],[CV]]&lt;15)</f>
        <v>0</v>
      </c>
      <c r="E3" s="4">
        <f t="shared" ref="E3:E11" si="1">AVERAGE(L:L)</f>
        <v>40225.970588235294</v>
      </c>
      <c r="F3" s="4">
        <f t="shared" si="0"/>
        <v>6058.0104118946429</v>
      </c>
      <c r="G3" s="4">
        <f>Table13456789101112[[#This Row],[Established Average]]+2*Table13456789101112[[#This Row],[SD]]</f>
        <v>52341.991412024581</v>
      </c>
      <c r="H3" s="4">
        <f>Table13456789101112[[#This Row],[Established Average]]-2*Table13456789101112[[#This Row],[SD]]</f>
        <v>28109.949764446006</v>
      </c>
      <c r="I3" s="4">
        <f>Table13456789101112[[#This Row],[Established Average]]+3*Table13456789101112[[#This Row],[SD]]</f>
        <v>58400.001823919221</v>
      </c>
      <c r="J3" s="4">
        <f>Table13456789101112[[#This Row],[Established Average]]-3*Table13456789101112[[#This Row],[SD]]</f>
        <v>22051.939352551366</v>
      </c>
      <c r="L3" s="8">
        <v>30212</v>
      </c>
      <c r="N3" t="s">
        <v>22</v>
      </c>
    </row>
    <row r="4" spans="1:18" x14ac:dyDescent="0.2">
      <c r="A4" s="2">
        <v>45724</v>
      </c>
      <c r="C4" s="7"/>
      <c r="D4" t="b">
        <f>AND(B4&lt;G4, B4&gt;H4, Table13456789101112[[#This Row],[CV]]&lt;15)</f>
        <v>0</v>
      </c>
      <c r="E4" s="4">
        <f t="shared" si="1"/>
        <v>40225.970588235294</v>
      </c>
      <c r="F4" s="4">
        <f t="shared" si="0"/>
        <v>6058.0104118946429</v>
      </c>
      <c r="G4" s="4">
        <f>Table13456789101112[[#This Row],[Established Average]]+2*Table13456789101112[[#This Row],[SD]]</f>
        <v>52341.991412024581</v>
      </c>
      <c r="H4" s="4">
        <f>Table13456789101112[[#This Row],[Established Average]]-2*Table13456789101112[[#This Row],[SD]]</f>
        <v>28109.949764446006</v>
      </c>
      <c r="I4" s="4">
        <f>Table13456789101112[[#This Row],[Established Average]]+3*Table13456789101112[[#This Row],[SD]]</f>
        <v>58400.001823919221</v>
      </c>
      <c r="J4" s="4">
        <f>Table13456789101112[[#This Row],[Established Average]]-3*Table13456789101112[[#This Row],[SD]]</f>
        <v>22051.939352551366</v>
      </c>
      <c r="L4" s="8">
        <v>33563</v>
      </c>
      <c r="N4">
        <f>N2/M2*100</f>
        <v>15.059948394797468</v>
      </c>
    </row>
    <row r="5" spans="1:18" x14ac:dyDescent="0.2">
      <c r="A5" s="2">
        <v>45725</v>
      </c>
      <c r="C5" s="7"/>
      <c r="D5" t="b">
        <f>AND(B5&lt;G5, B5&gt;H5, Table13456789101112[[#This Row],[CV]]&lt;15)</f>
        <v>0</v>
      </c>
      <c r="E5" s="4">
        <f t="shared" si="1"/>
        <v>40225.970588235294</v>
      </c>
      <c r="F5" s="4">
        <f t="shared" si="0"/>
        <v>6058.0104118946429</v>
      </c>
      <c r="G5" s="4">
        <f>Table13456789101112[[#This Row],[Established Average]]+2*Table13456789101112[[#This Row],[SD]]</f>
        <v>52341.991412024581</v>
      </c>
      <c r="H5" s="4">
        <f>Table13456789101112[[#This Row],[Established Average]]-2*Table13456789101112[[#This Row],[SD]]</f>
        <v>28109.949764446006</v>
      </c>
      <c r="I5" s="4">
        <f>Table13456789101112[[#This Row],[Established Average]]+3*Table13456789101112[[#This Row],[SD]]</f>
        <v>58400.001823919221</v>
      </c>
      <c r="J5" s="4">
        <f>Table13456789101112[[#This Row],[Established Average]]-3*Table13456789101112[[#This Row],[SD]]</f>
        <v>22051.939352551366</v>
      </c>
      <c r="L5" s="8">
        <v>36260</v>
      </c>
    </row>
    <row r="6" spans="1:18" x14ac:dyDescent="0.2">
      <c r="A6" s="2">
        <v>45726</v>
      </c>
      <c r="C6" s="7"/>
      <c r="D6" t="b">
        <f>AND(B6&lt;G6, B6&gt;H6, Table13456789101112[[#This Row],[CV]]&lt;15)</f>
        <v>0</v>
      </c>
      <c r="E6" s="4">
        <f t="shared" si="1"/>
        <v>40225.970588235294</v>
      </c>
      <c r="F6" s="4">
        <f t="shared" si="0"/>
        <v>6058.0104118946429</v>
      </c>
      <c r="G6" s="4">
        <f>Table13456789101112[[#This Row],[Established Average]]+2*Table13456789101112[[#This Row],[SD]]</f>
        <v>52341.991412024581</v>
      </c>
      <c r="H6" s="4">
        <f>Table13456789101112[[#This Row],[Established Average]]-2*Table13456789101112[[#This Row],[SD]]</f>
        <v>28109.949764446006</v>
      </c>
      <c r="I6" s="4">
        <f>Table13456789101112[[#This Row],[Established Average]]+3*Table13456789101112[[#This Row],[SD]]</f>
        <v>58400.001823919221</v>
      </c>
      <c r="J6" s="4">
        <f>Table13456789101112[[#This Row],[Established Average]]-3*Table13456789101112[[#This Row],[SD]]</f>
        <v>22051.939352551366</v>
      </c>
      <c r="L6" s="8">
        <v>37730</v>
      </c>
    </row>
    <row r="7" spans="1:18" x14ac:dyDescent="0.2">
      <c r="A7" s="2">
        <v>45727</v>
      </c>
      <c r="C7" s="7"/>
      <c r="D7" t="b">
        <f>AND(B7&lt;G7, B7&gt;H7, Table13456789101112[[#This Row],[CV]]&lt;15)</f>
        <v>0</v>
      </c>
      <c r="E7" s="4">
        <f t="shared" si="1"/>
        <v>40225.970588235294</v>
      </c>
      <c r="F7" s="4">
        <f t="shared" si="0"/>
        <v>6058.0104118946429</v>
      </c>
      <c r="G7" s="4">
        <f>Table13456789101112[[#This Row],[Established Average]]+2*Table13456789101112[[#This Row],[SD]]</f>
        <v>52341.991412024581</v>
      </c>
      <c r="H7" s="4">
        <f>Table13456789101112[[#This Row],[Established Average]]-2*Table13456789101112[[#This Row],[SD]]</f>
        <v>28109.949764446006</v>
      </c>
      <c r="I7" s="4">
        <f>Table13456789101112[[#This Row],[Established Average]]+3*Table13456789101112[[#This Row],[SD]]</f>
        <v>58400.001823919221</v>
      </c>
      <c r="J7" s="4">
        <f>Table13456789101112[[#This Row],[Established Average]]-3*Table13456789101112[[#This Row],[SD]]</f>
        <v>22051.939352551366</v>
      </c>
      <c r="L7" s="8">
        <v>27228</v>
      </c>
    </row>
    <row r="8" spans="1:18" x14ac:dyDescent="0.2">
      <c r="A8" s="2">
        <v>45728</v>
      </c>
      <c r="C8" s="7"/>
      <c r="D8" t="b">
        <f>AND(B8&lt;G8, B8&gt;H8, Table13456789101112[[#This Row],[CV]]&lt;15)</f>
        <v>0</v>
      </c>
      <c r="E8" s="4">
        <f t="shared" si="1"/>
        <v>40225.970588235294</v>
      </c>
      <c r="F8" s="4">
        <f t="shared" si="0"/>
        <v>6058.0104118946429</v>
      </c>
      <c r="G8" s="4">
        <f>Table13456789101112[[#This Row],[Established Average]]+2*Table13456789101112[[#This Row],[SD]]</f>
        <v>52341.991412024581</v>
      </c>
      <c r="H8" s="4">
        <f>Table13456789101112[[#This Row],[Established Average]]-2*Table13456789101112[[#This Row],[SD]]</f>
        <v>28109.949764446006</v>
      </c>
      <c r="I8" s="4">
        <f>Table13456789101112[[#This Row],[Established Average]]+3*Table13456789101112[[#This Row],[SD]]</f>
        <v>58400.001823919221</v>
      </c>
      <c r="J8" s="4">
        <f>Table13456789101112[[#This Row],[Established Average]]-3*Table13456789101112[[#This Row],[SD]]</f>
        <v>22051.939352551366</v>
      </c>
      <c r="L8" s="8">
        <v>33423</v>
      </c>
    </row>
    <row r="9" spans="1:18" x14ac:dyDescent="0.2">
      <c r="A9" s="2">
        <v>45729</v>
      </c>
      <c r="C9" s="7"/>
      <c r="D9" t="b">
        <f>AND(B9&lt;G9, B9&gt;H9, Table13456789101112[[#This Row],[CV]]&lt;15)</f>
        <v>0</v>
      </c>
      <c r="E9" s="4">
        <f t="shared" si="1"/>
        <v>40225.970588235294</v>
      </c>
      <c r="F9" s="4">
        <f t="shared" si="0"/>
        <v>6058.0104118946429</v>
      </c>
      <c r="G9" s="4">
        <f>Table13456789101112[[#This Row],[Established Average]]+2*Table13456789101112[[#This Row],[SD]]</f>
        <v>52341.991412024581</v>
      </c>
      <c r="H9" s="4">
        <f>Table13456789101112[[#This Row],[Established Average]]-2*Table13456789101112[[#This Row],[SD]]</f>
        <v>28109.949764446006</v>
      </c>
      <c r="I9" s="4">
        <f>Table13456789101112[[#This Row],[Established Average]]+3*Table13456789101112[[#This Row],[SD]]</f>
        <v>58400.001823919221</v>
      </c>
      <c r="J9" s="4">
        <f>Table13456789101112[[#This Row],[Established Average]]-3*Table13456789101112[[#This Row],[SD]]</f>
        <v>22051.939352551366</v>
      </c>
      <c r="L9" s="8">
        <v>27008</v>
      </c>
    </row>
    <row r="10" spans="1:18" x14ac:dyDescent="0.2">
      <c r="A10" s="2"/>
      <c r="C10" s="7"/>
      <c r="D10" t="b">
        <f>AND(B10&lt;G10, B10&gt;H10, Table13456789101112[[#This Row],[CV]]&lt;15)</f>
        <v>0</v>
      </c>
      <c r="E10" s="4">
        <f t="shared" si="1"/>
        <v>40225.970588235294</v>
      </c>
      <c r="F10" s="4">
        <f t="shared" si="0"/>
        <v>6058.0104118946429</v>
      </c>
      <c r="G10" s="4">
        <f>Table13456789101112[[#This Row],[Established Average]]+2*Table13456789101112[[#This Row],[SD]]</f>
        <v>52341.991412024581</v>
      </c>
      <c r="H10" s="4">
        <f>Table13456789101112[[#This Row],[Established Average]]-2*Table13456789101112[[#This Row],[SD]]</f>
        <v>28109.949764446006</v>
      </c>
      <c r="I10" s="4">
        <f>Table13456789101112[[#This Row],[Established Average]]+3*Table13456789101112[[#This Row],[SD]]</f>
        <v>58400.001823919221</v>
      </c>
      <c r="J10" s="4">
        <f>Table13456789101112[[#This Row],[Established Average]]-3*Table13456789101112[[#This Row],[SD]]</f>
        <v>22051.939352551366</v>
      </c>
      <c r="L10" s="8">
        <v>36226</v>
      </c>
    </row>
    <row r="11" spans="1:18" x14ac:dyDescent="0.2">
      <c r="A11" s="2"/>
      <c r="C11" s="7"/>
      <c r="D11" t="b">
        <f>AND(B11&lt;G11, B11&gt;H11, Table13456789101112[[#This Row],[CV]]&lt;15)</f>
        <v>0</v>
      </c>
      <c r="E11" s="4">
        <f t="shared" si="1"/>
        <v>40225.970588235294</v>
      </c>
      <c r="F11" s="4">
        <f t="shared" si="0"/>
        <v>6058.0104118946429</v>
      </c>
      <c r="G11" s="4">
        <f>Table13456789101112[[#This Row],[Established Average]]+2*Table13456789101112[[#This Row],[SD]]</f>
        <v>52341.991412024581</v>
      </c>
      <c r="H11" s="4">
        <f>Table13456789101112[[#This Row],[Established Average]]-2*Table13456789101112[[#This Row],[SD]]</f>
        <v>28109.949764446006</v>
      </c>
      <c r="I11" s="4">
        <f>Table13456789101112[[#This Row],[Established Average]]+3*Table13456789101112[[#This Row],[SD]]</f>
        <v>58400.001823919221</v>
      </c>
      <c r="J11" s="4">
        <f>Table13456789101112[[#This Row],[Established Average]]-3*Table13456789101112[[#This Row],[SD]]</f>
        <v>22051.939352551366</v>
      </c>
      <c r="L11" s="8">
        <v>39027</v>
      </c>
    </row>
    <row r="12" spans="1:18" x14ac:dyDescent="0.2">
      <c r="L12" s="8">
        <v>46390</v>
      </c>
    </row>
    <row r="13" spans="1:18" x14ac:dyDescent="0.2">
      <c r="L13" s="8">
        <v>40674</v>
      </c>
    </row>
    <row r="14" spans="1:18" x14ac:dyDescent="0.2">
      <c r="L14" s="8">
        <v>42698</v>
      </c>
    </row>
    <row r="15" spans="1:18" x14ac:dyDescent="0.2">
      <c r="L15" s="8">
        <v>49731</v>
      </c>
    </row>
    <row r="16" spans="1:18" x14ac:dyDescent="0.2">
      <c r="L16" s="8">
        <v>47768</v>
      </c>
    </row>
    <row r="17" spans="12:12" x14ac:dyDescent="0.2">
      <c r="L17" s="8">
        <v>51635</v>
      </c>
    </row>
    <row r="18" spans="12:12" x14ac:dyDescent="0.2">
      <c r="L18" s="8">
        <v>46641</v>
      </c>
    </row>
    <row r="19" spans="12:12" x14ac:dyDescent="0.2">
      <c r="L19" s="8">
        <v>44697</v>
      </c>
    </row>
    <row r="20" spans="12:12" x14ac:dyDescent="0.2">
      <c r="L20" s="8">
        <v>39334</v>
      </c>
    </row>
    <row r="21" spans="12:12" x14ac:dyDescent="0.2">
      <c r="L21" s="8">
        <v>34323</v>
      </c>
    </row>
    <row r="22" spans="12:12" x14ac:dyDescent="0.2">
      <c r="L22" s="8">
        <v>40365</v>
      </c>
    </row>
    <row r="23" spans="12:12" x14ac:dyDescent="0.2">
      <c r="L23" s="8">
        <v>39640</v>
      </c>
    </row>
    <row r="24" spans="12:12" x14ac:dyDescent="0.2">
      <c r="L24" s="8">
        <v>41584</v>
      </c>
    </row>
    <row r="25" spans="12:12" x14ac:dyDescent="0.2">
      <c r="L25" s="8">
        <v>45457</v>
      </c>
    </row>
    <row r="26" spans="12:12" x14ac:dyDescent="0.2">
      <c r="L26" s="8">
        <v>32684</v>
      </c>
    </row>
    <row r="27" spans="12:12" x14ac:dyDescent="0.2">
      <c r="L27" s="8">
        <v>44913</v>
      </c>
    </row>
    <row r="28" spans="12:12" x14ac:dyDescent="0.2">
      <c r="L28" s="8">
        <v>45760</v>
      </c>
    </row>
    <row r="29" spans="12:12" x14ac:dyDescent="0.2">
      <c r="L29" s="8">
        <v>41789</v>
      </c>
    </row>
    <row r="30" spans="12:12" x14ac:dyDescent="0.2">
      <c r="L30" s="8">
        <v>40660</v>
      </c>
    </row>
    <row r="31" spans="12:12" x14ac:dyDescent="0.2">
      <c r="L31" s="8">
        <v>41575</v>
      </c>
    </row>
    <row r="32" spans="12:12" x14ac:dyDescent="0.2">
      <c r="L32" s="8">
        <v>45806</v>
      </c>
    </row>
    <row r="33" spans="12:12" x14ac:dyDescent="0.2">
      <c r="L33" s="8">
        <v>44922</v>
      </c>
    </row>
    <row r="34" spans="12:12" x14ac:dyDescent="0.2">
      <c r="L34" s="8">
        <v>41511</v>
      </c>
    </row>
    <row r="35" spans="12:12" x14ac:dyDescent="0.2">
      <c r="L35" s="8">
        <v>40698</v>
      </c>
    </row>
    <row r="36" spans="12:12" x14ac:dyDescent="0.2"/>
    <row r="37" spans="12:12" x14ac:dyDescent="0.2">
      <c r="L37" s="8"/>
    </row>
    <row r="38" spans="12:12" x14ac:dyDescent="0.2">
      <c r="L38" s="8"/>
    </row>
  </sheetData>
  <conditionalFormatting sqref="D1:D11 I12:I1048576">
    <cfRule type="containsText" dxfId="4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C603-1A09-44CD-B2DA-3A81F7DC4A62}">
  <dimension ref="A1:R38"/>
  <sheetViews>
    <sheetView topLeftCell="J1" workbookViewId="0">
      <selection activeCell="N2" sqref="N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3" max="13" width="9.832031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9">
        <v>60541.83</v>
      </c>
      <c r="C2" s="8">
        <v>9.1610829999999996</v>
      </c>
      <c r="D2" t="b">
        <f>AND(B2&lt;G2, B2&gt;H2, Table1345678910111213[[#This Row],[CV]]&lt;15)</f>
        <v>0</v>
      </c>
      <c r="E2" s="4">
        <f>AVERAGE(L:L)</f>
        <v>33151.588235294119</v>
      </c>
      <c r="F2" s="4">
        <f t="shared" ref="F2:F11" si="0">_xlfn.STDEV.S(L:L)</f>
        <v>4876.6790247216722</v>
      </c>
      <c r="G2" s="4">
        <f>Table1345678910111213[[#This Row],[Established Average]]+2*Table1345678910111213[[#This Row],[SD]]</f>
        <v>42904.946284737467</v>
      </c>
      <c r="H2" s="4">
        <f>Table1345678910111213[[#This Row],[Established Average]]-2*Table1345678910111213[[#This Row],[SD]]</f>
        <v>23398.230185850774</v>
      </c>
      <c r="I2" s="4">
        <f>Table1345678910111213[[#This Row],[Established Average]]+3*Table1345678910111213[[#This Row],[SD]]</f>
        <v>47781.625309459137</v>
      </c>
      <c r="J2" s="4">
        <f>Table1345678910111213[[#This Row],[Established Average]]-3*Table1345678910111213[[#This Row],[SD]]</f>
        <v>18521.5511611291</v>
      </c>
      <c r="L2" s="8">
        <v>36094</v>
      </c>
      <c r="M2" s="4">
        <f>AVERAGE(L:L)</f>
        <v>33151.588235294119</v>
      </c>
      <c r="N2" s="4">
        <f>_xlfn.STDEV.S(L:L)</f>
        <v>4876.6790247216722</v>
      </c>
      <c r="O2" s="4">
        <f>M2+2*N2</f>
        <v>42904.946284737467</v>
      </c>
      <c r="P2" s="4">
        <f>M2-2*N2</f>
        <v>23398.230185850774</v>
      </c>
      <c r="Q2" s="4">
        <f>M2+3*N2</f>
        <v>47781.625309459137</v>
      </c>
      <c r="R2">
        <f>M2-3*N2</f>
        <v>18521.5511611291</v>
      </c>
    </row>
    <row r="3" spans="1:18" x14ac:dyDescent="0.2">
      <c r="A3" s="2">
        <v>45723</v>
      </c>
      <c r="C3" s="7"/>
      <c r="D3" t="b">
        <f>AND(B3&lt;G3, B3&gt;H3, Table1345678910111213[[#This Row],[CV]]&lt;15)</f>
        <v>0</v>
      </c>
      <c r="E3" s="4">
        <f t="shared" ref="E3:E11" si="1">AVERAGE(L:L)</f>
        <v>33151.588235294119</v>
      </c>
      <c r="F3" s="4">
        <f t="shared" si="0"/>
        <v>4876.6790247216722</v>
      </c>
      <c r="G3" s="4">
        <f>Table1345678910111213[[#This Row],[Established Average]]+2*Table1345678910111213[[#This Row],[SD]]</f>
        <v>42904.946284737467</v>
      </c>
      <c r="H3" s="4">
        <f>Table1345678910111213[[#This Row],[Established Average]]-2*Table1345678910111213[[#This Row],[SD]]</f>
        <v>23398.230185850774</v>
      </c>
      <c r="I3" s="4">
        <f>Table1345678910111213[[#This Row],[Established Average]]+3*Table1345678910111213[[#This Row],[SD]]</f>
        <v>47781.625309459137</v>
      </c>
      <c r="J3" s="4">
        <f>Table1345678910111213[[#This Row],[Established Average]]-3*Table1345678910111213[[#This Row],[SD]]</f>
        <v>18521.5511611291</v>
      </c>
      <c r="L3" s="8">
        <v>34026</v>
      </c>
      <c r="N3" t="s">
        <v>22</v>
      </c>
    </row>
    <row r="4" spans="1:18" x14ac:dyDescent="0.2">
      <c r="A4" s="2">
        <v>45724</v>
      </c>
      <c r="C4" s="7"/>
      <c r="D4" t="b">
        <f>AND(B4&lt;G4, B4&gt;H4, Table1345678910111213[[#This Row],[CV]]&lt;15)</f>
        <v>0</v>
      </c>
      <c r="E4" s="4">
        <f t="shared" si="1"/>
        <v>33151.588235294119</v>
      </c>
      <c r="F4" s="4">
        <f t="shared" si="0"/>
        <v>4876.6790247216722</v>
      </c>
      <c r="G4" s="4">
        <f>Table1345678910111213[[#This Row],[Established Average]]+2*Table1345678910111213[[#This Row],[SD]]</f>
        <v>42904.946284737467</v>
      </c>
      <c r="H4" s="4">
        <f>Table1345678910111213[[#This Row],[Established Average]]-2*Table1345678910111213[[#This Row],[SD]]</f>
        <v>23398.230185850774</v>
      </c>
      <c r="I4" s="4">
        <f>Table1345678910111213[[#This Row],[Established Average]]+3*Table1345678910111213[[#This Row],[SD]]</f>
        <v>47781.625309459137</v>
      </c>
      <c r="J4" s="4">
        <f>Table1345678910111213[[#This Row],[Established Average]]-3*Table1345678910111213[[#This Row],[SD]]</f>
        <v>18521.5511611291</v>
      </c>
      <c r="L4" s="8">
        <v>39864</v>
      </c>
      <c r="N4">
        <f>N2/M2*100</f>
        <v>14.710242508169854</v>
      </c>
    </row>
    <row r="5" spans="1:18" x14ac:dyDescent="0.2">
      <c r="A5" s="2">
        <v>45725</v>
      </c>
      <c r="C5" s="7"/>
      <c r="D5" t="b">
        <f>AND(B5&lt;G5, B5&gt;H5, Table1345678910111213[[#This Row],[CV]]&lt;15)</f>
        <v>0</v>
      </c>
      <c r="E5" s="4">
        <f t="shared" si="1"/>
        <v>33151.588235294119</v>
      </c>
      <c r="F5" s="4">
        <f t="shared" si="0"/>
        <v>4876.6790247216722</v>
      </c>
      <c r="G5" s="4">
        <f>Table1345678910111213[[#This Row],[Established Average]]+2*Table1345678910111213[[#This Row],[SD]]</f>
        <v>42904.946284737467</v>
      </c>
      <c r="H5" s="4">
        <f>Table1345678910111213[[#This Row],[Established Average]]-2*Table1345678910111213[[#This Row],[SD]]</f>
        <v>23398.230185850774</v>
      </c>
      <c r="I5" s="4">
        <f>Table1345678910111213[[#This Row],[Established Average]]+3*Table1345678910111213[[#This Row],[SD]]</f>
        <v>47781.625309459137</v>
      </c>
      <c r="J5" s="4">
        <f>Table1345678910111213[[#This Row],[Established Average]]-3*Table1345678910111213[[#This Row],[SD]]</f>
        <v>18521.5511611291</v>
      </c>
      <c r="L5" s="8">
        <v>37360</v>
      </c>
    </row>
    <row r="6" spans="1:18" x14ac:dyDescent="0.2">
      <c r="A6" s="2">
        <v>45726</v>
      </c>
      <c r="C6" s="7"/>
      <c r="D6" t="b">
        <f>AND(B6&lt;G6, B6&gt;H6, Table1345678910111213[[#This Row],[CV]]&lt;15)</f>
        <v>0</v>
      </c>
      <c r="E6" s="4">
        <f t="shared" si="1"/>
        <v>33151.588235294119</v>
      </c>
      <c r="F6" s="4">
        <f t="shared" si="0"/>
        <v>4876.6790247216722</v>
      </c>
      <c r="G6" s="4">
        <f>Table1345678910111213[[#This Row],[Established Average]]+2*Table1345678910111213[[#This Row],[SD]]</f>
        <v>42904.946284737467</v>
      </c>
      <c r="H6" s="4">
        <f>Table1345678910111213[[#This Row],[Established Average]]-2*Table1345678910111213[[#This Row],[SD]]</f>
        <v>23398.230185850774</v>
      </c>
      <c r="I6" s="4">
        <f>Table1345678910111213[[#This Row],[Established Average]]+3*Table1345678910111213[[#This Row],[SD]]</f>
        <v>47781.625309459137</v>
      </c>
      <c r="J6" s="4">
        <f>Table1345678910111213[[#This Row],[Established Average]]-3*Table1345678910111213[[#This Row],[SD]]</f>
        <v>18521.5511611291</v>
      </c>
      <c r="L6" s="8">
        <v>34248</v>
      </c>
    </row>
    <row r="7" spans="1:18" x14ac:dyDescent="0.2">
      <c r="A7" s="2">
        <v>45727</v>
      </c>
      <c r="C7" s="7"/>
      <c r="D7" t="b">
        <f>AND(B7&lt;G7, B7&gt;H7, Table1345678910111213[[#This Row],[CV]]&lt;15)</f>
        <v>0</v>
      </c>
      <c r="E7" s="4">
        <f t="shared" si="1"/>
        <v>33151.588235294119</v>
      </c>
      <c r="F7" s="4">
        <f t="shared" si="0"/>
        <v>4876.6790247216722</v>
      </c>
      <c r="G7" s="4">
        <f>Table1345678910111213[[#This Row],[Established Average]]+2*Table1345678910111213[[#This Row],[SD]]</f>
        <v>42904.946284737467</v>
      </c>
      <c r="H7" s="4">
        <f>Table1345678910111213[[#This Row],[Established Average]]-2*Table1345678910111213[[#This Row],[SD]]</f>
        <v>23398.230185850774</v>
      </c>
      <c r="I7" s="4">
        <f>Table1345678910111213[[#This Row],[Established Average]]+3*Table1345678910111213[[#This Row],[SD]]</f>
        <v>47781.625309459137</v>
      </c>
      <c r="J7" s="4">
        <f>Table1345678910111213[[#This Row],[Established Average]]-3*Table1345678910111213[[#This Row],[SD]]</f>
        <v>18521.5511611291</v>
      </c>
      <c r="L7" s="8">
        <v>32677</v>
      </c>
    </row>
    <row r="8" spans="1:18" x14ac:dyDescent="0.2">
      <c r="A8" s="2">
        <v>45728</v>
      </c>
      <c r="C8" s="7"/>
      <c r="D8" t="b">
        <f>AND(B8&lt;G8, B8&gt;H8, Table1345678910111213[[#This Row],[CV]]&lt;15)</f>
        <v>0</v>
      </c>
      <c r="E8" s="4">
        <f t="shared" si="1"/>
        <v>33151.588235294119</v>
      </c>
      <c r="F8" s="4">
        <f t="shared" si="0"/>
        <v>4876.6790247216722</v>
      </c>
      <c r="G8" s="4">
        <f>Table1345678910111213[[#This Row],[Established Average]]+2*Table1345678910111213[[#This Row],[SD]]</f>
        <v>42904.946284737467</v>
      </c>
      <c r="H8" s="4">
        <f>Table1345678910111213[[#This Row],[Established Average]]-2*Table1345678910111213[[#This Row],[SD]]</f>
        <v>23398.230185850774</v>
      </c>
      <c r="I8" s="4">
        <f>Table1345678910111213[[#This Row],[Established Average]]+3*Table1345678910111213[[#This Row],[SD]]</f>
        <v>47781.625309459137</v>
      </c>
      <c r="J8" s="4">
        <f>Table1345678910111213[[#This Row],[Established Average]]-3*Table1345678910111213[[#This Row],[SD]]</f>
        <v>18521.5511611291</v>
      </c>
      <c r="L8" s="8">
        <v>27091</v>
      </c>
    </row>
    <row r="9" spans="1:18" x14ac:dyDescent="0.2">
      <c r="A9" s="2">
        <v>45729</v>
      </c>
      <c r="C9" s="7"/>
      <c r="D9" t="b">
        <f>AND(B9&lt;G9, B9&gt;H9, Table1345678910111213[[#This Row],[CV]]&lt;15)</f>
        <v>0</v>
      </c>
      <c r="E9" s="4">
        <f t="shared" si="1"/>
        <v>33151.588235294119</v>
      </c>
      <c r="F9" s="4">
        <f t="shared" si="0"/>
        <v>4876.6790247216722</v>
      </c>
      <c r="G9" s="4">
        <f>Table1345678910111213[[#This Row],[Established Average]]+2*Table1345678910111213[[#This Row],[SD]]</f>
        <v>42904.946284737467</v>
      </c>
      <c r="H9" s="4">
        <f>Table1345678910111213[[#This Row],[Established Average]]-2*Table1345678910111213[[#This Row],[SD]]</f>
        <v>23398.230185850774</v>
      </c>
      <c r="I9" s="4">
        <f>Table1345678910111213[[#This Row],[Established Average]]+3*Table1345678910111213[[#This Row],[SD]]</f>
        <v>47781.625309459137</v>
      </c>
      <c r="J9" s="4">
        <f>Table1345678910111213[[#This Row],[Established Average]]-3*Table1345678910111213[[#This Row],[SD]]</f>
        <v>18521.5511611291</v>
      </c>
      <c r="L9" s="8">
        <v>33365</v>
      </c>
    </row>
    <row r="10" spans="1:18" x14ac:dyDescent="0.2">
      <c r="A10" s="2"/>
      <c r="C10" s="7"/>
      <c r="D10" t="b">
        <f>AND(B10&lt;G10, B10&gt;H10, Table1345678910111213[[#This Row],[CV]]&lt;15)</f>
        <v>0</v>
      </c>
      <c r="E10" s="4">
        <f t="shared" si="1"/>
        <v>33151.588235294119</v>
      </c>
      <c r="F10" s="4">
        <f t="shared" si="0"/>
        <v>4876.6790247216722</v>
      </c>
      <c r="G10" s="4">
        <f>Table1345678910111213[[#This Row],[Established Average]]+2*Table1345678910111213[[#This Row],[SD]]</f>
        <v>42904.946284737467</v>
      </c>
      <c r="H10" s="4">
        <f>Table1345678910111213[[#This Row],[Established Average]]-2*Table1345678910111213[[#This Row],[SD]]</f>
        <v>23398.230185850774</v>
      </c>
      <c r="I10" s="4">
        <f>Table1345678910111213[[#This Row],[Established Average]]+3*Table1345678910111213[[#This Row],[SD]]</f>
        <v>47781.625309459137</v>
      </c>
      <c r="J10" s="4">
        <f>Table1345678910111213[[#This Row],[Established Average]]-3*Table1345678910111213[[#This Row],[SD]]</f>
        <v>18521.5511611291</v>
      </c>
      <c r="L10" s="8">
        <v>36309</v>
      </c>
    </row>
    <row r="11" spans="1:18" x14ac:dyDescent="0.2">
      <c r="A11" s="2"/>
      <c r="C11" s="7"/>
      <c r="D11" t="b">
        <f>AND(B11&lt;G11, B11&gt;H11, Table1345678910111213[[#This Row],[CV]]&lt;15)</f>
        <v>0</v>
      </c>
      <c r="E11" s="4">
        <f t="shared" si="1"/>
        <v>33151.588235294119</v>
      </c>
      <c r="F11" s="4">
        <f t="shared" si="0"/>
        <v>4876.6790247216722</v>
      </c>
      <c r="G11" s="4">
        <f>Table1345678910111213[[#This Row],[Established Average]]+2*Table1345678910111213[[#This Row],[SD]]</f>
        <v>42904.946284737467</v>
      </c>
      <c r="H11" s="4">
        <f>Table1345678910111213[[#This Row],[Established Average]]-2*Table1345678910111213[[#This Row],[SD]]</f>
        <v>23398.230185850774</v>
      </c>
      <c r="I11" s="4">
        <f>Table1345678910111213[[#This Row],[Established Average]]+3*Table1345678910111213[[#This Row],[SD]]</f>
        <v>47781.625309459137</v>
      </c>
      <c r="J11" s="4">
        <f>Table1345678910111213[[#This Row],[Established Average]]-3*Table1345678910111213[[#This Row],[SD]]</f>
        <v>18521.5511611291</v>
      </c>
      <c r="L11" s="8">
        <v>39359</v>
      </c>
    </row>
    <row r="12" spans="1:18" x14ac:dyDescent="0.2">
      <c r="L12" s="8">
        <v>32046</v>
      </c>
    </row>
    <row r="13" spans="1:18" x14ac:dyDescent="0.2">
      <c r="L13" s="8">
        <v>35334</v>
      </c>
    </row>
    <row r="14" spans="1:18" x14ac:dyDescent="0.2">
      <c r="L14" s="8">
        <v>37998</v>
      </c>
    </row>
    <row r="15" spans="1:18" x14ac:dyDescent="0.2">
      <c r="L15" s="8">
        <v>39459</v>
      </c>
    </row>
    <row r="16" spans="1:18" x14ac:dyDescent="0.2">
      <c r="L16" s="8">
        <v>32635</v>
      </c>
    </row>
    <row r="17" spans="12:12" x14ac:dyDescent="0.2">
      <c r="L17" s="8">
        <v>33319</v>
      </c>
    </row>
    <row r="18" spans="12:12" x14ac:dyDescent="0.2">
      <c r="L18" s="8">
        <v>30856</v>
      </c>
    </row>
    <row r="19" spans="12:12" x14ac:dyDescent="0.2">
      <c r="L19" s="8">
        <v>40830</v>
      </c>
    </row>
    <row r="20" spans="12:12" x14ac:dyDescent="0.2">
      <c r="L20" s="8">
        <v>39553</v>
      </c>
    </row>
    <row r="21" spans="12:12" x14ac:dyDescent="0.2">
      <c r="L21" s="8">
        <v>39394</v>
      </c>
    </row>
    <row r="22" spans="12:12" x14ac:dyDescent="0.2">
      <c r="L22" s="8">
        <v>33591</v>
      </c>
    </row>
    <row r="23" spans="12:12" x14ac:dyDescent="0.2">
      <c r="L23" s="8">
        <v>35718</v>
      </c>
    </row>
    <row r="24" spans="12:12" x14ac:dyDescent="0.2">
      <c r="L24" s="8">
        <v>26632</v>
      </c>
    </row>
    <row r="25" spans="12:12" x14ac:dyDescent="0.2">
      <c r="L25" s="8">
        <v>29097</v>
      </c>
    </row>
    <row r="26" spans="12:12" x14ac:dyDescent="0.2">
      <c r="L26" s="8">
        <v>26524</v>
      </c>
    </row>
    <row r="27" spans="12:12" x14ac:dyDescent="0.2">
      <c r="L27" s="8">
        <v>25548</v>
      </c>
    </row>
    <row r="28" spans="12:12" x14ac:dyDescent="0.2">
      <c r="L28" s="8">
        <v>23310</v>
      </c>
    </row>
    <row r="29" spans="12:12" x14ac:dyDescent="0.2">
      <c r="L29" s="8">
        <v>28609</v>
      </c>
    </row>
    <row r="30" spans="12:12" x14ac:dyDescent="0.2">
      <c r="L30" s="8">
        <v>25910</v>
      </c>
    </row>
    <row r="31" spans="12:12" x14ac:dyDescent="0.2">
      <c r="L31" s="8">
        <v>38750</v>
      </c>
    </row>
    <row r="32" spans="12:12" x14ac:dyDescent="0.2">
      <c r="L32" s="8">
        <v>29282</v>
      </c>
    </row>
    <row r="33" spans="12:12" x14ac:dyDescent="0.2">
      <c r="L33" s="8">
        <v>33273</v>
      </c>
    </row>
    <row r="34" spans="12:12" x14ac:dyDescent="0.2">
      <c r="L34" s="8">
        <v>28436</v>
      </c>
    </row>
    <row r="35" spans="12:12" x14ac:dyDescent="0.2">
      <c r="L35" s="8">
        <v>30657</v>
      </c>
    </row>
    <row r="36" spans="12:12" x14ac:dyDescent="0.2"/>
    <row r="37" spans="12:12" x14ac:dyDescent="0.2">
      <c r="L37" s="8"/>
    </row>
    <row r="38" spans="12:12" x14ac:dyDescent="0.2">
      <c r="L38" s="8"/>
    </row>
  </sheetData>
  <conditionalFormatting sqref="D1:D11 I12:I1048576">
    <cfRule type="containsText" dxfId="3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80DD-7913-4103-BDB6-49549814288A}">
  <dimension ref="A1:R38"/>
  <sheetViews>
    <sheetView tabSelected="1" topLeftCell="D1" zoomScale="125" workbookViewId="0">
      <selection activeCell="I8" sqref="I8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3" max="13" width="9.832031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9">
        <v>147950.6</v>
      </c>
      <c r="C2" s="8">
        <v>10.09329</v>
      </c>
      <c r="D2" t="b">
        <f>AND(B2&lt;G2, B2&gt;H2, Table134567891011121314[[#This Row],[CV]]&lt;15)</f>
        <v>0</v>
      </c>
      <c r="E2" s="4">
        <f>AVERAGE(L:L)</f>
        <v>264300.9117647059</v>
      </c>
      <c r="F2" s="4">
        <f t="shared" ref="F2:F11" si="0">_xlfn.STDEV.S(L:L)</f>
        <v>46227.1809786667</v>
      </c>
      <c r="G2" s="4">
        <f>Table134567891011121314[[#This Row],[Established Average]]+2*Table134567891011121314[[#This Row],[SD]]</f>
        <v>356755.2737220393</v>
      </c>
      <c r="H2" s="4">
        <f>Table134567891011121314[[#This Row],[Established Average]]-2*Table134567891011121314[[#This Row],[SD]]</f>
        <v>171846.5498073725</v>
      </c>
      <c r="I2" s="4">
        <f>Table134567891011121314[[#This Row],[Established Average]]+3*Table134567891011121314[[#This Row],[SD]]</f>
        <v>402982.454700706</v>
      </c>
      <c r="J2" s="4">
        <f>Table134567891011121314[[#This Row],[Established Average]]-3*Table134567891011121314[[#This Row],[SD]]</f>
        <v>125619.3688287058</v>
      </c>
      <c r="L2" s="8">
        <v>191445</v>
      </c>
      <c r="M2" s="4">
        <f>AVERAGE(L:L)</f>
        <v>264300.9117647059</v>
      </c>
      <c r="N2" s="4">
        <f>_xlfn.STDEV.S(L:L)</f>
        <v>46227.1809786667</v>
      </c>
      <c r="O2" s="4">
        <f>M2+2*N2</f>
        <v>356755.2737220393</v>
      </c>
      <c r="P2" s="4">
        <f>M2-2*N2</f>
        <v>171846.5498073725</v>
      </c>
      <c r="Q2" s="4">
        <f>M2+3*N2</f>
        <v>402982.454700706</v>
      </c>
      <c r="R2">
        <f>M2-3*N2</f>
        <v>125619.3688287058</v>
      </c>
    </row>
    <row r="3" spans="1:18" x14ac:dyDescent="0.2">
      <c r="A3" s="2">
        <v>45723</v>
      </c>
      <c r="C3" s="7"/>
      <c r="D3" t="b">
        <f>AND(B3&lt;G3, B3&gt;H3, Table134567891011121314[[#This Row],[CV]]&lt;15)</f>
        <v>0</v>
      </c>
      <c r="E3" s="4">
        <f t="shared" ref="E3:E11" si="1">AVERAGE(L:L)</f>
        <v>264300.9117647059</v>
      </c>
      <c r="F3" s="4">
        <f t="shared" si="0"/>
        <v>46227.1809786667</v>
      </c>
      <c r="G3" s="4">
        <f>Table134567891011121314[[#This Row],[Established Average]]+2*Table134567891011121314[[#This Row],[SD]]</f>
        <v>356755.2737220393</v>
      </c>
      <c r="H3" s="4">
        <f>Table134567891011121314[[#This Row],[Established Average]]-2*Table134567891011121314[[#This Row],[SD]]</f>
        <v>171846.5498073725</v>
      </c>
      <c r="I3" s="4">
        <f>Table134567891011121314[[#This Row],[Established Average]]+3*Table134567891011121314[[#This Row],[SD]]</f>
        <v>402982.454700706</v>
      </c>
      <c r="J3" s="4">
        <f>Table134567891011121314[[#This Row],[Established Average]]-3*Table134567891011121314[[#This Row],[SD]]</f>
        <v>125619.3688287058</v>
      </c>
      <c r="L3" s="8">
        <v>224702</v>
      </c>
      <c r="N3" t="s">
        <v>22</v>
      </c>
    </row>
    <row r="4" spans="1:18" x14ac:dyDescent="0.2">
      <c r="A4" s="2">
        <v>45724</v>
      </c>
      <c r="C4" s="7"/>
      <c r="D4" t="b">
        <f>AND(B4&lt;G4, B4&gt;H4, Table134567891011121314[[#This Row],[CV]]&lt;15)</f>
        <v>0</v>
      </c>
      <c r="E4" s="4">
        <f t="shared" si="1"/>
        <v>264300.9117647059</v>
      </c>
      <c r="F4" s="4">
        <f t="shared" si="0"/>
        <v>46227.1809786667</v>
      </c>
      <c r="G4" s="4">
        <f>Table134567891011121314[[#This Row],[Established Average]]+2*Table134567891011121314[[#This Row],[SD]]</f>
        <v>356755.2737220393</v>
      </c>
      <c r="H4" s="4">
        <f>Table134567891011121314[[#This Row],[Established Average]]-2*Table134567891011121314[[#This Row],[SD]]</f>
        <v>171846.5498073725</v>
      </c>
      <c r="I4" s="4">
        <f>Table134567891011121314[[#This Row],[Established Average]]+3*Table134567891011121314[[#This Row],[SD]]</f>
        <v>402982.454700706</v>
      </c>
      <c r="J4" s="4">
        <f>Table134567891011121314[[#This Row],[Established Average]]-3*Table134567891011121314[[#This Row],[SD]]</f>
        <v>125619.3688287058</v>
      </c>
      <c r="L4" s="8">
        <v>208085</v>
      </c>
      <c r="N4">
        <f>N2/M2*100</f>
        <v>17.490360010494584</v>
      </c>
    </row>
    <row r="5" spans="1:18" x14ac:dyDescent="0.2">
      <c r="A5" s="2">
        <v>45725</v>
      </c>
      <c r="C5" s="7"/>
      <c r="D5" t="b">
        <f>AND(B5&lt;G5, B5&gt;H5, Table134567891011121314[[#This Row],[CV]]&lt;15)</f>
        <v>0</v>
      </c>
      <c r="E5" s="4">
        <f t="shared" si="1"/>
        <v>264300.9117647059</v>
      </c>
      <c r="F5" s="4">
        <f t="shared" si="0"/>
        <v>46227.1809786667</v>
      </c>
      <c r="G5" s="4">
        <f>Table134567891011121314[[#This Row],[Established Average]]+2*Table134567891011121314[[#This Row],[SD]]</f>
        <v>356755.2737220393</v>
      </c>
      <c r="H5" s="4">
        <f>Table134567891011121314[[#This Row],[Established Average]]-2*Table134567891011121314[[#This Row],[SD]]</f>
        <v>171846.5498073725</v>
      </c>
      <c r="I5" s="4">
        <f>Table134567891011121314[[#This Row],[Established Average]]+3*Table134567891011121314[[#This Row],[SD]]</f>
        <v>402982.454700706</v>
      </c>
      <c r="J5" s="4">
        <f>Table134567891011121314[[#This Row],[Established Average]]-3*Table134567891011121314[[#This Row],[SD]]</f>
        <v>125619.3688287058</v>
      </c>
      <c r="L5" s="8">
        <v>219716</v>
      </c>
    </row>
    <row r="6" spans="1:18" x14ac:dyDescent="0.2">
      <c r="A6" s="2">
        <v>45726</v>
      </c>
      <c r="C6" s="7"/>
      <c r="D6" t="b">
        <f>AND(B6&lt;G6, B6&gt;H6, Table134567891011121314[[#This Row],[CV]]&lt;15)</f>
        <v>0</v>
      </c>
      <c r="E6" s="4">
        <f t="shared" si="1"/>
        <v>264300.9117647059</v>
      </c>
      <c r="F6" s="4">
        <f t="shared" si="0"/>
        <v>46227.1809786667</v>
      </c>
      <c r="G6" s="4">
        <f>Table134567891011121314[[#This Row],[Established Average]]+2*Table134567891011121314[[#This Row],[SD]]</f>
        <v>356755.2737220393</v>
      </c>
      <c r="H6" s="4">
        <f>Table134567891011121314[[#This Row],[Established Average]]-2*Table134567891011121314[[#This Row],[SD]]</f>
        <v>171846.5498073725</v>
      </c>
      <c r="I6" s="4">
        <f>Table134567891011121314[[#This Row],[Established Average]]+3*Table134567891011121314[[#This Row],[SD]]</f>
        <v>402982.454700706</v>
      </c>
      <c r="J6" s="4">
        <f>Table134567891011121314[[#This Row],[Established Average]]-3*Table134567891011121314[[#This Row],[SD]]</f>
        <v>125619.3688287058</v>
      </c>
      <c r="L6" s="8">
        <v>237418</v>
      </c>
    </row>
    <row r="7" spans="1:18" x14ac:dyDescent="0.2">
      <c r="A7" s="2">
        <v>45727</v>
      </c>
      <c r="C7" s="7"/>
      <c r="D7" t="b">
        <f>AND(B7&lt;G7, B7&gt;H7, Table134567891011121314[[#This Row],[CV]]&lt;15)</f>
        <v>0</v>
      </c>
      <c r="E7" s="4">
        <f t="shared" si="1"/>
        <v>264300.9117647059</v>
      </c>
      <c r="F7" s="4">
        <f t="shared" si="0"/>
        <v>46227.1809786667</v>
      </c>
      <c r="G7" s="4">
        <f>Table134567891011121314[[#This Row],[Established Average]]+2*Table134567891011121314[[#This Row],[SD]]</f>
        <v>356755.2737220393</v>
      </c>
      <c r="H7" s="4">
        <f>Table134567891011121314[[#This Row],[Established Average]]-2*Table134567891011121314[[#This Row],[SD]]</f>
        <v>171846.5498073725</v>
      </c>
      <c r="I7" s="4">
        <f>Table134567891011121314[[#This Row],[Established Average]]+3*Table134567891011121314[[#This Row],[SD]]</f>
        <v>402982.454700706</v>
      </c>
      <c r="J7" s="4">
        <f>Table134567891011121314[[#This Row],[Established Average]]-3*Table134567891011121314[[#This Row],[SD]]</f>
        <v>125619.3688287058</v>
      </c>
      <c r="L7" s="8">
        <v>195256</v>
      </c>
    </row>
    <row r="8" spans="1:18" x14ac:dyDescent="0.2">
      <c r="A8" s="2">
        <v>45728</v>
      </c>
      <c r="C8" s="7"/>
      <c r="D8" t="b">
        <f>AND(B8&lt;G8, B8&gt;H8, Table134567891011121314[[#This Row],[CV]]&lt;15)</f>
        <v>0</v>
      </c>
      <c r="E8" s="4">
        <f t="shared" si="1"/>
        <v>264300.9117647059</v>
      </c>
      <c r="F8" s="4">
        <f t="shared" si="0"/>
        <v>46227.1809786667</v>
      </c>
      <c r="G8" s="4">
        <f>Table134567891011121314[[#This Row],[Established Average]]+2*Table134567891011121314[[#This Row],[SD]]</f>
        <v>356755.2737220393</v>
      </c>
      <c r="H8" s="4">
        <f>Table134567891011121314[[#This Row],[Established Average]]-2*Table134567891011121314[[#This Row],[SD]]</f>
        <v>171846.5498073725</v>
      </c>
      <c r="I8" s="4">
        <f>Table134567891011121314[[#This Row],[Established Average]]+3*Table134567891011121314[[#This Row],[SD]]</f>
        <v>402982.454700706</v>
      </c>
      <c r="J8" s="4">
        <f>Table134567891011121314[[#This Row],[Established Average]]-3*Table134567891011121314[[#This Row],[SD]]</f>
        <v>125619.3688287058</v>
      </c>
      <c r="L8" s="8">
        <v>229739</v>
      </c>
    </row>
    <row r="9" spans="1:18" x14ac:dyDescent="0.2">
      <c r="A9" s="2">
        <v>45729</v>
      </c>
      <c r="C9" s="7"/>
      <c r="D9" t="b">
        <f>AND(B9&lt;G9, B9&gt;H9, Table134567891011121314[[#This Row],[CV]]&lt;15)</f>
        <v>0</v>
      </c>
      <c r="E9" s="4">
        <f t="shared" si="1"/>
        <v>264300.9117647059</v>
      </c>
      <c r="F9" s="4">
        <f t="shared" si="0"/>
        <v>46227.1809786667</v>
      </c>
      <c r="G9" s="4">
        <f>Table134567891011121314[[#This Row],[Established Average]]+2*Table134567891011121314[[#This Row],[SD]]</f>
        <v>356755.2737220393</v>
      </c>
      <c r="H9" s="4">
        <f>Table134567891011121314[[#This Row],[Established Average]]-2*Table134567891011121314[[#This Row],[SD]]</f>
        <v>171846.5498073725</v>
      </c>
      <c r="I9" s="4">
        <f>Table134567891011121314[[#This Row],[Established Average]]+3*Table134567891011121314[[#This Row],[SD]]</f>
        <v>402982.454700706</v>
      </c>
      <c r="J9" s="4">
        <f>Table134567891011121314[[#This Row],[Established Average]]-3*Table134567891011121314[[#This Row],[SD]]</f>
        <v>125619.3688287058</v>
      </c>
      <c r="L9" s="8">
        <v>120956</v>
      </c>
    </row>
    <row r="10" spans="1:18" x14ac:dyDescent="0.2">
      <c r="A10" s="2"/>
      <c r="C10" s="7"/>
      <c r="D10" t="b">
        <f>AND(B10&lt;G10, B10&gt;H10, Table134567891011121314[[#This Row],[CV]]&lt;15)</f>
        <v>0</v>
      </c>
      <c r="E10" s="4">
        <f t="shared" si="1"/>
        <v>264300.9117647059</v>
      </c>
      <c r="F10" s="4">
        <f t="shared" si="0"/>
        <v>46227.1809786667</v>
      </c>
      <c r="G10" s="4">
        <f>Table134567891011121314[[#This Row],[Established Average]]+2*Table134567891011121314[[#This Row],[SD]]</f>
        <v>356755.2737220393</v>
      </c>
      <c r="H10" s="4">
        <f>Table134567891011121314[[#This Row],[Established Average]]-2*Table134567891011121314[[#This Row],[SD]]</f>
        <v>171846.5498073725</v>
      </c>
      <c r="I10" s="4">
        <f>Table134567891011121314[[#This Row],[Established Average]]+3*Table134567891011121314[[#This Row],[SD]]</f>
        <v>402982.454700706</v>
      </c>
      <c r="J10" s="4">
        <f>Table134567891011121314[[#This Row],[Established Average]]-3*Table134567891011121314[[#This Row],[SD]]</f>
        <v>125619.3688287058</v>
      </c>
      <c r="L10" s="8">
        <v>250824</v>
      </c>
    </row>
    <row r="11" spans="1:18" x14ac:dyDescent="0.2">
      <c r="A11" s="2"/>
      <c r="C11" s="7"/>
      <c r="D11" t="b">
        <f>AND(B11&lt;G11, B11&gt;H11, Table134567891011121314[[#This Row],[CV]]&lt;15)</f>
        <v>0</v>
      </c>
      <c r="E11" s="4">
        <f t="shared" si="1"/>
        <v>264300.9117647059</v>
      </c>
      <c r="F11" s="4">
        <f t="shared" si="0"/>
        <v>46227.1809786667</v>
      </c>
      <c r="G11" s="4">
        <f>Table134567891011121314[[#This Row],[Established Average]]+2*Table134567891011121314[[#This Row],[SD]]</f>
        <v>356755.2737220393</v>
      </c>
      <c r="H11" s="4">
        <f>Table134567891011121314[[#This Row],[Established Average]]-2*Table134567891011121314[[#This Row],[SD]]</f>
        <v>171846.5498073725</v>
      </c>
      <c r="I11" s="4">
        <f>Table134567891011121314[[#This Row],[Established Average]]+3*Table134567891011121314[[#This Row],[SD]]</f>
        <v>402982.454700706</v>
      </c>
      <c r="J11" s="4">
        <f>Table134567891011121314[[#This Row],[Established Average]]-3*Table134567891011121314[[#This Row],[SD]]</f>
        <v>125619.3688287058</v>
      </c>
      <c r="L11" s="8">
        <v>267459</v>
      </c>
    </row>
    <row r="12" spans="1:18" x14ac:dyDescent="0.2">
      <c r="L12" s="8">
        <v>253581</v>
      </c>
    </row>
    <row r="13" spans="1:18" x14ac:dyDescent="0.2">
      <c r="L13" s="8">
        <v>259262</v>
      </c>
    </row>
    <row r="14" spans="1:18" x14ac:dyDescent="0.2">
      <c r="L14" s="8">
        <v>317845</v>
      </c>
    </row>
    <row r="15" spans="1:18" x14ac:dyDescent="0.2">
      <c r="L15" s="8">
        <v>336349</v>
      </c>
    </row>
    <row r="16" spans="1:18" x14ac:dyDescent="0.2">
      <c r="L16" s="8">
        <v>297765</v>
      </c>
    </row>
    <row r="17" spans="12:12" x14ac:dyDescent="0.2">
      <c r="L17" s="8">
        <v>300418</v>
      </c>
    </row>
    <row r="18" spans="12:12" x14ac:dyDescent="0.2">
      <c r="L18" s="8">
        <v>296231</v>
      </c>
    </row>
    <row r="19" spans="12:12" x14ac:dyDescent="0.2">
      <c r="L19" s="8">
        <v>284707</v>
      </c>
    </row>
    <row r="20" spans="12:12" x14ac:dyDescent="0.2">
      <c r="L20" s="8">
        <v>276370</v>
      </c>
    </row>
    <row r="21" spans="12:12" x14ac:dyDescent="0.2">
      <c r="L21" s="8">
        <v>219806</v>
      </c>
    </row>
    <row r="22" spans="12:12" x14ac:dyDescent="0.2">
      <c r="L22" s="8">
        <v>271144</v>
      </c>
    </row>
    <row r="23" spans="12:12" x14ac:dyDescent="0.2">
      <c r="L23" s="8">
        <v>267743</v>
      </c>
    </row>
    <row r="24" spans="12:12" x14ac:dyDescent="0.2">
      <c r="L24" s="8">
        <v>260341</v>
      </c>
    </row>
    <row r="25" spans="12:12" x14ac:dyDescent="0.2">
      <c r="L25" s="8">
        <v>307300</v>
      </c>
    </row>
    <row r="26" spans="12:12" x14ac:dyDescent="0.2">
      <c r="L26" s="8">
        <v>354544</v>
      </c>
    </row>
    <row r="27" spans="12:12" x14ac:dyDescent="0.2">
      <c r="L27" s="8">
        <v>261198</v>
      </c>
    </row>
    <row r="28" spans="12:12" x14ac:dyDescent="0.2">
      <c r="L28" s="8">
        <v>276251</v>
      </c>
    </row>
    <row r="29" spans="12:12" x14ac:dyDescent="0.2">
      <c r="L29" s="8">
        <v>293199</v>
      </c>
    </row>
    <row r="30" spans="12:12" x14ac:dyDescent="0.2">
      <c r="L30" s="8">
        <v>323781</v>
      </c>
    </row>
    <row r="31" spans="12:12" x14ac:dyDescent="0.2">
      <c r="L31" s="8">
        <v>273060</v>
      </c>
    </row>
    <row r="32" spans="12:12" x14ac:dyDescent="0.2">
      <c r="L32" s="8">
        <v>298937</v>
      </c>
    </row>
    <row r="33" spans="12:12" x14ac:dyDescent="0.2">
      <c r="L33" s="8">
        <v>246020</v>
      </c>
    </row>
    <row r="34" spans="12:12" x14ac:dyDescent="0.2">
      <c r="L34" s="8">
        <v>278505</v>
      </c>
    </row>
    <row r="35" spans="12:12" x14ac:dyDescent="0.2">
      <c r="L35" s="8">
        <v>286274</v>
      </c>
    </row>
    <row r="36" spans="12:12" x14ac:dyDescent="0.2"/>
    <row r="37" spans="12:12" x14ac:dyDescent="0.2">
      <c r="L37" s="8"/>
    </row>
    <row r="38" spans="12:12" x14ac:dyDescent="0.2">
      <c r="L38" s="8"/>
    </row>
  </sheetData>
  <conditionalFormatting sqref="D1:D11 I12:I1048576">
    <cfRule type="containsText" dxfId="2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0163-CA5B-4EF5-B6E9-E316DBE3CA1F}">
  <dimension ref="A1:R38"/>
  <sheetViews>
    <sheetView workbookViewId="0">
      <selection activeCell="N2" sqref="N2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3" max="13" width="9.832031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8">
        <v>1801570</v>
      </c>
      <c r="C2" s="8">
        <v>22.50328</v>
      </c>
      <c r="D2" t="b">
        <f>AND(B2&lt;G2, B2&gt;H2, Table13456789101112131415[[#This Row],[CV]]&lt;15)</f>
        <v>0</v>
      </c>
      <c r="E2" s="4">
        <f>AVERAGE(L:L)</f>
        <v>3332468.7647058824</v>
      </c>
      <c r="F2" s="4">
        <f t="shared" ref="F2:F11" si="0">_xlfn.STDEV.S(L:L)</f>
        <v>549259.10878586827</v>
      </c>
      <c r="G2" s="4">
        <f>Table13456789101112131415[[#This Row],[Established Average]]+2*Table13456789101112131415[[#This Row],[SD]]</f>
        <v>4430986.9822776187</v>
      </c>
      <c r="H2" s="4">
        <f>Table13456789101112131415[[#This Row],[Established Average]]-2*Table13456789101112131415[[#This Row],[SD]]</f>
        <v>2233950.5471341461</v>
      </c>
      <c r="I2" s="4">
        <f>Table13456789101112131415[[#This Row],[Established Average]]+3*Table13456789101112131415[[#This Row],[SD]]</f>
        <v>4980246.0910634873</v>
      </c>
      <c r="J2" s="4">
        <f>Table13456789101112131415[[#This Row],[Established Average]]-3*Table13456789101112131415[[#This Row],[SD]]</f>
        <v>1684691.4383482775</v>
      </c>
      <c r="L2" s="8">
        <v>3335848</v>
      </c>
      <c r="M2" s="4">
        <f>AVERAGE(L:L)</f>
        <v>3332468.7647058824</v>
      </c>
      <c r="N2" s="4">
        <f>_xlfn.STDEV.S(L:L)</f>
        <v>549259.10878586827</v>
      </c>
      <c r="O2" s="4">
        <f>M2+2*N2</f>
        <v>4430986.9822776187</v>
      </c>
      <c r="P2" s="4">
        <f>M2-2*N2</f>
        <v>2233950.5471341461</v>
      </c>
      <c r="Q2" s="4">
        <f>M2+3*N2</f>
        <v>4980246.0910634873</v>
      </c>
      <c r="R2">
        <f>M2-3*N2</f>
        <v>1684691.4383482775</v>
      </c>
    </row>
    <row r="3" spans="1:18" x14ac:dyDescent="0.2">
      <c r="A3" s="2">
        <v>45723</v>
      </c>
      <c r="B3" s="8"/>
      <c r="C3" s="7"/>
      <c r="D3" t="b">
        <f>AND(B3&lt;G3, B3&gt;H3, Table13456789101112131415[[#This Row],[CV]]&lt;15)</f>
        <v>0</v>
      </c>
      <c r="E3" s="4">
        <f t="shared" ref="E3:E11" si="1">AVERAGE(L:L)</f>
        <v>3332468.7647058824</v>
      </c>
      <c r="F3" s="4">
        <f t="shared" si="0"/>
        <v>549259.10878586827</v>
      </c>
      <c r="G3" s="4">
        <f>Table13456789101112131415[[#This Row],[Established Average]]+2*Table13456789101112131415[[#This Row],[SD]]</f>
        <v>4430986.9822776187</v>
      </c>
      <c r="H3" s="4">
        <f>Table13456789101112131415[[#This Row],[Established Average]]-2*Table13456789101112131415[[#This Row],[SD]]</f>
        <v>2233950.5471341461</v>
      </c>
      <c r="I3" s="4">
        <f>Table13456789101112131415[[#This Row],[Established Average]]+3*Table13456789101112131415[[#This Row],[SD]]</f>
        <v>4980246.0910634873</v>
      </c>
      <c r="J3" s="4">
        <f>Table13456789101112131415[[#This Row],[Established Average]]-3*Table13456789101112131415[[#This Row],[SD]]</f>
        <v>1684691.4383482775</v>
      </c>
      <c r="L3" s="8">
        <v>3175297</v>
      </c>
      <c r="N3" t="s">
        <v>22</v>
      </c>
    </row>
    <row r="4" spans="1:18" x14ac:dyDescent="0.2">
      <c r="A4" s="2">
        <v>45724</v>
      </c>
      <c r="C4" s="7"/>
      <c r="D4" t="b">
        <f>AND(B4&lt;G4, B4&gt;H4, Table13456789101112131415[[#This Row],[CV]]&lt;15)</f>
        <v>0</v>
      </c>
      <c r="E4" s="4">
        <f t="shared" si="1"/>
        <v>3332468.7647058824</v>
      </c>
      <c r="F4" s="4">
        <f t="shared" si="0"/>
        <v>549259.10878586827</v>
      </c>
      <c r="G4" s="4">
        <f>Table13456789101112131415[[#This Row],[Established Average]]+2*Table13456789101112131415[[#This Row],[SD]]</f>
        <v>4430986.9822776187</v>
      </c>
      <c r="H4" s="4">
        <f>Table13456789101112131415[[#This Row],[Established Average]]-2*Table13456789101112131415[[#This Row],[SD]]</f>
        <v>2233950.5471341461</v>
      </c>
      <c r="I4" s="4">
        <f>Table13456789101112131415[[#This Row],[Established Average]]+3*Table13456789101112131415[[#This Row],[SD]]</f>
        <v>4980246.0910634873</v>
      </c>
      <c r="J4" s="4">
        <f>Table13456789101112131415[[#This Row],[Established Average]]-3*Table13456789101112131415[[#This Row],[SD]]</f>
        <v>1684691.4383482775</v>
      </c>
      <c r="L4" s="8">
        <v>3437990</v>
      </c>
      <c r="N4">
        <f>N2/M2*100</f>
        <v>16.482048222118742</v>
      </c>
    </row>
    <row r="5" spans="1:18" x14ac:dyDescent="0.2">
      <c r="A5" s="2">
        <v>45725</v>
      </c>
      <c r="C5" s="7"/>
      <c r="D5" t="b">
        <f>AND(B5&lt;G5, B5&gt;H5, Table13456789101112131415[[#This Row],[CV]]&lt;15)</f>
        <v>0</v>
      </c>
      <c r="E5" s="4">
        <f t="shared" si="1"/>
        <v>3332468.7647058824</v>
      </c>
      <c r="F5" s="4">
        <f t="shared" si="0"/>
        <v>549259.10878586827</v>
      </c>
      <c r="G5" s="4">
        <f>Table13456789101112131415[[#This Row],[Established Average]]+2*Table13456789101112131415[[#This Row],[SD]]</f>
        <v>4430986.9822776187</v>
      </c>
      <c r="H5" s="4">
        <f>Table13456789101112131415[[#This Row],[Established Average]]-2*Table13456789101112131415[[#This Row],[SD]]</f>
        <v>2233950.5471341461</v>
      </c>
      <c r="I5" s="4">
        <f>Table13456789101112131415[[#This Row],[Established Average]]+3*Table13456789101112131415[[#This Row],[SD]]</f>
        <v>4980246.0910634873</v>
      </c>
      <c r="J5" s="4">
        <f>Table13456789101112131415[[#This Row],[Established Average]]-3*Table13456789101112131415[[#This Row],[SD]]</f>
        <v>1684691.4383482775</v>
      </c>
      <c r="L5" s="8">
        <v>3244158</v>
      </c>
    </row>
    <row r="6" spans="1:18" x14ac:dyDescent="0.2">
      <c r="A6" s="2">
        <v>45726</v>
      </c>
      <c r="C6" s="7"/>
      <c r="D6" t="b">
        <f>AND(B6&lt;G6, B6&gt;H6, Table13456789101112131415[[#This Row],[CV]]&lt;15)</f>
        <v>0</v>
      </c>
      <c r="E6" s="4">
        <f t="shared" si="1"/>
        <v>3332468.7647058824</v>
      </c>
      <c r="F6" s="4">
        <f t="shared" si="0"/>
        <v>549259.10878586827</v>
      </c>
      <c r="G6" s="4">
        <f>Table13456789101112131415[[#This Row],[Established Average]]+2*Table13456789101112131415[[#This Row],[SD]]</f>
        <v>4430986.9822776187</v>
      </c>
      <c r="H6" s="4">
        <f>Table13456789101112131415[[#This Row],[Established Average]]-2*Table13456789101112131415[[#This Row],[SD]]</f>
        <v>2233950.5471341461</v>
      </c>
      <c r="I6" s="4">
        <f>Table13456789101112131415[[#This Row],[Established Average]]+3*Table13456789101112131415[[#This Row],[SD]]</f>
        <v>4980246.0910634873</v>
      </c>
      <c r="J6" s="4">
        <f>Table13456789101112131415[[#This Row],[Established Average]]-3*Table13456789101112131415[[#This Row],[SD]]</f>
        <v>1684691.4383482775</v>
      </c>
      <c r="L6" s="8">
        <v>3201222</v>
      </c>
    </row>
    <row r="7" spans="1:18" x14ac:dyDescent="0.2">
      <c r="A7" s="2">
        <v>45727</v>
      </c>
      <c r="C7" s="7"/>
      <c r="D7" t="b">
        <f>AND(B7&lt;G7, B7&gt;H7, Table13456789101112131415[[#This Row],[CV]]&lt;15)</f>
        <v>0</v>
      </c>
      <c r="E7" s="4">
        <f t="shared" si="1"/>
        <v>3332468.7647058824</v>
      </c>
      <c r="F7" s="4">
        <f t="shared" si="0"/>
        <v>549259.10878586827</v>
      </c>
      <c r="G7" s="4">
        <f>Table13456789101112131415[[#This Row],[Established Average]]+2*Table13456789101112131415[[#This Row],[SD]]</f>
        <v>4430986.9822776187</v>
      </c>
      <c r="H7" s="4">
        <f>Table13456789101112131415[[#This Row],[Established Average]]-2*Table13456789101112131415[[#This Row],[SD]]</f>
        <v>2233950.5471341461</v>
      </c>
      <c r="I7" s="4">
        <f>Table13456789101112131415[[#This Row],[Established Average]]+3*Table13456789101112131415[[#This Row],[SD]]</f>
        <v>4980246.0910634873</v>
      </c>
      <c r="J7" s="4">
        <f>Table13456789101112131415[[#This Row],[Established Average]]-3*Table13456789101112131415[[#This Row],[SD]]</f>
        <v>1684691.4383482775</v>
      </c>
      <c r="L7" s="8">
        <v>3349288</v>
      </c>
    </row>
    <row r="8" spans="1:18" x14ac:dyDescent="0.2">
      <c r="A8" s="2">
        <v>45728</v>
      </c>
      <c r="C8" s="7"/>
      <c r="D8" t="b">
        <f>AND(B8&lt;G8, B8&gt;H8, Table13456789101112131415[[#This Row],[CV]]&lt;15)</f>
        <v>0</v>
      </c>
      <c r="E8" s="4">
        <f t="shared" si="1"/>
        <v>3332468.7647058824</v>
      </c>
      <c r="F8" s="4">
        <f t="shared" si="0"/>
        <v>549259.10878586827</v>
      </c>
      <c r="G8" s="4">
        <f>Table13456789101112131415[[#This Row],[Established Average]]+2*Table13456789101112131415[[#This Row],[SD]]</f>
        <v>4430986.9822776187</v>
      </c>
      <c r="H8" s="4">
        <f>Table13456789101112131415[[#This Row],[Established Average]]-2*Table13456789101112131415[[#This Row],[SD]]</f>
        <v>2233950.5471341461</v>
      </c>
      <c r="I8" s="4">
        <f>Table13456789101112131415[[#This Row],[Established Average]]+3*Table13456789101112131415[[#This Row],[SD]]</f>
        <v>4980246.0910634873</v>
      </c>
      <c r="J8" s="4">
        <f>Table13456789101112131415[[#This Row],[Established Average]]-3*Table13456789101112131415[[#This Row],[SD]]</f>
        <v>1684691.4383482775</v>
      </c>
      <c r="L8" s="8">
        <v>3727723</v>
      </c>
    </row>
    <row r="9" spans="1:18" x14ac:dyDescent="0.2">
      <c r="A9" s="2">
        <v>45729</v>
      </c>
      <c r="C9" s="7"/>
      <c r="D9" t="b">
        <f>AND(B9&lt;G9, B9&gt;H9, Table13456789101112131415[[#This Row],[CV]]&lt;15)</f>
        <v>0</v>
      </c>
      <c r="E9" s="4">
        <f t="shared" si="1"/>
        <v>3332468.7647058824</v>
      </c>
      <c r="F9" s="4">
        <f t="shared" si="0"/>
        <v>549259.10878586827</v>
      </c>
      <c r="G9" s="4">
        <f>Table13456789101112131415[[#This Row],[Established Average]]+2*Table13456789101112131415[[#This Row],[SD]]</f>
        <v>4430986.9822776187</v>
      </c>
      <c r="H9" s="4">
        <f>Table13456789101112131415[[#This Row],[Established Average]]-2*Table13456789101112131415[[#This Row],[SD]]</f>
        <v>2233950.5471341461</v>
      </c>
      <c r="I9" s="4">
        <f>Table13456789101112131415[[#This Row],[Established Average]]+3*Table13456789101112131415[[#This Row],[SD]]</f>
        <v>4980246.0910634873</v>
      </c>
      <c r="J9" s="4">
        <f>Table13456789101112131415[[#This Row],[Established Average]]-3*Table13456789101112131415[[#This Row],[SD]]</f>
        <v>1684691.4383482775</v>
      </c>
      <c r="L9" s="8">
        <v>3156603</v>
      </c>
    </row>
    <row r="10" spans="1:18" x14ac:dyDescent="0.2">
      <c r="A10" s="2"/>
      <c r="C10" s="7"/>
      <c r="D10" t="b">
        <f>AND(B10&lt;G10, B10&gt;H10, Table13456789101112131415[[#This Row],[CV]]&lt;15)</f>
        <v>0</v>
      </c>
      <c r="E10" s="4">
        <f t="shared" si="1"/>
        <v>3332468.7647058824</v>
      </c>
      <c r="F10" s="4">
        <f t="shared" si="0"/>
        <v>549259.10878586827</v>
      </c>
      <c r="G10" s="4">
        <f>Table13456789101112131415[[#This Row],[Established Average]]+2*Table13456789101112131415[[#This Row],[SD]]</f>
        <v>4430986.9822776187</v>
      </c>
      <c r="H10" s="4">
        <f>Table13456789101112131415[[#This Row],[Established Average]]-2*Table13456789101112131415[[#This Row],[SD]]</f>
        <v>2233950.5471341461</v>
      </c>
      <c r="I10" s="4">
        <f>Table13456789101112131415[[#This Row],[Established Average]]+3*Table13456789101112131415[[#This Row],[SD]]</f>
        <v>4980246.0910634873</v>
      </c>
      <c r="J10" s="4">
        <f>Table13456789101112131415[[#This Row],[Established Average]]-3*Table13456789101112131415[[#This Row],[SD]]</f>
        <v>1684691.4383482775</v>
      </c>
      <c r="L10" s="8">
        <v>2942416</v>
      </c>
    </row>
    <row r="11" spans="1:18" x14ac:dyDescent="0.2">
      <c r="A11" s="2"/>
      <c r="C11" s="7"/>
      <c r="D11" t="b">
        <f>AND(B11&lt;G11, B11&gt;H11, Table13456789101112131415[[#This Row],[CV]]&lt;15)</f>
        <v>0</v>
      </c>
      <c r="E11" s="4">
        <f t="shared" si="1"/>
        <v>3332468.7647058824</v>
      </c>
      <c r="F11" s="4">
        <f t="shared" si="0"/>
        <v>549259.10878586827</v>
      </c>
      <c r="G11" s="4">
        <f>Table13456789101112131415[[#This Row],[Established Average]]+2*Table13456789101112131415[[#This Row],[SD]]</f>
        <v>4430986.9822776187</v>
      </c>
      <c r="H11" s="4">
        <f>Table13456789101112131415[[#This Row],[Established Average]]-2*Table13456789101112131415[[#This Row],[SD]]</f>
        <v>2233950.5471341461</v>
      </c>
      <c r="I11" s="4">
        <f>Table13456789101112131415[[#This Row],[Established Average]]+3*Table13456789101112131415[[#This Row],[SD]]</f>
        <v>4980246.0910634873</v>
      </c>
      <c r="J11" s="4">
        <f>Table13456789101112131415[[#This Row],[Established Average]]-3*Table13456789101112131415[[#This Row],[SD]]</f>
        <v>1684691.4383482775</v>
      </c>
      <c r="L11" s="8">
        <v>3206828</v>
      </c>
    </row>
    <row r="12" spans="1:18" x14ac:dyDescent="0.2">
      <c r="L12" s="8">
        <v>3252801</v>
      </c>
    </row>
    <row r="13" spans="1:18" x14ac:dyDescent="0.2">
      <c r="L13" s="8">
        <v>3788497</v>
      </c>
    </row>
    <row r="14" spans="1:18" x14ac:dyDescent="0.2">
      <c r="L14" s="8">
        <v>3763995</v>
      </c>
    </row>
    <row r="15" spans="1:18" x14ac:dyDescent="0.2">
      <c r="L15" s="8">
        <v>3875531</v>
      </c>
    </row>
    <row r="16" spans="1:18" x14ac:dyDescent="0.2">
      <c r="L16" s="8">
        <v>3911314</v>
      </c>
    </row>
    <row r="17" spans="12:12" x14ac:dyDescent="0.2">
      <c r="L17" s="8">
        <v>4101260</v>
      </c>
    </row>
    <row r="18" spans="12:12" x14ac:dyDescent="0.2">
      <c r="L18" s="8">
        <v>3422949</v>
      </c>
    </row>
    <row r="19" spans="12:12" x14ac:dyDescent="0.2">
      <c r="L19" s="8">
        <v>4016344</v>
      </c>
    </row>
    <row r="20" spans="12:12" x14ac:dyDescent="0.2">
      <c r="L20" s="8">
        <v>3968344</v>
      </c>
    </row>
    <row r="21" spans="12:12" x14ac:dyDescent="0.2">
      <c r="L21" s="8">
        <v>2202124</v>
      </c>
    </row>
    <row r="22" spans="12:12" x14ac:dyDescent="0.2">
      <c r="L22" s="8">
        <v>2346863</v>
      </c>
    </row>
    <row r="23" spans="12:12" x14ac:dyDescent="0.2">
      <c r="L23" s="8">
        <v>2521383</v>
      </c>
    </row>
    <row r="24" spans="12:12" x14ac:dyDescent="0.2">
      <c r="L24" s="8">
        <v>3689476</v>
      </c>
    </row>
    <row r="25" spans="12:12" x14ac:dyDescent="0.2">
      <c r="L25" s="8">
        <v>3649809</v>
      </c>
    </row>
    <row r="26" spans="12:12" x14ac:dyDescent="0.2">
      <c r="L26" s="8">
        <v>3741940</v>
      </c>
    </row>
    <row r="27" spans="12:12" x14ac:dyDescent="0.2">
      <c r="L27" s="8">
        <v>3863821</v>
      </c>
    </row>
    <row r="28" spans="12:12" x14ac:dyDescent="0.2">
      <c r="L28" s="8">
        <v>3549053</v>
      </c>
    </row>
    <row r="29" spans="12:12" x14ac:dyDescent="0.2">
      <c r="L29" s="8">
        <v>3774409</v>
      </c>
    </row>
    <row r="30" spans="12:12" x14ac:dyDescent="0.2">
      <c r="L30" s="8">
        <v>3929672</v>
      </c>
    </row>
    <row r="31" spans="12:12" x14ac:dyDescent="0.2">
      <c r="L31" s="8">
        <v>2181359</v>
      </c>
    </row>
    <row r="32" spans="12:12" x14ac:dyDescent="0.2">
      <c r="L32" s="8">
        <v>2576082</v>
      </c>
    </row>
    <row r="33" spans="12:12" x14ac:dyDescent="0.2">
      <c r="L33" s="8">
        <v>2738570</v>
      </c>
    </row>
    <row r="34" spans="12:12" x14ac:dyDescent="0.2">
      <c r="L34" s="8">
        <v>2607127</v>
      </c>
    </row>
    <row r="35" spans="12:12" x14ac:dyDescent="0.2">
      <c r="L35" s="8">
        <v>3053842</v>
      </c>
    </row>
    <row r="36" spans="12:12" x14ac:dyDescent="0.2"/>
    <row r="37" spans="12:12" x14ac:dyDescent="0.2">
      <c r="L37" s="8"/>
    </row>
    <row r="38" spans="12:12" x14ac:dyDescent="0.2">
      <c r="L38" s="8"/>
    </row>
  </sheetData>
  <conditionalFormatting sqref="D1:D11 I12:I1048576">
    <cfRule type="containsText" dxfId="1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A07D-8CBC-4F32-8698-7F76CF633D7D}">
  <dimension ref="A1:R38"/>
  <sheetViews>
    <sheetView workbookViewId="0">
      <selection activeCell="G11" sqref="G11"/>
    </sheetView>
  </sheetViews>
  <sheetFormatPr baseColWidth="10" defaultColWidth="8.83203125" defaultRowHeight="15" customHeight="1" x14ac:dyDescent="0.2"/>
  <cols>
    <col min="1" max="1" width="15.5" customWidth="1"/>
    <col min="2" max="2" width="20.5" bestFit="1" customWidth="1"/>
    <col min="3" max="3" width="6" bestFit="1" customWidth="1"/>
    <col min="4" max="4" width="9.6640625" customWidth="1"/>
    <col min="5" max="5" width="19.1640625" customWidth="1"/>
    <col min="6" max="6" width="11.5" customWidth="1"/>
    <col min="7" max="8" width="13.83203125" customWidth="1"/>
    <col min="9" max="9" width="12.1640625" customWidth="1"/>
    <col min="10" max="10" width="12.33203125" customWidth="1"/>
    <col min="13" max="13" width="9.83203125" bestFit="1" customWidth="1"/>
    <col min="14" max="14" width="18.1640625" bestFit="1" customWidth="1"/>
    <col min="15" max="15" width="11.5" bestFit="1" customWidth="1"/>
    <col min="16" max="16" width="11.33203125" bestFit="1" customWidth="1"/>
    <col min="17" max="17" width="18.83203125" bestFit="1" customWidth="1"/>
  </cols>
  <sheetData>
    <row r="1" spans="1:18" x14ac:dyDescent="0.2">
      <c r="A1" s="1" t="s">
        <v>0</v>
      </c>
      <c r="B1" s="1" t="s">
        <v>12</v>
      </c>
      <c r="C1" s="1" t="s">
        <v>13</v>
      </c>
      <c r="D1" s="1" t="s">
        <v>9</v>
      </c>
      <c r="E1" s="1" t="s">
        <v>14</v>
      </c>
      <c r="F1" s="1" t="s">
        <v>23</v>
      </c>
      <c r="G1" s="1" t="s">
        <v>15</v>
      </c>
      <c r="H1" s="1" t="s">
        <v>16</v>
      </c>
      <c r="I1" s="1" t="s">
        <v>17</v>
      </c>
      <c r="J1" s="1" t="s">
        <v>18</v>
      </c>
      <c r="L1" s="1" t="s">
        <v>19</v>
      </c>
      <c r="M1" t="s">
        <v>20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 s="2">
        <v>45722</v>
      </c>
      <c r="B2" s="8">
        <v>4623370</v>
      </c>
      <c r="C2" s="8">
        <v>9.4607089999999996</v>
      </c>
      <c r="D2" t="b">
        <f>AND(B2&lt;G2, B2&gt;H2, Table1345678910111213141516[[#This Row],[CV]]&lt;15)</f>
        <v>0</v>
      </c>
      <c r="E2" s="4">
        <f>AVERAGE(L:L)</f>
        <v>8762589.1764705889</v>
      </c>
      <c r="F2" s="4">
        <f t="shared" ref="F2:F11" si="0">_xlfn.STDEV.S(L:L)</f>
        <v>1004209.3544138758</v>
      </c>
      <c r="G2" s="4">
        <f>Table1345678910111213141516[[#This Row],[Established Average]]+2*Table1345678910111213141516[[#This Row],[SD]]</f>
        <v>10771007.885298342</v>
      </c>
      <c r="H2" s="4">
        <f>Table1345678910111213141516[[#This Row],[Established Average]]-2*Table1345678910111213141516[[#This Row],[SD]]</f>
        <v>6754170.4676428372</v>
      </c>
      <c r="I2" s="4">
        <f>Table1345678910111213141516[[#This Row],[Established Average]]+3*Table1345678910111213141516[[#This Row],[SD]]</f>
        <v>11775217.239712216</v>
      </c>
      <c r="J2" s="4">
        <f>Table1345678910111213141516[[#This Row],[Established Average]]-3*Table1345678910111213141516[[#This Row],[SD]]</f>
        <v>5749961.1132289618</v>
      </c>
      <c r="L2" s="8">
        <v>9764409</v>
      </c>
      <c r="M2" s="4">
        <f>AVERAGE(L:L)</f>
        <v>8762589.1764705889</v>
      </c>
      <c r="N2" s="4">
        <f>_xlfn.STDEV.S(L:L)</f>
        <v>1004209.3544138758</v>
      </c>
      <c r="O2" s="4">
        <f>M2+2*N2</f>
        <v>10771007.885298342</v>
      </c>
      <c r="P2" s="4">
        <f>M2-2*N2</f>
        <v>6754170.4676428372</v>
      </c>
      <c r="Q2" s="4">
        <f>M2+3*N2</f>
        <v>11775217.239712216</v>
      </c>
      <c r="R2">
        <f>M2-3*N2</f>
        <v>5749961.1132289618</v>
      </c>
    </row>
    <row r="3" spans="1:18" x14ac:dyDescent="0.2">
      <c r="A3" s="2">
        <v>45723</v>
      </c>
      <c r="C3" s="7"/>
      <c r="D3" t="b">
        <f>AND(B3&lt;G3, B3&gt;H3, Table1345678910111213141516[[#This Row],[CV]]&lt;15)</f>
        <v>0</v>
      </c>
      <c r="E3" s="4">
        <f t="shared" ref="E3:E11" si="1">AVERAGE(L:L)</f>
        <v>8762589.1764705889</v>
      </c>
      <c r="F3" s="4">
        <f t="shared" si="0"/>
        <v>1004209.3544138758</v>
      </c>
      <c r="G3" s="4">
        <f>Table1345678910111213141516[[#This Row],[Established Average]]+2*Table1345678910111213141516[[#This Row],[SD]]</f>
        <v>10771007.885298342</v>
      </c>
      <c r="H3" s="4">
        <f>Table1345678910111213141516[[#This Row],[Established Average]]-2*Table1345678910111213141516[[#This Row],[SD]]</f>
        <v>6754170.4676428372</v>
      </c>
      <c r="I3" s="4">
        <f>Table1345678910111213141516[[#This Row],[Established Average]]+3*Table1345678910111213141516[[#This Row],[SD]]</f>
        <v>11775217.239712216</v>
      </c>
      <c r="J3" s="4">
        <f>Table1345678910111213141516[[#This Row],[Established Average]]-3*Table1345678910111213141516[[#This Row],[SD]]</f>
        <v>5749961.1132289618</v>
      </c>
      <c r="L3" s="8">
        <v>9584790</v>
      </c>
      <c r="N3" t="s">
        <v>22</v>
      </c>
    </row>
    <row r="4" spans="1:18" x14ac:dyDescent="0.2">
      <c r="A4" s="2">
        <v>45724</v>
      </c>
      <c r="C4" s="7"/>
      <c r="D4" t="b">
        <f>AND(B4&lt;G4, B4&gt;H4, Table1345678910111213141516[[#This Row],[CV]]&lt;15)</f>
        <v>0</v>
      </c>
      <c r="E4" s="4">
        <f t="shared" si="1"/>
        <v>8762589.1764705889</v>
      </c>
      <c r="F4" s="4">
        <f t="shared" si="0"/>
        <v>1004209.3544138758</v>
      </c>
      <c r="G4" s="4">
        <f>Table1345678910111213141516[[#This Row],[Established Average]]+2*Table1345678910111213141516[[#This Row],[SD]]</f>
        <v>10771007.885298342</v>
      </c>
      <c r="H4" s="4">
        <f>Table1345678910111213141516[[#This Row],[Established Average]]-2*Table1345678910111213141516[[#This Row],[SD]]</f>
        <v>6754170.4676428372</v>
      </c>
      <c r="I4" s="4">
        <f>Table1345678910111213141516[[#This Row],[Established Average]]+3*Table1345678910111213141516[[#This Row],[SD]]</f>
        <v>11775217.239712216</v>
      </c>
      <c r="J4" s="4">
        <f>Table1345678910111213141516[[#This Row],[Established Average]]-3*Table1345678910111213141516[[#This Row],[SD]]</f>
        <v>5749961.1132289618</v>
      </c>
      <c r="L4" s="8">
        <v>9473300</v>
      </c>
      <c r="N4">
        <f>N2/M2*100</f>
        <v>11.460189838756689</v>
      </c>
    </row>
    <row r="5" spans="1:18" x14ac:dyDescent="0.2">
      <c r="A5" s="2">
        <v>45725</v>
      </c>
      <c r="C5" s="7"/>
      <c r="D5" t="b">
        <f>AND(B5&lt;G5, B5&gt;H5, Table1345678910111213141516[[#This Row],[CV]]&lt;15)</f>
        <v>0</v>
      </c>
      <c r="E5" s="4">
        <f t="shared" si="1"/>
        <v>8762589.1764705889</v>
      </c>
      <c r="F5" s="4">
        <f t="shared" si="0"/>
        <v>1004209.3544138758</v>
      </c>
      <c r="G5" s="4">
        <f>Table1345678910111213141516[[#This Row],[Established Average]]+2*Table1345678910111213141516[[#This Row],[SD]]</f>
        <v>10771007.885298342</v>
      </c>
      <c r="H5" s="4">
        <f>Table1345678910111213141516[[#This Row],[Established Average]]-2*Table1345678910111213141516[[#This Row],[SD]]</f>
        <v>6754170.4676428372</v>
      </c>
      <c r="I5" s="4">
        <f>Table1345678910111213141516[[#This Row],[Established Average]]+3*Table1345678910111213141516[[#This Row],[SD]]</f>
        <v>11775217.239712216</v>
      </c>
      <c r="J5" s="4">
        <f>Table1345678910111213141516[[#This Row],[Established Average]]-3*Table1345678910111213141516[[#This Row],[SD]]</f>
        <v>5749961.1132289618</v>
      </c>
      <c r="L5" s="8">
        <v>9022842</v>
      </c>
    </row>
    <row r="6" spans="1:18" x14ac:dyDescent="0.2">
      <c r="A6" s="2">
        <v>45726</v>
      </c>
      <c r="C6" s="7"/>
      <c r="D6" t="b">
        <f>AND(B6&lt;G6, B6&gt;H6, Table1345678910111213141516[[#This Row],[CV]]&lt;15)</f>
        <v>0</v>
      </c>
      <c r="E6" s="4">
        <f t="shared" si="1"/>
        <v>8762589.1764705889</v>
      </c>
      <c r="F6" s="4">
        <f t="shared" si="0"/>
        <v>1004209.3544138758</v>
      </c>
      <c r="G6" s="4">
        <f>Table1345678910111213141516[[#This Row],[Established Average]]+2*Table1345678910111213141516[[#This Row],[SD]]</f>
        <v>10771007.885298342</v>
      </c>
      <c r="H6" s="4">
        <f>Table1345678910111213141516[[#This Row],[Established Average]]-2*Table1345678910111213141516[[#This Row],[SD]]</f>
        <v>6754170.4676428372</v>
      </c>
      <c r="I6" s="4">
        <f>Table1345678910111213141516[[#This Row],[Established Average]]+3*Table1345678910111213141516[[#This Row],[SD]]</f>
        <v>11775217.239712216</v>
      </c>
      <c r="J6" s="4">
        <f>Table1345678910111213141516[[#This Row],[Established Average]]-3*Table1345678910111213141516[[#This Row],[SD]]</f>
        <v>5749961.1132289618</v>
      </c>
      <c r="L6" s="8">
        <v>11105853</v>
      </c>
    </row>
    <row r="7" spans="1:18" x14ac:dyDescent="0.2">
      <c r="A7" s="2">
        <v>45727</v>
      </c>
      <c r="C7" s="7"/>
      <c r="D7" t="b">
        <f>AND(B7&lt;G7, B7&gt;H7, Table1345678910111213141516[[#This Row],[CV]]&lt;15)</f>
        <v>0</v>
      </c>
      <c r="E7" s="4">
        <f t="shared" si="1"/>
        <v>8762589.1764705889</v>
      </c>
      <c r="F7" s="4">
        <f t="shared" si="0"/>
        <v>1004209.3544138758</v>
      </c>
      <c r="G7" s="4">
        <f>Table1345678910111213141516[[#This Row],[Established Average]]+2*Table1345678910111213141516[[#This Row],[SD]]</f>
        <v>10771007.885298342</v>
      </c>
      <c r="H7" s="4">
        <f>Table1345678910111213141516[[#This Row],[Established Average]]-2*Table1345678910111213141516[[#This Row],[SD]]</f>
        <v>6754170.4676428372</v>
      </c>
      <c r="I7" s="4">
        <f>Table1345678910111213141516[[#This Row],[Established Average]]+3*Table1345678910111213141516[[#This Row],[SD]]</f>
        <v>11775217.239712216</v>
      </c>
      <c r="J7" s="4">
        <f>Table1345678910111213141516[[#This Row],[Established Average]]-3*Table1345678910111213141516[[#This Row],[SD]]</f>
        <v>5749961.1132289618</v>
      </c>
      <c r="L7" s="8">
        <v>10022228</v>
      </c>
    </row>
    <row r="8" spans="1:18" x14ac:dyDescent="0.2">
      <c r="A8" s="2">
        <v>45728</v>
      </c>
      <c r="C8" s="7"/>
      <c r="D8" t="b">
        <f>AND(B8&lt;G8, B8&gt;H8, Table1345678910111213141516[[#This Row],[CV]]&lt;15)</f>
        <v>0</v>
      </c>
      <c r="E8" s="4">
        <f t="shared" si="1"/>
        <v>8762589.1764705889</v>
      </c>
      <c r="F8" s="4">
        <f t="shared" si="0"/>
        <v>1004209.3544138758</v>
      </c>
      <c r="G8" s="4">
        <f>Table1345678910111213141516[[#This Row],[Established Average]]+2*Table1345678910111213141516[[#This Row],[SD]]</f>
        <v>10771007.885298342</v>
      </c>
      <c r="H8" s="4">
        <f>Table1345678910111213141516[[#This Row],[Established Average]]-2*Table1345678910111213141516[[#This Row],[SD]]</f>
        <v>6754170.4676428372</v>
      </c>
      <c r="I8" s="4">
        <f>Table1345678910111213141516[[#This Row],[Established Average]]+3*Table1345678910111213141516[[#This Row],[SD]]</f>
        <v>11775217.239712216</v>
      </c>
      <c r="J8" s="4">
        <f>Table1345678910111213141516[[#This Row],[Established Average]]-3*Table1345678910111213141516[[#This Row],[SD]]</f>
        <v>5749961.1132289618</v>
      </c>
      <c r="L8" s="8">
        <v>9402367</v>
      </c>
    </row>
    <row r="9" spans="1:18" x14ac:dyDescent="0.2">
      <c r="A9" s="2">
        <v>45729</v>
      </c>
      <c r="C9" s="7"/>
      <c r="D9" t="b">
        <f>AND(B9&lt;G9, B9&gt;H9, Table1345678910111213141516[[#This Row],[CV]]&lt;15)</f>
        <v>0</v>
      </c>
      <c r="E9" s="4">
        <f t="shared" si="1"/>
        <v>8762589.1764705889</v>
      </c>
      <c r="F9" s="4">
        <f t="shared" si="0"/>
        <v>1004209.3544138758</v>
      </c>
      <c r="G9" s="4">
        <f>Table1345678910111213141516[[#This Row],[Established Average]]+2*Table1345678910111213141516[[#This Row],[SD]]</f>
        <v>10771007.885298342</v>
      </c>
      <c r="H9" s="4">
        <f>Table1345678910111213141516[[#This Row],[Established Average]]-2*Table1345678910111213141516[[#This Row],[SD]]</f>
        <v>6754170.4676428372</v>
      </c>
      <c r="I9" s="4">
        <f>Table1345678910111213141516[[#This Row],[Established Average]]+3*Table1345678910111213141516[[#This Row],[SD]]</f>
        <v>11775217.239712216</v>
      </c>
      <c r="J9" s="4">
        <f>Table1345678910111213141516[[#This Row],[Established Average]]-3*Table1345678910111213141516[[#This Row],[SD]]</f>
        <v>5749961.1132289618</v>
      </c>
      <c r="L9" s="8">
        <v>9311624</v>
      </c>
    </row>
    <row r="10" spans="1:18" x14ac:dyDescent="0.2">
      <c r="A10" s="2"/>
      <c r="C10" s="7"/>
      <c r="D10" t="b">
        <f>AND(B10&lt;G10, B10&gt;H10, Table1345678910111213141516[[#This Row],[CV]]&lt;15)</f>
        <v>0</v>
      </c>
      <c r="E10" s="4">
        <f t="shared" si="1"/>
        <v>8762589.1764705889</v>
      </c>
      <c r="F10" s="4">
        <f t="shared" si="0"/>
        <v>1004209.3544138758</v>
      </c>
      <c r="G10" s="4">
        <f>Table1345678910111213141516[[#This Row],[Established Average]]+2*Table1345678910111213141516[[#This Row],[SD]]</f>
        <v>10771007.885298342</v>
      </c>
      <c r="H10" s="4">
        <f>Table1345678910111213141516[[#This Row],[Established Average]]-2*Table1345678910111213141516[[#This Row],[SD]]</f>
        <v>6754170.4676428372</v>
      </c>
      <c r="I10" s="4">
        <f>Table1345678910111213141516[[#This Row],[Established Average]]+3*Table1345678910111213141516[[#This Row],[SD]]</f>
        <v>11775217.239712216</v>
      </c>
      <c r="J10" s="4">
        <f>Table1345678910111213141516[[#This Row],[Established Average]]-3*Table1345678910111213141516[[#This Row],[SD]]</f>
        <v>5749961.1132289618</v>
      </c>
      <c r="L10" s="8">
        <v>8541618</v>
      </c>
    </row>
    <row r="11" spans="1:18" x14ac:dyDescent="0.2">
      <c r="A11" s="2"/>
      <c r="C11" s="7"/>
      <c r="D11" t="b">
        <f>AND(B11&lt;G11, B11&gt;H11, Table1345678910111213141516[[#This Row],[CV]]&lt;15)</f>
        <v>0</v>
      </c>
      <c r="E11" s="4">
        <f t="shared" si="1"/>
        <v>8762589.1764705889</v>
      </c>
      <c r="F11" s="4">
        <f t="shared" si="0"/>
        <v>1004209.3544138758</v>
      </c>
      <c r="G11" s="4">
        <f>Table1345678910111213141516[[#This Row],[Established Average]]+2*Table1345678910111213141516[[#This Row],[SD]]</f>
        <v>10771007.885298342</v>
      </c>
      <c r="H11" s="4">
        <f>Table1345678910111213141516[[#This Row],[Established Average]]-2*Table1345678910111213141516[[#This Row],[SD]]</f>
        <v>6754170.4676428372</v>
      </c>
      <c r="I11" s="4">
        <f>Table1345678910111213141516[[#This Row],[Established Average]]+3*Table1345678910111213141516[[#This Row],[SD]]</f>
        <v>11775217.239712216</v>
      </c>
      <c r="J11" s="4">
        <f>Table1345678910111213141516[[#This Row],[Established Average]]-3*Table1345678910111213141516[[#This Row],[SD]]</f>
        <v>5749961.1132289618</v>
      </c>
      <c r="L11" s="8">
        <v>8564823</v>
      </c>
    </row>
    <row r="12" spans="1:18" x14ac:dyDescent="0.2">
      <c r="L12" s="8">
        <v>8925465</v>
      </c>
    </row>
    <row r="13" spans="1:18" x14ac:dyDescent="0.2">
      <c r="L13" s="8">
        <v>9257931</v>
      </c>
    </row>
    <row r="14" spans="1:18" x14ac:dyDescent="0.2">
      <c r="L14" s="8">
        <v>8975587</v>
      </c>
    </row>
    <row r="15" spans="1:18" x14ac:dyDescent="0.2">
      <c r="L15" s="8">
        <v>8667328</v>
      </c>
    </row>
    <row r="16" spans="1:18" x14ac:dyDescent="0.2">
      <c r="L16" s="8">
        <v>9331991</v>
      </c>
    </row>
    <row r="17" spans="12:12" x14ac:dyDescent="0.2">
      <c r="L17" s="8">
        <v>9861768</v>
      </c>
    </row>
    <row r="18" spans="12:12" x14ac:dyDescent="0.2">
      <c r="L18" s="8">
        <v>8660257</v>
      </c>
    </row>
    <row r="19" spans="12:12" x14ac:dyDescent="0.2">
      <c r="L19" s="8">
        <v>7981531</v>
      </c>
    </row>
    <row r="20" spans="12:12" x14ac:dyDescent="0.2">
      <c r="L20" s="8">
        <v>8593526</v>
      </c>
    </row>
    <row r="21" spans="12:12" x14ac:dyDescent="0.2">
      <c r="L21" s="8">
        <v>9306979</v>
      </c>
    </row>
    <row r="22" spans="12:12" x14ac:dyDescent="0.2">
      <c r="L22" s="8">
        <v>8960456</v>
      </c>
    </row>
    <row r="23" spans="12:12" x14ac:dyDescent="0.2">
      <c r="L23" s="8">
        <v>8233143</v>
      </c>
    </row>
    <row r="24" spans="12:12" x14ac:dyDescent="0.2">
      <c r="L24" s="8">
        <v>7577556</v>
      </c>
    </row>
    <row r="25" spans="12:12" x14ac:dyDescent="0.2">
      <c r="L25" s="8">
        <v>7220014</v>
      </c>
    </row>
    <row r="26" spans="12:12" x14ac:dyDescent="0.2">
      <c r="L26" s="8">
        <v>7559532</v>
      </c>
    </row>
    <row r="27" spans="12:12" x14ac:dyDescent="0.2">
      <c r="L27" s="8">
        <v>7956787</v>
      </c>
    </row>
    <row r="28" spans="12:12" x14ac:dyDescent="0.2">
      <c r="L28" s="8">
        <v>6726508</v>
      </c>
    </row>
    <row r="29" spans="12:12" x14ac:dyDescent="0.2">
      <c r="L29" s="8">
        <v>7299645</v>
      </c>
    </row>
    <row r="30" spans="12:12" x14ac:dyDescent="0.2">
      <c r="L30" s="8">
        <v>6644394</v>
      </c>
    </row>
    <row r="31" spans="12:12" x14ac:dyDescent="0.2">
      <c r="L31" s="8">
        <v>7865067</v>
      </c>
    </row>
    <row r="32" spans="12:12" x14ac:dyDescent="0.2">
      <c r="L32" s="8">
        <v>9208023</v>
      </c>
    </row>
    <row r="33" spans="12:12" x14ac:dyDescent="0.2">
      <c r="L33" s="8">
        <v>8985825</v>
      </c>
    </row>
    <row r="34" spans="12:12" x14ac:dyDescent="0.2">
      <c r="L34" s="8">
        <v>9083655</v>
      </c>
    </row>
    <row r="35" spans="12:12" x14ac:dyDescent="0.2">
      <c r="L35" s="8">
        <v>10251210</v>
      </c>
    </row>
    <row r="36" spans="12:12" x14ac:dyDescent="0.2"/>
    <row r="37" spans="12:12" x14ac:dyDescent="0.2">
      <c r="L37" s="8"/>
    </row>
    <row r="38" spans="12:12" x14ac:dyDescent="0.2">
      <c r="L38" s="8"/>
    </row>
  </sheetData>
  <conditionalFormatting sqref="D1:D11 I12:I1048576">
    <cfRule type="containsText" dxfId="0" priority="1" operator="containsText" text="False">
      <formula>NOT(ISERROR(SEARCH("False",D1)))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7A018343851546960D0B06287A612C" ma:contentTypeVersion="22" ma:contentTypeDescription="Create a new document." ma:contentTypeScope="" ma:versionID="50ab0277a774cc9640a7c9bb6a48b5c1">
  <xsd:schema xmlns:xsd="http://www.w3.org/2001/XMLSchema" xmlns:xs="http://www.w3.org/2001/XMLSchema" xmlns:p="http://schemas.microsoft.com/office/2006/metadata/properties" xmlns:ns2="c5808509-a494-44d5-b5b9-68c7724eda1d" xmlns:ns3="74a281e5-73b3-4141-98a4-82aaf9efda00" targetNamespace="http://schemas.microsoft.com/office/2006/metadata/properties" ma:root="true" ma:fieldsID="280d03e701dd291fa8f52b514647648d" ns2:_="" ns3:_="">
    <xsd:import namespace="c5808509-a494-44d5-b5b9-68c7724eda1d"/>
    <xsd:import namespace="74a281e5-73b3-4141-98a4-82aaf9efd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AcknowledgeButt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8509-a494-44d5-b5b9-68c7724eda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AcknowledgeButton" ma:index="22" nillable="true" ma:displayName="AcknowledgeButton" ma:format="Dropdown" ma:internalName="AcknowledgeButt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281e5-73b3-4141-98a4-82aaf9efda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3e68794-1bbd-4b66-a9be-8cfbcbea9c14}" ma:internalName="TaxCatchAll" ma:showField="CatchAllData" ma:web="74a281e5-73b3-4141-98a4-82aaf9efda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808509-a494-44d5-b5b9-68c7724eda1d">
      <Terms xmlns="http://schemas.microsoft.com/office/infopath/2007/PartnerControls"/>
    </lcf76f155ced4ddcb4097134ff3c332f>
    <TaxCatchAll xmlns="74a281e5-73b3-4141-98a4-82aaf9efda00" xsi:nil="true"/>
    <AcknowledgeButton xmlns="c5808509-a494-44d5-b5b9-68c7724eda1d" xsi:nil="true"/>
  </documentManagement>
</p:properties>
</file>

<file path=customXml/itemProps1.xml><?xml version="1.0" encoding="utf-8"?>
<ds:datastoreItem xmlns:ds="http://schemas.openxmlformats.org/officeDocument/2006/customXml" ds:itemID="{818D4E59-5F01-4308-B09A-5939163F3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808509-a494-44d5-b5b9-68c7724eda1d"/>
    <ds:schemaRef ds:uri="74a281e5-73b3-4141-98a4-82aaf9efda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469D83-017C-46F0-BE88-A23B324C12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2A7A33-7D49-4204-9C8D-F426E1366E3F}">
  <ds:schemaRefs>
    <ds:schemaRef ds:uri="http://schemas.microsoft.com/office/2006/metadata/properties"/>
    <ds:schemaRef ds:uri="http://schemas.microsoft.com/office/infopath/2007/PartnerControls"/>
    <ds:schemaRef ds:uri="c5808509-a494-44d5-b5b9-68c7724eda1d"/>
    <ds:schemaRef ds:uri="74a281e5-73b3-4141-98a4-82aaf9efda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Main Checklist</vt:lpstr>
      <vt:lpstr>11-deoxycorticosterone</vt:lpstr>
      <vt:lpstr>11-deoxycortisol</vt:lpstr>
      <vt:lpstr>17-OHP</vt:lpstr>
      <vt:lpstr>21-deoxycortisol</vt:lpstr>
      <vt:lpstr>Aldosterone</vt:lpstr>
      <vt:lpstr>Androstenedione</vt:lpstr>
      <vt:lpstr>Corticosterone</vt:lpstr>
      <vt:lpstr>Cortisol</vt:lpstr>
      <vt:lpstr>Cortisone</vt:lpstr>
      <vt:lpstr>Dexamethasone</vt:lpstr>
      <vt:lpstr>DHEA</vt:lpstr>
      <vt:lpstr>DHEA-S</vt:lpstr>
      <vt:lpstr>DHT</vt:lpstr>
      <vt:lpstr>Progesterone</vt:lpstr>
      <vt:lpstr>Testosterone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Yao Yi Chen</dc:creator>
  <cp:keywords/>
  <dc:description/>
  <cp:lastModifiedBy>#SIJI AGNES ANNA#</cp:lastModifiedBy>
  <cp:revision/>
  <dcterms:created xsi:type="dcterms:W3CDTF">2024-07-30T07:51:45Z</dcterms:created>
  <dcterms:modified xsi:type="dcterms:W3CDTF">2026-05-20T07:36:40Z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0x010100787A018343851546960D0B06287A612C</vt:lpwstr>
  </property>
  <property fmtid="{D5CDD505-2E9C-101B-9397-08002B2CF9AE}" pid="3" name="MediaServiceImageTags">
    <vt:lpwstr/>
  </property>
</Properties>
</file>